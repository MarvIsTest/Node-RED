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C:\Users\VLM1Lo\Desktop\"/>
    </mc:Choice>
  </mc:AlternateContent>
  <xr:revisionPtr revIDLastSave="0" documentId="13_ncr:1_{CC47A40D-4C67-44B8-A6D6-07338C1DEE4A}" xr6:coauthVersionLast="47" xr6:coauthVersionMax="47" xr10:uidLastSave="{00000000-0000-0000-0000-000000000000}"/>
  <bookViews>
    <workbookView xWindow="-120" yWindow="-120" windowWidth="29040" windowHeight="15840" tabRatio="708" activeTab="1" xr2:uid="{00000000-000D-0000-FFFF-FFFF00000000}"/>
  </bookViews>
  <sheets>
    <sheet name="Scoping" sheetId="7" r:id="rId1"/>
    <sheet name="Checklist" sheetId="9" r:id="rId2"/>
    <sheet name="Checklist_For_Extended_ISPAudit" sheetId="169" r:id="rId3"/>
    <sheet name="Data" sheetId="8" r:id="rId4"/>
    <sheet name="Filter" sheetId="3" r:id="rId5"/>
    <sheet name="Change-Log" sheetId="170" r:id="rId6"/>
  </sheets>
  <definedNames>
    <definedName name="_xlnm._FilterDatabase" localSheetId="1" hidden="1">Checklist!$A$13:$I$147</definedName>
    <definedName name="_xlnm._FilterDatabase" localSheetId="2" hidden="1">Checklist_For_Extended_ISPAudit!$A$13:$I$147</definedName>
    <definedName name="_xlnm._FilterDatabase" localSheetId="3" hidden="1">Data!$A$1:$X$1000</definedName>
    <definedName name="_xlcn.WorksheetConnection_KopievonQ_01_ISMS_F_Audit_Checklist.xlsxFilter1" hidden="1">Filter</definedName>
    <definedName name="_xlcn.WorksheetConnection_Q_01_ISMS_F_Audit_Checklist.xlsxDaten1" hidden="1">Daten</definedName>
    <definedName name="Assets">Filter!$W$1:$W$3</definedName>
    <definedName name="_xlnm.Print_Area" localSheetId="1">Checklist!$A$1:$K$288</definedName>
    <definedName name="_xlnm.Print_Area" localSheetId="2">Checklist_For_Extended_ISPAudit!$A$1:$K$288</definedName>
    <definedName name="_xlnm.Print_Area" localSheetId="3">Data!$B$1:$F$331</definedName>
    <definedName name="_xlnm.Print_Area" localSheetId="0">Scoping!$A$1:$G$22</definedName>
    <definedName name="_xlnm.Criteria" localSheetId="4">Filter!$A$1:$U$2</definedName>
    <definedName name="_xlnm.Extract" localSheetId="1">Checklist!#REF!</definedName>
    <definedName name="_xlnm.Extract" localSheetId="2">Checklist_For_Extended_ISPAudit!#REF!</definedName>
    <definedName name="_xlnm.Extract" localSheetId="4">Filter!#REF!</definedName>
  </definedNames>
  <calcPr calcId="191029"/>
  <extLst>
    <ext xmlns:x15="http://schemas.microsoft.com/office/spreadsheetml/2010/11/main" uri="{FCE2AD5D-F65C-4FA6-A056-5C36A1767C68}">
      <x15:dataModel>
        <x15:modelTables>
          <x15:modelTable id="Daten" name="Daten" connection="WorksheetConnection_Q_01_ISMS_F_Audit_Checklist.xlsx!Daten"/>
          <x15:modelTable id="Filter" name="Filter" connection="WorksheetConnection_Kopie von Q_01_ISMS_F_Audit_Checklist.xlsx!Filter"/>
        </x15:modelTables>
        <x15:modelRelationships>
          <x15:modelRelationship fromTable="Daten" fromColumn="Server" toTable="Filter" toColumn="Serve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5" i="9" l="1"/>
  <c r="AC15" i="9"/>
  <c r="AD15" i="9"/>
  <c r="AE15" i="9"/>
  <c r="AB16" i="9"/>
  <c r="AC16" i="9"/>
  <c r="AD16" i="9"/>
  <c r="AE16" i="9"/>
  <c r="AB17" i="9"/>
  <c r="AC17" i="9"/>
  <c r="AD17" i="9"/>
  <c r="AE17" i="9"/>
  <c r="AB18" i="9"/>
  <c r="AC18" i="9"/>
  <c r="AD18" i="9"/>
  <c r="AE18" i="9"/>
  <c r="AB19" i="9"/>
  <c r="AC19" i="9"/>
  <c r="AD19" i="9"/>
  <c r="AE19" i="9"/>
  <c r="AB20" i="9"/>
  <c r="AC20" i="9"/>
  <c r="AD20" i="9"/>
  <c r="AE20" i="9"/>
  <c r="AB21" i="9"/>
  <c r="AC21" i="9"/>
  <c r="AD21" i="9"/>
  <c r="AE21" i="9"/>
  <c r="AB22" i="9"/>
  <c r="AC22" i="9"/>
  <c r="AD22" i="9"/>
  <c r="AE22" i="9"/>
  <c r="AB23" i="9"/>
  <c r="AC23" i="9"/>
  <c r="AD23" i="9"/>
  <c r="AE23" i="9"/>
  <c r="AB24" i="9"/>
  <c r="AC24" i="9"/>
  <c r="AD24" i="9"/>
  <c r="AE24" i="9"/>
  <c r="AB25" i="9"/>
  <c r="AC25" i="9"/>
  <c r="AD25" i="9"/>
  <c r="AE25" i="9"/>
  <c r="AB26" i="9"/>
  <c r="AC26" i="9"/>
  <c r="AD26" i="9"/>
  <c r="AE26" i="9"/>
  <c r="AB27" i="9"/>
  <c r="AC27" i="9"/>
  <c r="AD27" i="9"/>
  <c r="AE27" i="9"/>
  <c r="AB28" i="9"/>
  <c r="AC28" i="9"/>
  <c r="AD28" i="9"/>
  <c r="AE28" i="9"/>
  <c r="AB29" i="9"/>
  <c r="AC29" i="9"/>
  <c r="AD29" i="9"/>
  <c r="AE29" i="9"/>
  <c r="AB30" i="9"/>
  <c r="AC30" i="9"/>
  <c r="AD30" i="9"/>
  <c r="AE30" i="9"/>
  <c r="AB31" i="9"/>
  <c r="AC31" i="9"/>
  <c r="AD31" i="9"/>
  <c r="AE31" i="9"/>
  <c r="AB32" i="9"/>
  <c r="AC32" i="9"/>
  <c r="AD32" i="9"/>
  <c r="AE32" i="9"/>
  <c r="AB33" i="9"/>
  <c r="AC33" i="9"/>
  <c r="AD33" i="9"/>
  <c r="AE33" i="9"/>
  <c r="AB34" i="9"/>
  <c r="AC34" i="9"/>
  <c r="AD34" i="9"/>
  <c r="AE34" i="9"/>
  <c r="AB35" i="9"/>
  <c r="AC35" i="9"/>
  <c r="AD35" i="9"/>
  <c r="AE35" i="9"/>
  <c r="AB36" i="9"/>
  <c r="AC36" i="9"/>
  <c r="AD36" i="9"/>
  <c r="AE36" i="9"/>
  <c r="AB37" i="9"/>
  <c r="AC37" i="9"/>
  <c r="AD37" i="9"/>
  <c r="AE37" i="9"/>
  <c r="AB38" i="9"/>
  <c r="AC38" i="9"/>
  <c r="AD38" i="9"/>
  <c r="AE38" i="9"/>
  <c r="AB39" i="9"/>
  <c r="AC39" i="9"/>
  <c r="AD39" i="9"/>
  <c r="AE39" i="9"/>
  <c r="AB40" i="9"/>
  <c r="AC40" i="9"/>
  <c r="AD40" i="9"/>
  <c r="AE40" i="9"/>
  <c r="AB41" i="9"/>
  <c r="AC41" i="9"/>
  <c r="AD41" i="9"/>
  <c r="AE41" i="9"/>
  <c r="AB42" i="9"/>
  <c r="AC42" i="9"/>
  <c r="AD42" i="9"/>
  <c r="AE42" i="9"/>
  <c r="AB43" i="9"/>
  <c r="AC43" i="9"/>
  <c r="AD43" i="9"/>
  <c r="AE43" i="9"/>
  <c r="AB44" i="9"/>
  <c r="AC44" i="9"/>
  <c r="AD44" i="9"/>
  <c r="AE44" i="9"/>
  <c r="AB45" i="9"/>
  <c r="AC45" i="9"/>
  <c r="AD45" i="9"/>
  <c r="AE45" i="9"/>
  <c r="AB46" i="9"/>
  <c r="AC46" i="9"/>
  <c r="AD46" i="9"/>
  <c r="AE46" i="9"/>
  <c r="AB47" i="9"/>
  <c r="AC47" i="9"/>
  <c r="AD47" i="9"/>
  <c r="AE47" i="9"/>
  <c r="AB48" i="9"/>
  <c r="AC48" i="9"/>
  <c r="AD48" i="9"/>
  <c r="AE48" i="9"/>
  <c r="AB49" i="9"/>
  <c r="AC49" i="9"/>
  <c r="AD49" i="9"/>
  <c r="AE49" i="9"/>
  <c r="AB50" i="9"/>
  <c r="AC50" i="9"/>
  <c r="AD50" i="9"/>
  <c r="AE50" i="9"/>
  <c r="AB51" i="9"/>
  <c r="AC51" i="9"/>
  <c r="AD51" i="9"/>
  <c r="AE51" i="9"/>
  <c r="AB52" i="9"/>
  <c r="AC52" i="9"/>
  <c r="AD52" i="9"/>
  <c r="AE52" i="9"/>
  <c r="AB53" i="9"/>
  <c r="AC53" i="9"/>
  <c r="AD53" i="9"/>
  <c r="AE53" i="9"/>
  <c r="AB54" i="9"/>
  <c r="AC54" i="9"/>
  <c r="AD54" i="9"/>
  <c r="AE54" i="9"/>
  <c r="AB55" i="9"/>
  <c r="AC55" i="9"/>
  <c r="AD55" i="9"/>
  <c r="AE55" i="9"/>
  <c r="AB56" i="9"/>
  <c r="AC56" i="9"/>
  <c r="AD56" i="9"/>
  <c r="AE56" i="9"/>
  <c r="AB57" i="9"/>
  <c r="AC57" i="9"/>
  <c r="AD57" i="9"/>
  <c r="AE57" i="9"/>
  <c r="AB58" i="9"/>
  <c r="AC58" i="9"/>
  <c r="AD58" i="9"/>
  <c r="AE58" i="9"/>
  <c r="AB59" i="9"/>
  <c r="AC59" i="9"/>
  <c r="AD59" i="9"/>
  <c r="AE59" i="9"/>
  <c r="AB60" i="9"/>
  <c r="AC60" i="9"/>
  <c r="AD60" i="9"/>
  <c r="AE60" i="9"/>
  <c r="AB61" i="9"/>
  <c r="AC61" i="9"/>
  <c r="AD61" i="9"/>
  <c r="AE61" i="9"/>
  <c r="AB62" i="9"/>
  <c r="AC62" i="9"/>
  <c r="AD62" i="9"/>
  <c r="AE62" i="9"/>
  <c r="AB63" i="9"/>
  <c r="AC63" i="9"/>
  <c r="AD63" i="9"/>
  <c r="AE63" i="9"/>
  <c r="AB64" i="9"/>
  <c r="AC64" i="9"/>
  <c r="AD64" i="9"/>
  <c r="AE64" i="9"/>
  <c r="AB65" i="9"/>
  <c r="AC65" i="9"/>
  <c r="AD65" i="9"/>
  <c r="AE65" i="9"/>
  <c r="AB66" i="9"/>
  <c r="AC66" i="9"/>
  <c r="AD66" i="9"/>
  <c r="AE66" i="9"/>
  <c r="AB67" i="9"/>
  <c r="AC67" i="9"/>
  <c r="AD67" i="9"/>
  <c r="AE67" i="9"/>
  <c r="AB68" i="9"/>
  <c r="AC68" i="9"/>
  <c r="AD68" i="9"/>
  <c r="AE68" i="9"/>
  <c r="AB69" i="9"/>
  <c r="AC69" i="9"/>
  <c r="AD69" i="9"/>
  <c r="AE69" i="9"/>
  <c r="AB70" i="9"/>
  <c r="AC70" i="9"/>
  <c r="AD70" i="9"/>
  <c r="AE70" i="9"/>
  <c r="AB71" i="9"/>
  <c r="AC71" i="9"/>
  <c r="AD71" i="9"/>
  <c r="AE71" i="9"/>
  <c r="AB72" i="9"/>
  <c r="AC72" i="9"/>
  <c r="AD72" i="9"/>
  <c r="AE72" i="9"/>
  <c r="AB73" i="9"/>
  <c r="AC73" i="9"/>
  <c r="AD73" i="9"/>
  <c r="AE73" i="9"/>
  <c r="AB74" i="9"/>
  <c r="AC74" i="9"/>
  <c r="AD74" i="9"/>
  <c r="AE74" i="9"/>
  <c r="AB75" i="9"/>
  <c r="AC75" i="9"/>
  <c r="AD75" i="9"/>
  <c r="AE75" i="9"/>
  <c r="AB76" i="9"/>
  <c r="AC76" i="9"/>
  <c r="AD76" i="9"/>
  <c r="AE76" i="9"/>
  <c r="AB77" i="9"/>
  <c r="AC77" i="9"/>
  <c r="AD77" i="9"/>
  <c r="AE77" i="9"/>
  <c r="AB78" i="9"/>
  <c r="AC78" i="9"/>
  <c r="AD78" i="9"/>
  <c r="AE78" i="9"/>
  <c r="AB79" i="9"/>
  <c r="AC79" i="9"/>
  <c r="AD79" i="9"/>
  <c r="AE79" i="9"/>
  <c r="AB80" i="9"/>
  <c r="AC80" i="9"/>
  <c r="AD80" i="9"/>
  <c r="AE80" i="9"/>
  <c r="AB81" i="9"/>
  <c r="AC81" i="9"/>
  <c r="AD81" i="9"/>
  <c r="AE81" i="9"/>
  <c r="AB82" i="9"/>
  <c r="AC82" i="9"/>
  <c r="AD82" i="9"/>
  <c r="AE82" i="9"/>
  <c r="AB83" i="9"/>
  <c r="AC83" i="9"/>
  <c r="AD83" i="9"/>
  <c r="AE83" i="9"/>
  <c r="AB84" i="9"/>
  <c r="AC84" i="9"/>
  <c r="AD84" i="9"/>
  <c r="AE84" i="9"/>
  <c r="AB85" i="9"/>
  <c r="AC85" i="9"/>
  <c r="AD85" i="9"/>
  <c r="AE85" i="9"/>
  <c r="AB86" i="9"/>
  <c r="AC86" i="9"/>
  <c r="AD86" i="9"/>
  <c r="AE86" i="9"/>
  <c r="AB87" i="9"/>
  <c r="AC87" i="9"/>
  <c r="AD87" i="9"/>
  <c r="AE87" i="9"/>
  <c r="AB88" i="9"/>
  <c r="AC88" i="9"/>
  <c r="AD88" i="9"/>
  <c r="AE88" i="9"/>
  <c r="AB89" i="9"/>
  <c r="AC89" i="9"/>
  <c r="AD89" i="9"/>
  <c r="AE89" i="9"/>
  <c r="AB90" i="9"/>
  <c r="AC90" i="9"/>
  <c r="AD90" i="9"/>
  <c r="AE90" i="9"/>
  <c r="AB91" i="9"/>
  <c r="AC91" i="9"/>
  <c r="AD91" i="9"/>
  <c r="AE91" i="9"/>
  <c r="AB92" i="9"/>
  <c r="AC92" i="9"/>
  <c r="AD92" i="9"/>
  <c r="AE92" i="9"/>
  <c r="AB93" i="9"/>
  <c r="AC93" i="9"/>
  <c r="AD93" i="9"/>
  <c r="AE93" i="9"/>
  <c r="AB94" i="9"/>
  <c r="AC94" i="9"/>
  <c r="AD94" i="9"/>
  <c r="AE94" i="9"/>
  <c r="AB95" i="9"/>
  <c r="AC95" i="9"/>
  <c r="AD95" i="9"/>
  <c r="AE95" i="9"/>
  <c r="AB96" i="9"/>
  <c r="AC96" i="9"/>
  <c r="AD96" i="9"/>
  <c r="AE96" i="9"/>
  <c r="AB97" i="9"/>
  <c r="AC97" i="9"/>
  <c r="AD97" i="9"/>
  <c r="AE97" i="9"/>
  <c r="AB98" i="9"/>
  <c r="AC98" i="9"/>
  <c r="AD98" i="9"/>
  <c r="AE98" i="9"/>
  <c r="AB99" i="9"/>
  <c r="AC99" i="9"/>
  <c r="AD99" i="9"/>
  <c r="AE99" i="9"/>
  <c r="AB100" i="9"/>
  <c r="AC100" i="9"/>
  <c r="AD100" i="9"/>
  <c r="AE100" i="9"/>
  <c r="AB101" i="9"/>
  <c r="AC101" i="9"/>
  <c r="AD101" i="9"/>
  <c r="AE101" i="9"/>
  <c r="AB102" i="9"/>
  <c r="AC102" i="9"/>
  <c r="AD102" i="9"/>
  <c r="AE102" i="9"/>
  <c r="AB103" i="9"/>
  <c r="AC103" i="9"/>
  <c r="AD103" i="9"/>
  <c r="AE103" i="9"/>
  <c r="AB104" i="9"/>
  <c r="AC104" i="9"/>
  <c r="AD104" i="9"/>
  <c r="AE104" i="9"/>
  <c r="AB105" i="9"/>
  <c r="AC105" i="9"/>
  <c r="AD105" i="9"/>
  <c r="AE105" i="9"/>
  <c r="AB106" i="9"/>
  <c r="AC106" i="9"/>
  <c r="AD106" i="9"/>
  <c r="AE106" i="9"/>
  <c r="AB107" i="9"/>
  <c r="AC107" i="9"/>
  <c r="AD107" i="9"/>
  <c r="AE107" i="9"/>
  <c r="AB108" i="9"/>
  <c r="AC108" i="9"/>
  <c r="AD108" i="9"/>
  <c r="AE108" i="9"/>
  <c r="AB109" i="9"/>
  <c r="AC109" i="9"/>
  <c r="AD109" i="9"/>
  <c r="AE109" i="9"/>
  <c r="AB110" i="9"/>
  <c r="AC110" i="9"/>
  <c r="AD110" i="9"/>
  <c r="AE110" i="9"/>
  <c r="AB111" i="9"/>
  <c r="AC111" i="9"/>
  <c r="AD111" i="9"/>
  <c r="AE111" i="9"/>
  <c r="AB112" i="9"/>
  <c r="AC112" i="9"/>
  <c r="AD112" i="9"/>
  <c r="AE112" i="9"/>
  <c r="AB113" i="9"/>
  <c r="AC113" i="9"/>
  <c r="AD113" i="9"/>
  <c r="AE113" i="9"/>
  <c r="AB114" i="9"/>
  <c r="AC114" i="9"/>
  <c r="AD114" i="9"/>
  <c r="AE114" i="9"/>
  <c r="AB115" i="9"/>
  <c r="AC115" i="9"/>
  <c r="AD115" i="9"/>
  <c r="AE115" i="9"/>
  <c r="AB116" i="9"/>
  <c r="AC116" i="9"/>
  <c r="AD116" i="9"/>
  <c r="AE116" i="9"/>
  <c r="AB117" i="9"/>
  <c r="AC117" i="9"/>
  <c r="AD117" i="9"/>
  <c r="AE117" i="9"/>
  <c r="AB118" i="9"/>
  <c r="AC118" i="9"/>
  <c r="AD118" i="9"/>
  <c r="AE118" i="9"/>
  <c r="AB119" i="9"/>
  <c r="AC119" i="9"/>
  <c r="AD119" i="9"/>
  <c r="AE119" i="9"/>
  <c r="AB120" i="9"/>
  <c r="AC120" i="9"/>
  <c r="AD120" i="9"/>
  <c r="AE120" i="9"/>
  <c r="AB121" i="9"/>
  <c r="AC121" i="9"/>
  <c r="AD121" i="9"/>
  <c r="AE121" i="9"/>
  <c r="AB122" i="9"/>
  <c r="AC122" i="9"/>
  <c r="AD122" i="9"/>
  <c r="AE122" i="9"/>
  <c r="AB123" i="9"/>
  <c r="AC123" i="9"/>
  <c r="AD123" i="9"/>
  <c r="AE123" i="9"/>
  <c r="AB124" i="9"/>
  <c r="AC124" i="9"/>
  <c r="AD124" i="9"/>
  <c r="AE124" i="9"/>
  <c r="AB125" i="9"/>
  <c r="AC125" i="9"/>
  <c r="AD125" i="9"/>
  <c r="AE125" i="9"/>
  <c r="AB126" i="9"/>
  <c r="AC126" i="9"/>
  <c r="AD126" i="9"/>
  <c r="AE126" i="9"/>
  <c r="AB127" i="9"/>
  <c r="AC127" i="9"/>
  <c r="AD127" i="9"/>
  <c r="AE127" i="9"/>
  <c r="AB128" i="9"/>
  <c r="AC128" i="9"/>
  <c r="AD128" i="9"/>
  <c r="AE128" i="9"/>
  <c r="AB129" i="9"/>
  <c r="AC129" i="9"/>
  <c r="AD129" i="9"/>
  <c r="AE129" i="9"/>
  <c r="AB130" i="9"/>
  <c r="AC130" i="9"/>
  <c r="AD130" i="9"/>
  <c r="AE130" i="9"/>
  <c r="AB131" i="9"/>
  <c r="AC131" i="9"/>
  <c r="AD131" i="9"/>
  <c r="AE131" i="9"/>
  <c r="AB132" i="9"/>
  <c r="AC132" i="9"/>
  <c r="AD132" i="9"/>
  <c r="AE132" i="9"/>
  <c r="AB133" i="9"/>
  <c r="AC133" i="9"/>
  <c r="AD133" i="9"/>
  <c r="AE133" i="9"/>
  <c r="AB134" i="9"/>
  <c r="AC134" i="9"/>
  <c r="AD134" i="9"/>
  <c r="AE134" i="9"/>
  <c r="AB135" i="9"/>
  <c r="AC135" i="9"/>
  <c r="AD135" i="9"/>
  <c r="AE135" i="9"/>
  <c r="AB136" i="9"/>
  <c r="AC136" i="9"/>
  <c r="AD136" i="9"/>
  <c r="AE136" i="9"/>
  <c r="AB137" i="9"/>
  <c r="AC137" i="9"/>
  <c r="AD137" i="9"/>
  <c r="AE137" i="9"/>
  <c r="AB138" i="9"/>
  <c r="AC138" i="9"/>
  <c r="AD138" i="9"/>
  <c r="AE138" i="9"/>
  <c r="AB139" i="9"/>
  <c r="AC139" i="9"/>
  <c r="AD139" i="9"/>
  <c r="AE139" i="9"/>
  <c r="AB140" i="9"/>
  <c r="AC140" i="9"/>
  <c r="AD140" i="9"/>
  <c r="AE140" i="9"/>
  <c r="AB141" i="9"/>
  <c r="AC141" i="9"/>
  <c r="AD141" i="9"/>
  <c r="AE141" i="9"/>
  <c r="AB142" i="9"/>
  <c r="AC142" i="9"/>
  <c r="AD142" i="9"/>
  <c r="AE142" i="9"/>
  <c r="AB143" i="9"/>
  <c r="AC143" i="9"/>
  <c r="AD143" i="9"/>
  <c r="AE143" i="9"/>
  <c r="AB144" i="9"/>
  <c r="AC144" i="9"/>
  <c r="AD144" i="9"/>
  <c r="AE144" i="9"/>
  <c r="AB145" i="9"/>
  <c r="AC145" i="9"/>
  <c r="AD145" i="9"/>
  <c r="AE145" i="9"/>
  <c r="AB146" i="9"/>
  <c r="AC146" i="9"/>
  <c r="AD146" i="9"/>
  <c r="AE146" i="9"/>
  <c r="AB147" i="9"/>
  <c r="AC147" i="9"/>
  <c r="AD147" i="9"/>
  <c r="AE147" i="9"/>
  <c r="AB148" i="9"/>
  <c r="AC148" i="9"/>
  <c r="AD148" i="9"/>
  <c r="AE148" i="9"/>
  <c r="AB149" i="9"/>
  <c r="AC149" i="9"/>
  <c r="AD149" i="9"/>
  <c r="AE149" i="9"/>
  <c r="AB150" i="9"/>
  <c r="AC150" i="9"/>
  <c r="AD150" i="9"/>
  <c r="AE150" i="9"/>
  <c r="AB151" i="9"/>
  <c r="AC151" i="9"/>
  <c r="AD151" i="9"/>
  <c r="AE151" i="9"/>
  <c r="AB152" i="9"/>
  <c r="AC152" i="9"/>
  <c r="AD152" i="9"/>
  <c r="AE152" i="9"/>
  <c r="AB153" i="9"/>
  <c r="AC153" i="9"/>
  <c r="AD153" i="9"/>
  <c r="AE153" i="9"/>
  <c r="AB154" i="9"/>
  <c r="AC154" i="9"/>
  <c r="AD154" i="9"/>
  <c r="AE154" i="9"/>
  <c r="AB155" i="9"/>
  <c r="AC155" i="9"/>
  <c r="AD155" i="9"/>
  <c r="AE155" i="9"/>
  <c r="AB156" i="9"/>
  <c r="AC156" i="9"/>
  <c r="AD156" i="9"/>
  <c r="AE156" i="9"/>
  <c r="AB157" i="9"/>
  <c r="AC157" i="9"/>
  <c r="AD157" i="9"/>
  <c r="AE157" i="9"/>
  <c r="AB158" i="9"/>
  <c r="AC158" i="9"/>
  <c r="AD158" i="9"/>
  <c r="AE158" i="9"/>
  <c r="AB159" i="9"/>
  <c r="AC159" i="9"/>
  <c r="AD159" i="9"/>
  <c r="AE159" i="9"/>
  <c r="AB160" i="9"/>
  <c r="AC160" i="9"/>
  <c r="AD160" i="9"/>
  <c r="AE160" i="9"/>
  <c r="AB161" i="9"/>
  <c r="AC161" i="9"/>
  <c r="AD161" i="9"/>
  <c r="AE161" i="9"/>
  <c r="AB162" i="9"/>
  <c r="AC162" i="9"/>
  <c r="AD162" i="9"/>
  <c r="AE162" i="9"/>
  <c r="AB163" i="9"/>
  <c r="AC163" i="9"/>
  <c r="AD163" i="9"/>
  <c r="AE163" i="9"/>
  <c r="AB164" i="9"/>
  <c r="AC164" i="9"/>
  <c r="AD164" i="9"/>
  <c r="AE164" i="9"/>
  <c r="AB165" i="9"/>
  <c r="AC165" i="9"/>
  <c r="AD165" i="9"/>
  <c r="AE165" i="9"/>
  <c r="AB166" i="9"/>
  <c r="AC166" i="9"/>
  <c r="AD166" i="9"/>
  <c r="AE166" i="9"/>
  <c r="AB167" i="9"/>
  <c r="AC167" i="9"/>
  <c r="AD167" i="9"/>
  <c r="AE167" i="9"/>
  <c r="AB168" i="9"/>
  <c r="AC168" i="9"/>
  <c r="AD168" i="9"/>
  <c r="AE168" i="9"/>
  <c r="AB169" i="9"/>
  <c r="AC169" i="9"/>
  <c r="AD169" i="9"/>
  <c r="AE169" i="9"/>
  <c r="AB170" i="9"/>
  <c r="AC170" i="9"/>
  <c r="AD170" i="9"/>
  <c r="AE170" i="9"/>
  <c r="AB171" i="9"/>
  <c r="AC171" i="9"/>
  <c r="AD171" i="9"/>
  <c r="AE171" i="9"/>
  <c r="AB172" i="9"/>
  <c r="AC172" i="9"/>
  <c r="AD172" i="9"/>
  <c r="AE172" i="9"/>
  <c r="AB173" i="9"/>
  <c r="AC173" i="9"/>
  <c r="AD173" i="9"/>
  <c r="AE173" i="9"/>
  <c r="AB174" i="9"/>
  <c r="AC174" i="9"/>
  <c r="AD174" i="9"/>
  <c r="AE174" i="9"/>
  <c r="AB175" i="9"/>
  <c r="AC175" i="9"/>
  <c r="AD175" i="9"/>
  <c r="AE175" i="9"/>
  <c r="AB176" i="9"/>
  <c r="AC176" i="9"/>
  <c r="AD176" i="9"/>
  <c r="AE176" i="9"/>
  <c r="AB177" i="9"/>
  <c r="AC177" i="9"/>
  <c r="AD177" i="9"/>
  <c r="AE177" i="9"/>
  <c r="AB178" i="9"/>
  <c r="AC178" i="9"/>
  <c r="AD178" i="9"/>
  <c r="AE178" i="9"/>
  <c r="AB179" i="9"/>
  <c r="AC179" i="9"/>
  <c r="AD179" i="9"/>
  <c r="AE179" i="9"/>
  <c r="AB180" i="9"/>
  <c r="AC180" i="9"/>
  <c r="AD180" i="9"/>
  <c r="AE180" i="9"/>
  <c r="AB181" i="9"/>
  <c r="AC181" i="9"/>
  <c r="AD181" i="9"/>
  <c r="AE181" i="9"/>
  <c r="AB182" i="9"/>
  <c r="AC182" i="9"/>
  <c r="AD182" i="9"/>
  <c r="AE182" i="9"/>
  <c r="AB183" i="9"/>
  <c r="AC183" i="9"/>
  <c r="AD183" i="9"/>
  <c r="AE183" i="9"/>
  <c r="AB184" i="9"/>
  <c r="AC184" i="9"/>
  <c r="AD184" i="9"/>
  <c r="AE184" i="9"/>
  <c r="AB185" i="9"/>
  <c r="AC185" i="9"/>
  <c r="AD185" i="9"/>
  <c r="AE185" i="9"/>
  <c r="AB186" i="9"/>
  <c r="AC186" i="9"/>
  <c r="AD186" i="9"/>
  <c r="AE186" i="9"/>
  <c r="AB187" i="9"/>
  <c r="AC187" i="9"/>
  <c r="AD187" i="9"/>
  <c r="AE187" i="9"/>
  <c r="AB188" i="9"/>
  <c r="AC188" i="9"/>
  <c r="AD188" i="9"/>
  <c r="AE188" i="9"/>
  <c r="AB189" i="9"/>
  <c r="AC189" i="9"/>
  <c r="AD189" i="9"/>
  <c r="AE189" i="9"/>
  <c r="AB190" i="9"/>
  <c r="AC190" i="9"/>
  <c r="AD190" i="9"/>
  <c r="AE190" i="9"/>
  <c r="AB191" i="9"/>
  <c r="AC191" i="9"/>
  <c r="AD191" i="9"/>
  <c r="AE191" i="9"/>
  <c r="AB192" i="9"/>
  <c r="AC192" i="9"/>
  <c r="AD192" i="9"/>
  <c r="AE192" i="9"/>
  <c r="AB193" i="9"/>
  <c r="AC193" i="9"/>
  <c r="AD193" i="9"/>
  <c r="AE193" i="9"/>
  <c r="AB194" i="9"/>
  <c r="AC194" i="9"/>
  <c r="AD194" i="9"/>
  <c r="AE194" i="9"/>
  <c r="AB195" i="9"/>
  <c r="AC195" i="9"/>
  <c r="AD195" i="9"/>
  <c r="AE195" i="9"/>
  <c r="AB196" i="9"/>
  <c r="AC196" i="9"/>
  <c r="AD196" i="9"/>
  <c r="AE196" i="9"/>
  <c r="AB197" i="9"/>
  <c r="AC197" i="9"/>
  <c r="AD197" i="9"/>
  <c r="AE197" i="9"/>
  <c r="AB198" i="9"/>
  <c r="AC198" i="9"/>
  <c r="AD198" i="9"/>
  <c r="AE198" i="9"/>
  <c r="AB199" i="9"/>
  <c r="AC199" i="9"/>
  <c r="AD199" i="9"/>
  <c r="AE199" i="9"/>
  <c r="AB200" i="9"/>
  <c r="AC200" i="9"/>
  <c r="AD200" i="9"/>
  <c r="AE200" i="9"/>
  <c r="AB201" i="9"/>
  <c r="AC201" i="9"/>
  <c r="AD201" i="9"/>
  <c r="AE201" i="9"/>
  <c r="AB202" i="9"/>
  <c r="AC202" i="9"/>
  <c r="AD202" i="9"/>
  <c r="AE202" i="9"/>
  <c r="AB203" i="9"/>
  <c r="AC203" i="9"/>
  <c r="AD203" i="9"/>
  <c r="AE203" i="9"/>
  <c r="AB204" i="9"/>
  <c r="AC204" i="9"/>
  <c r="AD204" i="9"/>
  <c r="AE204" i="9"/>
  <c r="AB205" i="9"/>
  <c r="AC205" i="9"/>
  <c r="AD205" i="9"/>
  <c r="AE205" i="9"/>
  <c r="AB206" i="9"/>
  <c r="AC206" i="9"/>
  <c r="AD206" i="9"/>
  <c r="AE206" i="9"/>
  <c r="AB207" i="9"/>
  <c r="AC207" i="9"/>
  <c r="AD207" i="9"/>
  <c r="AE207" i="9"/>
  <c r="AB208" i="9"/>
  <c r="AC208" i="9"/>
  <c r="AD208" i="9"/>
  <c r="AE208" i="9"/>
  <c r="AB209" i="9"/>
  <c r="AC209" i="9"/>
  <c r="AD209" i="9"/>
  <c r="AE209" i="9"/>
  <c r="AB210" i="9"/>
  <c r="AC210" i="9"/>
  <c r="AD210" i="9"/>
  <c r="AE210" i="9"/>
  <c r="AB211" i="9"/>
  <c r="AC211" i="9"/>
  <c r="AD211" i="9"/>
  <c r="AE211" i="9"/>
  <c r="AB212" i="9"/>
  <c r="AC212" i="9"/>
  <c r="AD212" i="9"/>
  <c r="AE212" i="9"/>
  <c r="AB213" i="9"/>
  <c r="AC213" i="9"/>
  <c r="AD213" i="9"/>
  <c r="AE213" i="9"/>
  <c r="AB214" i="9"/>
  <c r="AC214" i="9"/>
  <c r="AD214" i="9"/>
  <c r="AE214" i="9"/>
  <c r="AB215" i="9"/>
  <c r="AC215" i="9"/>
  <c r="AD215" i="9"/>
  <c r="AE215" i="9"/>
  <c r="AB216" i="9"/>
  <c r="AC216" i="9"/>
  <c r="AD216" i="9"/>
  <c r="AE216" i="9"/>
  <c r="AB217" i="9"/>
  <c r="AC217" i="9"/>
  <c r="AD217" i="9"/>
  <c r="AE217" i="9"/>
  <c r="AB218" i="9"/>
  <c r="AC218" i="9"/>
  <c r="AD218" i="9"/>
  <c r="AE218" i="9"/>
  <c r="AB219" i="9"/>
  <c r="AC219" i="9"/>
  <c r="AD219" i="9"/>
  <c r="AE219" i="9"/>
  <c r="AB220" i="9"/>
  <c r="AC220" i="9"/>
  <c r="AD220" i="9"/>
  <c r="AE220" i="9"/>
  <c r="AB221" i="9"/>
  <c r="AC221" i="9"/>
  <c r="AD221" i="9"/>
  <c r="AE221" i="9"/>
  <c r="AB222" i="9"/>
  <c r="AC222" i="9"/>
  <c r="AD222" i="9"/>
  <c r="AE222" i="9"/>
  <c r="AB223" i="9"/>
  <c r="AC223" i="9"/>
  <c r="AD223" i="9"/>
  <c r="AE223" i="9"/>
  <c r="AB224" i="9"/>
  <c r="AC224" i="9"/>
  <c r="AD224" i="9"/>
  <c r="AE224" i="9"/>
  <c r="AB225" i="9"/>
  <c r="AC225" i="9"/>
  <c r="AD225" i="9"/>
  <c r="AE225" i="9"/>
  <c r="AB226" i="9"/>
  <c r="AC226" i="9"/>
  <c r="AD226" i="9"/>
  <c r="AE226" i="9"/>
  <c r="AB227" i="9"/>
  <c r="AC227" i="9"/>
  <c r="AD227" i="9"/>
  <c r="AE227" i="9"/>
  <c r="AB228" i="9"/>
  <c r="AC228" i="9"/>
  <c r="AD228" i="9"/>
  <c r="AE228" i="9"/>
  <c r="AB229" i="9"/>
  <c r="AC229" i="9"/>
  <c r="AD229" i="9"/>
  <c r="AE229" i="9"/>
  <c r="AB230" i="9"/>
  <c r="AC230" i="9"/>
  <c r="AD230" i="9"/>
  <c r="AE230" i="9"/>
  <c r="AB231" i="9"/>
  <c r="AC231" i="9"/>
  <c r="AD231" i="9"/>
  <c r="AE231" i="9"/>
  <c r="AB232" i="9"/>
  <c r="AC232" i="9"/>
  <c r="AD232" i="9"/>
  <c r="AE232" i="9"/>
  <c r="AB233" i="9"/>
  <c r="AC233" i="9"/>
  <c r="AD233" i="9"/>
  <c r="AE233" i="9"/>
  <c r="AB234" i="9"/>
  <c r="AC234" i="9"/>
  <c r="AD234" i="9"/>
  <c r="AE234" i="9"/>
  <c r="AB235" i="9"/>
  <c r="AC235" i="9"/>
  <c r="AD235" i="9"/>
  <c r="AE235" i="9"/>
  <c r="AB236" i="9"/>
  <c r="AC236" i="9"/>
  <c r="AD236" i="9"/>
  <c r="AE236" i="9"/>
  <c r="AB237" i="9"/>
  <c r="AC237" i="9"/>
  <c r="AD237" i="9"/>
  <c r="AE237" i="9"/>
  <c r="AB238" i="9"/>
  <c r="AC238" i="9"/>
  <c r="AD238" i="9"/>
  <c r="AE238" i="9"/>
  <c r="AB239" i="9"/>
  <c r="AC239" i="9"/>
  <c r="AD239" i="9"/>
  <c r="AE239" i="9"/>
  <c r="AB240" i="9"/>
  <c r="AC240" i="9"/>
  <c r="AD240" i="9"/>
  <c r="AE240" i="9"/>
  <c r="AB241" i="9"/>
  <c r="AC241" i="9"/>
  <c r="AD241" i="9"/>
  <c r="AE241" i="9"/>
  <c r="AB242" i="9"/>
  <c r="AC242" i="9"/>
  <c r="AD242" i="9"/>
  <c r="AE242" i="9"/>
  <c r="AB243" i="9"/>
  <c r="AC243" i="9"/>
  <c r="AD243" i="9"/>
  <c r="AE243" i="9"/>
  <c r="AB244" i="9"/>
  <c r="AC244" i="9"/>
  <c r="AD244" i="9"/>
  <c r="AE244" i="9"/>
  <c r="AB245" i="9"/>
  <c r="AC245" i="9"/>
  <c r="AD245" i="9"/>
  <c r="AE245" i="9"/>
  <c r="AB246" i="9"/>
  <c r="AC246" i="9"/>
  <c r="AD246" i="9"/>
  <c r="AE246" i="9"/>
  <c r="AB247" i="9"/>
  <c r="AC247" i="9"/>
  <c r="AD247" i="9"/>
  <c r="AE247" i="9"/>
  <c r="AB248" i="9"/>
  <c r="AC248" i="9"/>
  <c r="AD248" i="9"/>
  <c r="AE248" i="9"/>
  <c r="AB249" i="9"/>
  <c r="AC249" i="9"/>
  <c r="AD249" i="9"/>
  <c r="AE249" i="9"/>
  <c r="AB250" i="9"/>
  <c r="AC250" i="9"/>
  <c r="AD250" i="9"/>
  <c r="AE250" i="9"/>
  <c r="AB251" i="9"/>
  <c r="AC251" i="9"/>
  <c r="AD251" i="9"/>
  <c r="AE251" i="9"/>
  <c r="AB252" i="9"/>
  <c r="AC252" i="9"/>
  <c r="AD252" i="9"/>
  <c r="AE252" i="9"/>
  <c r="AB253" i="9"/>
  <c r="AC253" i="9"/>
  <c r="AD253" i="9"/>
  <c r="AE253" i="9"/>
  <c r="AB254" i="9"/>
  <c r="AC254" i="9"/>
  <c r="AD254" i="9"/>
  <c r="AE254" i="9"/>
  <c r="AB255" i="9"/>
  <c r="AC255" i="9"/>
  <c r="AD255" i="9"/>
  <c r="AE255" i="9"/>
  <c r="AB256" i="9"/>
  <c r="AC256" i="9"/>
  <c r="AD256" i="9"/>
  <c r="AE256" i="9"/>
  <c r="AB257" i="9"/>
  <c r="AC257" i="9"/>
  <c r="AD257" i="9"/>
  <c r="AE257" i="9"/>
  <c r="AB258" i="9"/>
  <c r="AC258" i="9"/>
  <c r="AD258" i="9"/>
  <c r="AE258" i="9"/>
  <c r="AB259" i="9"/>
  <c r="AC259" i="9"/>
  <c r="AD259" i="9"/>
  <c r="AE259" i="9"/>
  <c r="AB260" i="9"/>
  <c r="AC260" i="9"/>
  <c r="AD260" i="9"/>
  <c r="AE260" i="9"/>
  <c r="AB261" i="9"/>
  <c r="AC261" i="9"/>
  <c r="AD261" i="9"/>
  <c r="AE261" i="9"/>
  <c r="AB262" i="9"/>
  <c r="AC262" i="9"/>
  <c r="AD262" i="9"/>
  <c r="AE262" i="9"/>
  <c r="AB263" i="9"/>
  <c r="AC263" i="9"/>
  <c r="AD263" i="9"/>
  <c r="AE263" i="9"/>
  <c r="AB264" i="9"/>
  <c r="AC264" i="9"/>
  <c r="AD264" i="9"/>
  <c r="AE264" i="9"/>
  <c r="AB265" i="9"/>
  <c r="AC265" i="9"/>
  <c r="AD265" i="9"/>
  <c r="AE265" i="9"/>
  <c r="AB266" i="9"/>
  <c r="AC266" i="9"/>
  <c r="AD266" i="9"/>
  <c r="AE266" i="9"/>
  <c r="AB267" i="9"/>
  <c r="AC267" i="9"/>
  <c r="AD267" i="9"/>
  <c r="AE267" i="9"/>
  <c r="AB268" i="9"/>
  <c r="AC268" i="9"/>
  <c r="AD268" i="9"/>
  <c r="AE268" i="9"/>
  <c r="AB269" i="9"/>
  <c r="AC269" i="9"/>
  <c r="AD269" i="9"/>
  <c r="AE269" i="9"/>
  <c r="AB270" i="9"/>
  <c r="AC270" i="9"/>
  <c r="AD270" i="9"/>
  <c r="AE270" i="9"/>
  <c r="AB271" i="9"/>
  <c r="AC271" i="9"/>
  <c r="AD271" i="9"/>
  <c r="AE271" i="9"/>
  <c r="AB272" i="9"/>
  <c r="AC272" i="9"/>
  <c r="AD272" i="9"/>
  <c r="AE272" i="9"/>
  <c r="AB273" i="9"/>
  <c r="AC273" i="9"/>
  <c r="AD273" i="9"/>
  <c r="AE273" i="9"/>
  <c r="AB274" i="9"/>
  <c r="AC274" i="9"/>
  <c r="AD274" i="9"/>
  <c r="AE274" i="9"/>
  <c r="AB275" i="9"/>
  <c r="AC275" i="9"/>
  <c r="AD275" i="9"/>
  <c r="AE275" i="9"/>
  <c r="AB276" i="9"/>
  <c r="AC276" i="9"/>
  <c r="AD276" i="9"/>
  <c r="AE276" i="9"/>
  <c r="AB277" i="9"/>
  <c r="AC277" i="9"/>
  <c r="AD277" i="9"/>
  <c r="AE277" i="9"/>
  <c r="AB278" i="9"/>
  <c r="AC278" i="9"/>
  <c r="AD278" i="9"/>
  <c r="AE278" i="9"/>
  <c r="AB279" i="9"/>
  <c r="AC279" i="9"/>
  <c r="AD279" i="9"/>
  <c r="AE279" i="9"/>
  <c r="AB280" i="9"/>
  <c r="AC280" i="9"/>
  <c r="AD280" i="9"/>
  <c r="AE280" i="9"/>
  <c r="AB281" i="9"/>
  <c r="AC281" i="9"/>
  <c r="AD281" i="9"/>
  <c r="AE281" i="9"/>
  <c r="AB282" i="9"/>
  <c r="AC282" i="9"/>
  <c r="AD282" i="9"/>
  <c r="AE282" i="9"/>
  <c r="AB283" i="9"/>
  <c r="AC283" i="9"/>
  <c r="AD283" i="9"/>
  <c r="AE283" i="9"/>
  <c r="AB284" i="9"/>
  <c r="AC284" i="9"/>
  <c r="AD284" i="9"/>
  <c r="AE284" i="9"/>
  <c r="AB285" i="9"/>
  <c r="AC285" i="9"/>
  <c r="AD285" i="9"/>
  <c r="AE285" i="9"/>
  <c r="AB286" i="9"/>
  <c r="AC286" i="9"/>
  <c r="AD286" i="9"/>
  <c r="AE286" i="9"/>
  <c r="AB287" i="9"/>
  <c r="AC287" i="9"/>
  <c r="AD287" i="9"/>
  <c r="AE287" i="9"/>
  <c r="AB288" i="9"/>
  <c r="AC288" i="9"/>
  <c r="AD288" i="9"/>
  <c r="AE288" i="9"/>
  <c r="AB289" i="9"/>
  <c r="AC289" i="9"/>
  <c r="AD289" i="9"/>
  <c r="AE289" i="9"/>
  <c r="AB290" i="9"/>
  <c r="AC290" i="9"/>
  <c r="AD290" i="9"/>
  <c r="AE290" i="9"/>
  <c r="AB291" i="9"/>
  <c r="AC291" i="9"/>
  <c r="AD291" i="9"/>
  <c r="AE291" i="9"/>
  <c r="AB292" i="9"/>
  <c r="AC292" i="9"/>
  <c r="AD292" i="9"/>
  <c r="AE292" i="9"/>
  <c r="AB293" i="9"/>
  <c r="AC293" i="9"/>
  <c r="AD293" i="9"/>
  <c r="AE293" i="9"/>
  <c r="AB294" i="9"/>
  <c r="AC294" i="9"/>
  <c r="AD294" i="9"/>
  <c r="AE294" i="9"/>
  <c r="AB295" i="9"/>
  <c r="AC295" i="9"/>
  <c r="AD295" i="9"/>
  <c r="AE295" i="9"/>
  <c r="AB296" i="9"/>
  <c r="AC296" i="9"/>
  <c r="AD296" i="9"/>
  <c r="AE296" i="9"/>
  <c r="AB297" i="9"/>
  <c r="AC297" i="9"/>
  <c r="AD297" i="9"/>
  <c r="AE297" i="9"/>
  <c r="AB298" i="9"/>
  <c r="AC298" i="9"/>
  <c r="AD298" i="9"/>
  <c r="AE298" i="9"/>
  <c r="AB299" i="9"/>
  <c r="AC299" i="9"/>
  <c r="AD299" i="9"/>
  <c r="AE299" i="9"/>
  <c r="AB300" i="9"/>
  <c r="AC300" i="9"/>
  <c r="AD300" i="9"/>
  <c r="AE300" i="9"/>
  <c r="AB301" i="9"/>
  <c r="AC301" i="9"/>
  <c r="AD301" i="9"/>
  <c r="AE301" i="9"/>
  <c r="AB302" i="9"/>
  <c r="AC302" i="9"/>
  <c r="AD302" i="9"/>
  <c r="AE302" i="9"/>
  <c r="AB303" i="9"/>
  <c r="AC303" i="9"/>
  <c r="AD303" i="9"/>
  <c r="AE303" i="9"/>
  <c r="AB304" i="9"/>
  <c r="AC304" i="9"/>
  <c r="AD304" i="9"/>
  <c r="AE304" i="9"/>
  <c r="AB305" i="9"/>
  <c r="AC305" i="9"/>
  <c r="AD305" i="9"/>
  <c r="AE305" i="9"/>
  <c r="AB306" i="9"/>
  <c r="AC306" i="9"/>
  <c r="AD306" i="9"/>
  <c r="AE306" i="9"/>
  <c r="AB307" i="9"/>
  <c r="AC307" i="9"/>
  <c r="AD307" i="9"/>
  <c r="AE307" i="9"/>
  <c r="AB308" i="9"/>
  <c r="AC308" i="9"/>
  <c r="AD308" i="9"/>
  <c r="AE308" i="9"/>
  <c r="AB309" i="9"/>
  <c r="AC309" i="9"/>
  <c r="AD309" i="9"/>
  <c r="AE309" i="9"/>
  <c r="AB310" i="9"/>
  <c r="AC310" i="9"/>
  <c r="AD310" i="9"/>
  <c r="AE310" i="9"/>
  <c r="AB311" i="9"/>
  <c r="AC311" i="9"/>
  <c r="AD311" i="9"/>
  <c r="AE311" i="9"/>
  <c r="AB312" i="9"/>
  <c r="AC312" i="9"/>
  <c r="AD312" i="9"/>
  <c r="AE312" i="9"/>
  <c r="AB313" i="9"/>
  <c r="AC313" i="9"/>
  <c r="AD313" i="9"/>
  <c r="AE313" i="9"/>
  <c r="AB314" i="9"/>
  <c r="AC314" i="9"/>
  <c r="AD314" i="9"/>
  <c r="AE314" i="9"/>
  <c r="AB315" i="9"/>
  <c r="AC315" i="9"/>
  <c r="AD315" i="9"/>
  <c r="AE315" i="9"/>
  <c r="AB316" i="9"/>
  <c r="AC316" i="9"/>
  <c r="AD316" i="9"/>
  <c r="AE316" i="9"/>
  <c r="AB317" i="9"/>
  <c r="AC317" i="9"/>
  <c r="AD317" i="9"/>
  <c r="AE317" i="9"/>
  <c r="AB318" i="9"/>
  <c r="AC318" i="9"/>
  <c r="AD318" i="9"/>
  <c r="AE318" i="9"/>
  <c r="AB319" i="9"/>
  <c r="AC319" i="9"/>
  <c r="AD319" i="9"/>
  <c r="AE319" i="9"/>
  <c r="AB320" i="9"/>
  <c r="AC320" i="9"/>
  <c r="AD320" i="9"/>
  <c r="AE320" i="9"/>
  <c r="AB321" i="9"/>
  <c r="AC321" i="9"/>
  <c r="AD321" i="9"/>
  <c r="AE321" i="9"/>
  <c r="AB322" i="9"/>
  <c r="AC322" i="9"/>
  <c r="AD322" i="9"/>
  <c r="AE322" i="9"/>
  <c r="AB323" i="9"/>
  <c r="AC323" i="9"/>
  <c r="AD323" i="9"/>
  <c r="AE323" i="9"/>
  <c r="AB324" i="9"/>
  <c r="AC324" i="9"/>
  <c r="AD324" i="9"/>
  <c r="AE324" i="9"/>
  <c r="AB325" i="9"/>
  <c r="AC325" i="9"/>
  <c r="AD325" i="9"/>
  <c r="AE325" i="9"/>
  <c r="AB326" i="9"/>
  <c r="AC326" i="9"/>
  <c r="AD326" i="9"/>
  <c r="AE326" i="9"/>
  <c r="AB327" i="9"/>
  <c r="AC327" i="9"/>
  <c r="AD327" i="9"/>
  <c r="AE327" i="9"/>
  <c r="AB328" i="9"/>
  <c r="AC328" i="9"/>
  <c r="AD328" i="9"/>
  <c r="AE328" i="9"/>
  <c r="AB329" i="9"/>
  <c r="AC329" i="9"/>
  <c r="AD329" i="9"/>
  <c r="AE329" i="9"/>
  <c r="AB330" i="9"/>
  <c r="AC330" i="9"/>
  <c r="AD330" i="9"/>
  <c r="AE330" i="9"/>
  <c r="AB331" i="9"/>
  <c r="AC331" i="9"/>
  <c r="AD331" i="9"/>
  <c r="AE331" i="9"/>
  <c r="AB332" i="9"/>
  <c r="AC332" i="9"/>
  <c r="AD332" i="9"/>
  <c r="AE332" i="9"/>
  <c r="AB333" i="9"/>
  <c r="AC333" i="9"/>
  <c r="AD333" i="9"/>
  <c r="AE333" i="9"/>
  <c r="AB334" i="9"/>
  <c r="AC334" i="9"/>
  <c r="AD334" i="9"/>
  <c r="AE334" i="9"/>
  <c r="AB335" i="9"/>
  <c r="AC335" i="9"/>
  <c r="AD335" i="9"/>
  <c r="AE335" i="9"/>
  <c r="AB336" i="9"/>
  <c r="AC336" i="9"/>
  <c r="AD336" i="9"/>
  <c r="AE336" i="9"/>
  <c r="AB337" i="9"/>
  <c r="AC337" i="9"/>
  <c r="AD337" i="9"/>
  <c r="AE337" i="9"/>
  <c r="AB338" i="9"/>
  <c r="AC338" i="9"/>
  <c r="AD338" i="9"/>
  <c r="AE338" i="9"/>
  <c r="AB339" i="9"/>
  <c r="AC339" i="9"/>
  <c r="AD339" i="9"/>
  <c r="AE339" i="9"/>
  <c r="AB340" i="9"/>
  <c r="AC340" i="9"/>
  <c r="AD340" i="9"/>
  <c r="AE340" i="9"/>
  <c r="AB341" i="9"/>
  <c r="AC341" i="9"/>
  <c r="AD341" i="9"/>
  <c r="AE341" i="9"/>
  <c r="AB342" i="9"/>
  <c r="AC342" i="9"/>
  <c r="AD342" i="9"/>
  <c r="AE342" i="9"/>
  <c r="AB343" i="9"/>
  <c r="AC343" i="9"/>
  <c r="AD343" i="9"/>
  <c r="AE343" i="9"/>
  <c r="AB344" i="9"/>
  <c r="AC344" i="9"/>
  <c r="AD344" i="9"/>
  <c r="AE344" i="9"/>
  <c r="AB345" i="9"/>
  <c r="AC345" i="9"/>
  <c r="AD345" i="9"/>
  <c r="AE345" i="9"/>
  <c r="AB346" i="9"/>
  <c r="AC346" i="9"/>
  <c r="AD346" i="9"/>
  <c r="AE346" i="9"/>
  <c r="AB347" i="9"/>
  <c r="AC347" i="9"/>
  <c r="AD347" i="9"/>
  <c r="AE347" i="9"/>
  <c r="AB348" i="9"/>
  <c r="AC348" i="9"/>
  <c r="AD348" i="9"/>
  <c r="AE348" i="9"/>
  <c r="AB349" i="9"/>
  <c r="AC349" i="9"/>
  <c r="AD349" i="9"/>
  <c r="AE349" i="9"/>
  <c r="AB350" i="9"/>
  <c r="AC350" i="9"/>
  <c r="AD350" i="9"/>
  <c r="AE350" i="9"/>
  <c r="AB351" i="9"/>
  <c r="AC351" i="9"/>
  <c r="AD351" i="9"/>
  <c r="AE351" i="9"/>
  <c r="AB352" i="9"/>
  <c r="AC352" i="9"/>
  <c r="AD352" i="9"/>
  <c r="AE352" i="9"/>
  <c r="AB353" i="9"/>
  <c r="AC353" i="9"/>
  <c r="AD353" i="9"/>
  <c r="AE353" i="9"/>
  <c r="AB354" i="9"/>
  <c r="AC354" i="9"/>
  <c r="AD354" i="9"/>
  <c r="AE354" i="9"/>
  <c r="AB355" i="9"/>
  <c r="AC355" i="9"/>
  <c r="AD355" i="9"/>
  <c r="AE355" i="9"/>
  <c r="AB356" i="9"/>
  <c r="AC356" i="9"/>
  <c r="AD356" i="9"/>
  <c r="AE356" i="9"/>
  <c r="AB357" i="9"/>
  <c r="AC357" i="9"/>
  <c r="AD357" i="9"/>
  <c r="AE357" i="9"/>
  <c r="AB358" i="9"/>
  <c r="AC358" i="9"/>
  <c r="AD358" i="9"/>
  <c r="AE358" i="9"/>
  <c r="AB359" i="9"/>
  <c r="AC359" i="9"/>
  <c r="AD359" i="9"/>
  <c r="AE359" i="9"/>
  <c r="AB360" i="9"/>
  <c r="AC360" i="9"/>
  <c r="AD360" i="9"/>
  <c r="AE360" i="9"/>
  <c r="AB361" i="9"/>
  <c r="AC361" i="9"/>
  <c r="AD361" i="9"/>
  <c r="AE361" i="9"/>
  <c r="AB362" i="9"/>
  <c r="AC362" i="9"/>
  <c r="AD362" i="9"/>
  <c r="AE362" i="9"/>
  <c r="AB363" i="9"/>
  <c r="AC363" i="9"/>
  <c r="AD363" i="9"/>
  <c r="AE363" i="9"/>
  <c r="AB364" i="9"/>
  <c r="AC364" i="9"/>
  <c r="AD364" i="9"/>
  <c r="AE364" i="9"/>
  <c r="AB365" i="9"/>
  <c r="AC365" i="9"/>
  <c r="AD365" i="9"/>
  <c r="AE365" i="9"/>
  <c r="AB366" i="9"/>
  <c r="AC366" i="9"/>
  <c r="AD366" i="9"/>
  <c r="AE366" i="9"/>
  <c r="AB367" i="9"/>
  <c r="AC367" i="9"/>
  <c r="AD367" i="9"/>
  <c r="AE367" i="9"/>
  <c r="AB368" i="9"/>
  <c r="AC368" i="9"/>
  <c r="AD368" i="9"/>
  <c r="AE368" i="9"/>
  <c r="AB369" i="9"/>
  <c r="AC369" i="9"/>
  <c r="AD369" i="9"/>
  <c r="AE369" i="9"/>
  <c r="AB370" i="9"/>
  <c r="AC370" i="9"/>
  <c r="AD370" i="9"/>
  <c r="AE370" i="9"/>
  <c r="AB371" i="9"/>
  <c r="AC371" i="9"/>
  <c r="AD371" i="9"/>
  <c r="AE371" i="9"/>
  <c r="AB372" i="9"/>
  <c r="AC372" i="9"/>
  <c r="AD372" i="9"/>
  <c r="AE372" i="9"/>
  <c r="AB373" i="9"/>
  <c r="AC373" i="9"/>
  <c r="AD373" i="9"/>
  <c r="AE373" i="9"/>
  <c r="AB374" i="9"/>
  <c r="AC374" i="9"/>
  <c r="AD374" i="9"/>
  <c r="AE374" i="9"/>
  <c r="AB375" i="9"/>
  <c r="AC375" i="9"/>
  <c r="AD375" i="9"/>
  <c r="AE375" i="9"/>
  <c r="AB376" i="9"/>
  <c r="AC376" i="9"/>
  <c r="AD376" i="9"/>
  <c r="AE376" i="9"/>
  <c r="AB377" i="9"/>
  <c r="AC377" i="9"/>
  <c r="AD377" i="9"/>
  <c r="AE377" i="9"/>
  <c r="AB378" i="9"/>
  <c r="AC378" i="9"/>
  <c r="AD378" i="9"/>
  <c r="AE378" i="9"/>
  <c r="AB379" i="9"/>
  <c r="AC379" i="9"/>
  <c r="AD379" i="9"/>
  <c r="AE379" i="9"/>
  <c r="AB380" i="9"/>
  <c r="AC380" i="9"/>
  <c r="AD380" i="9"/>
  <c r="AE380" i="9"/>
  <c r="AB381" i="9"/>
  <c r="AC381" i="9"/>
  <c r="AD381" i="9"/>
  <c r="AE381" i="9"/>
  <c r="AB382" i="9"/>
  <c r="AC382" i="9"/>
  <c r="AD382" i="9"/>
  <c r="AE382" i="9"/>
  <c r="AB383" i="9"/>
  <c r="AC383" i="9"/>
  <c r="AD383" i="9"/>
  <c r="AE383" i="9"/>
  <c r="AB384" i="9"/>
  <c r="AC384" i="9"/>
  <c r="AD384" i="9"/>
  <c r="AE384" i="9"/>
  <c r="AB385" i="9"/>
  <c r="AC385" i="9"/>
  <c r="AD385" i="9"/>
  <c r="AE385" i="9"/>
  <c r="AB386" i="9"/>
  <c r="AC386" i="9"/>
  <c r="AD386" i="9"/>
  <c r="AE386" i="9"/>
  <c r="AB387" i="9"/>
  <c r="AC387" i="9"/>
  <c r="AD387" i="9"/>
  <c r="AE387" i="9"/>
  <c r="AB388" i="9"/>
  <c r="AC388" i="9"/>
  <c r="AD388" i="9"/>
  <c r="AE388" i="9"/>
  <c r="AB389" i="9"/>
  <c r="AC389" i="9"/>
  <c r="AD389" i="9"/>
  <c r="AE389" i="9"/>
  <c r="AB390" i="9"/>
  <c r="AC390" i="9"/>
  <c r="AD390" i="9"/>
  <c r="AE390" i="9"/>
  <c r="AB15" i="169"/>
  <c r="AC15" i="169"/>
  <c r="AD15" i="169"/>
  <c r="AE15" i="169"/>
  <c r="AF15" i="169"/>
  <c r="AG15" i="169"/>
  <c r="AB16" i="169"/>
  <c r="AC16" i="169"/>
  <c r="AD16" i="169"/>
  <c r="AE16" i="169"/>
  <c r="AF16" i="169"/>
  <c r="AG16" i="169"/>
  <c r="AB17" i="169"/>
  <c r="AC17" i="169"/>
  <c r="AD17" i="169"/>
  <c r="AE17" i="169"/>
  <c r="AF17" i="169"/>
  <c r="AG17" i="169"/>
  <c r="AB18" i="169"/>
  <c r="AC18" i="169"/>
  <c r="AD18" i="169"/>
  <c r="AE18" i="169"/>
  <c r="AF18" i="169"/>
  <c r="AG18" i="169"/>
  <c r="AB19" i="169"/>
  <c r="AC19" i="169"/>
  <c r="AD19" i="169"/>
  <c r="AE19" i="169"/>
  <c r="AF19" i="169"/>
  <c r="AG19" i="169"/>
  <c r="AB20" i="169"/>
  <c r="AC20" i="169"/>
  <c r="AD20" i="169"/>
  <c r="AE20" i="169"/>
  <c r="AF20" i="169"/>
  <c r="AG20" i="169"/>
  <c r="AB21" i="169"/>
  <c r="AC21" i="169"/>
  <c r="AD21" i="169"/>
  <c r="AE21" i="169"/>
  <c r="AF21" i="169"/>
  <c r="AG21" i="169"/>
  <c r="AB22" i="169"/>
  <c r="AC22" i="169"/>
  <c r="AD22" i="169"/>
  <c r="AE22" i="169"/>
  <c r="AF22" i="169"/>
  <c r="AG22" i="169"/>
  <c r="AB23" i="169"/>
  <c r="AC23" i="169"/>
  <c r="AD23" i="169"/>
  <c r="AE23" i="169"/>
  <c r="AF23" i="169"/>
  <c r="AG23" i="169"/>
  <c r="AB24" i="169"/>
  <c r="AC24" i="169"/>
  <c r="AD24" i="169"/>
  <c r="AE24" i="169"/>
  <c r="AF24" i="169"/>
  <c r="AG24" i="169"/>
  <c r="AB25" i="169"/>
  <c r="AC25" i="169"/>
  <c r="AD25" i="169"/>
  <c r="AE25" i="169"/>
  <c r="AF25" i="169"/>
  <c r="AG25" i="169"/>
  <c r="AB26" i="169"/>
  <c r="AC26" i="169"/>
  <c r="AD26" i="169"/>
  <c r="AE26" i="169"/>
  <c r="AF26" i="169"/>
  <c r="AG26" i="169"/>
  <c r="AB27" i="169"/>
  <c r="AC27" i="169"/>
  <c r="AD27" i="169"/>
  <c r="AE27" i="169"/>
  <c r="AF27" i="169"/>
  <c r="AG27" i="169"/>
  <c r="AB28" i="169"/>
  <c r="AC28" i="169"/>
  <c r="AD28" i="169"/>
  <c r="AE28" i="169"/>
  <c r="AF28" i="169"/>
  <c r="AG28" i="169"/>
  <c r="AB29" i="169"/>
  <c r="AC29" i="169"/>
  <c r="AD29" i="169"/>
  <c r="AE29" i="169"/>
  <c r="AF29" i="169"/>
  <c r="AG29" i="169"/>
  <c r="AB30" i="169"/>
  <c r="AC30" i="169"/>
  <c r="AD30" i="169"/>
  <c r="AE30" i="169"/>
  <c r="AF30" i="169"/>
  <c r="AG30" i="169"/>
  <c r="AB31" i="169"/>
  <c r="AC31" i="169"/>
  <c r="AD31" i="169"/>
  <c r="AE31" i="169"/>
  <c r="AF31" i="169"/>
  <c r="AG31" i="169"/>
  <c r="AB32" i="169"/>
  <c r="AC32" i="169"/>
  <c r="AD32" i="169"/>
  <c r="AE32" i="169"/>
  <c r="AF32" i="169"/>
  <c r="AG32" i="169"/>
  <c r="AB33" i="169"/>
  <c r="AC33" i="169"/>
  <c r="AD33" i="169"/>
  <c r="AE33" i="169"/>
  <c r="AF33" i="169"/>
  <c r="AG33" i="169"/>
  <c r="AB34" i="169"/>
  <c r="AC34" i="169"/>
  <c r="AD34" i="169"/>
  <c r="AE34" i="169"/>
  <c r="AF34" i="169"/>
  <c r="AG34" i="169"/>
  <c r="AB35" i="169"/>
  <c r="AC35" i="169"/>
  <c r="AD35" i="169"/>
  <c r="AE35" i="169"/>
  <c r="AF35" i="169"/>
  <c r="AG35" i="169"/>
  <c r="AB36" i="169"/>
  <c r="AC36" i="169"/>
  <c r="AD36" i="169"/>
  <c r="AE36" i="169"/>
  <c r="AF36" i="169"/>
  <c r="AG36" i="169"/>
  <c r="AB37" i="169"/>
  <c r="AC37" i="169"/>
  <c r="AD37" i="169"/>
  <c r="AE37" i="169"/>
  <c r="AF37" i="169"/>
  <c r="AG37" i="169"/>
  <c r="AB38" i="169"/>
  <c r="AC38" i="169"/>
  <c r="AD38" i="169"/>
  <c r="AE38" i="169"/>
  <c r="AF38" i="169"/>
  <c r="AG38" i="169"/>
  <c r="AB39" i="169"/>
  <c r="AC39" i="169"/>
  <c r="AD39" i="169"/>
  <c r="AE39" i="169"/>
  <c r="AF39" i="169"/>
  <c r="AG39" i="169"/>
  <c r="AB40" i="169"/>
  <c r="AC40" i="169"/>
  <c r="AD40" i="169"/>
  <c r="AE40" i="169"/>
  <c r="AF40" i="169"/>
  <c r="AG40" i="169"/>
  <c r="AB41" i="169"/>
  <c r="AC41" i="169"/>
  <c r="AD41" i="169"/>
  <c r="AE41" i="169"/>
  <c r="AF41" i="169"/>
  <c r="AG41" i="169"/>
  <c r="AB42" i="169"/>
  <c r="AC42" i="169"/>
  <c r="AD42" i="169"/>
  <c r="AE42" i="169"/>
  <c r="AF42" i="169"/>
  <c r="AG42" i="169"/>
  <c r="AB43" i="169"/>
  <c r="AC43" i="169"/>
  <c r="AD43" i="169"/>
  <c r="AE43" i="169"/>
  <c r="AF43" i="169"/>
  <c r="AG43" i="169"/>
  <c r="AB44" i="169"/>
  <c r="AC44" i="169"/>
  <c r="AD44" i="169"/>
  <c r="AE44" i="169"/>
  <c r="AF44" i="169"/>
  <c r="AG44" i="169"/>
  <c r="AB45" i="169"/>
  <c r="AC45" i="169"/>
  <c r="AD45" i="169"/>
  <c r="AE45" i="169"/>
  <c r="AF45" i="169"/>
  <c r="AG45" i="169"/>
  <c r="AB46" i="169"/>
  <c r="AC46" i="169"/>
  <c r="AD46" i="169"/>
  <c r="AE46" i="169"/>
  <c r="AF46" i="169"/>
  <c r="AG46" i="169"/>
  <c r="AB47" i="169"/>
  <c r="AC47" i="169"/>
  <c r="AD47" i="169"/>
  <c r="AE47" i="169"/>
  <c r="AF47" i="169"/>
  <c r="AG47" i="169"/>
  <c r="AB48" i="169"/>
  <c r="AC48" i="169"/>
  <c r="AD48" i="169"/>
  <c r="AE48" i="169"/>
  <c r="AF48" i="169"/>
  <c r="AG48" i="169"/>
  <c r="AB49" i="169"/>
  <c r="AC49" i="169"/>
  <c r="AD49" i="169"/>
  <c r="AE49" i="169"/>
  <c r="AF49" i="169"/>
  <c r="AG49" i="169"/>
  <c r="AB50" i="169"/>
  <c r="AC50" i="169"/>
  <c r="AD50" i="169"/>
  <c r="AE50" i="169"/>
  <c r="AF50" i="169"/>
  <c r="AG50" i="169"/>
  <c r="AB51" i="169"/>
  <c r="AC51" i="169"/>
  <c r="AD51" i="169"/>
  <c r="AE51" i="169"/>
  <c r="AF51" i="169"/>
  <c r="AG51" i="169"/>
  <c r="AB52" i="169"/>
  <c r="AC52" i="169"/>
  <c r="AD52" i="169"/>
  <c r="AE52" i="169"/>
  <c r="AF52" i="169"/>
  <c r="AG52" i="169"/>
  <c r="AB53" i="169"/>
  <c r="AC53" i="169"/>
  <c r="AD53" i="169"/>
  <c r="AE53" i="169"/>
  <c r="AF53" i="169"/>
  <c r="AG53" i="169"/>
  <c r="AB54" i="169"/>
  <c r="AC54" i="169"/>
  <c r="AD54" i="169"/>
  <c r="AE54" i="169"/>
  <c r="AF54" i="169"/>
  <c r="AG54" i="169"/>
  <c r="AB55" i="169"/>
  <c r="AC55" i="169"/>
  <c r="AD55" i="169"/>
  <c r="AE55" i="169"/>
  <c r="AF55" i="169"/>
  <c r="AG55" i="169"/>
  <c r="AB56" i="169"/>
  <c r="AC56" i="169"/>
  <c r="AD56" i="169"/>
  <c r="AE56" i="169"/>
  <c r="AF56" i="169"/>
  <c r="AG56" i="169"/>
  <c r="AB57" i="169"/>
  <c r="AC57" i="169"/>
  <c r="AD57" i="169"/>
  <c r="AE57" i="169"/>
  <c r="AF57" i="169"/>
  <c r="AG57" i="169"/>
  <c r="AB58" i="169"/>
  <c r="AC58" i="169"/>
  <c r="AD58" i="169"/>
  <c r="AE58" i="169"/>
  <c r="AF58" i="169"/>
  <c r="AG58" i="169"/>
  <c r="AB59" i="169"/>
  <c r="AC59" i="169"/>
  <c r="AD59" i="169"/>
  <c r="AE59" i="169"/>
  <c r="AF59" i="169"/>
  <c r="AG59" i="169"/>
  <c r="AB60" i="169"/>
  <c r="AC60" i="169"/>
  <c r="AD60" i="169"/>
  <c r="AE60" i="169"/>
  <c r="AF60" i="169"/>
  <c r="AG60" i="169"/>
  <c r="AB61" i="169"/>
  <c r="AC61" i="169"/>
  <c r="AD61" i="169"/>
  <c r="AE61" i="169"/>
  <c r="AF61" i="169"/>
  <c r="AG61" i="169"/>
  <c r="AB62" i="169"/>
  <c r="AC62" i="169"/>
  <c r="AD62" i="169"/>
  <c r="AE62" i="169"/>
  <c r="AF62" i="169"/>
  <c r="AG62" i="169"/>
  <c r="AB63" i="169"/>
  <c r="AC63" i="169"/>
  <c r="AD63" i="169"/>
  <c r="AE63" i="169"/>
  <c r="AF63" i="169"/>
  <c r="AG63" i="169"/>
  <c r="AB64" i="169"/>
  <c r="AC64" i="169"/>
  <c r="AD64" i="169"/>
  <c r="AE64" i="169"/>
  <c r="AF64" i="169"/>
  <c r="AG64" i="169"/>
  <c r="AB65" i="169"/>
  <c r="AC65" i="169"/>
  <c r="AD65" i="169"/>
  <c r="AE65" i="169"/>
  <c r="AF65" i="169"/>
  <c r="AG65" i="169"/>
  <c r="AB66" i="169"/>
  <c r="AC66" i="169"/>
  <c r="AD66" i="169"/>
  <c r="AE66" i="169"/>
  <c r="AF66" i="169"/>
  <c r="AG66" i="169"/>
  <c r="AB67" i="169"/>
  <c r="AC67" i="169"/>
  <c r="AD67" i="169"/>
  <c r="AE67" i="169"/>
  <c r="AF67" i="169"/>
  <c r="AG67" i="169"/>
  <c r="AB68" i="169"/>
  <c r="AC68" i="169"/>
  <c r="AD68" i="169"/>
  <c r="AE68" i="169"/>
  <c r="AF68" i="169"/>
  <c r="AG68" i="169"/>
  <c r="AB69" i="169"/>
  <c r="AC69" i="169"/>
  <c r="AD69" i="169"/>
  <c r="AE69" i="169"/>
  <c r="AF69" i="169"/>
  <c r="AG69" i="169"/>
  <c r="AB70" i="169"/>
  <c r="AC70" i="169"/>
  <c r="AD70" i="169"/>
  <c r="AE70" i="169"/>
  <c r="AF70" i="169"/>
  <c r="AG70" i="169"/>
  <c r="AB71" i="169"/>
  <c r="AC71" i="169"/>
  <c r="AD71" i="169"/>
  <c r="AE71" i="169"/>
  <c r="AF71" i="169"/>
  <c r="AG71" i="169"/>
  <c r="AB72" i="169"/>
  <c r="AC72" i="169"/>
  <c r="AD72" i="169"/>
  <c r="AE72" i="169"/>
  <c r="AF72" i="169"/>
  <c r="AG72" i="169"/>
  <c r="AB73" i="169"/>
  <c r="AC73" i="169"/>
  <c r="AD73" i="169"/>
  <c r="AE73" i="169"/>
  <c r="AF73" i="169"/>
  <c r="AG73" i="169"/>
  <c r="AB74" i="169"/>
  <c r="AC74" i="169"/>
  <c r="AD74" i="169"/>
  <c r="AE74" i="169"/>
  <c r="AF74" i="169"/>
  <c r="AG74" i="169"/>
  <c r="AB75" i="169"/>
  <c r="AC75" i="169"/>
  <c r="AD75" i="169"/>
  <c r="AE75" i="169"/>
  <c r="AF75" i="169"/>
  <c r="AG75" i="169"/>
  <c r="AB76" i="169"/>
  <c r="AC76" i="169"/>
  <c r="AD76" i="169"/>
  <c r="AE76" i="169"/>
  <c r="AF76" i="169"/>
  <c r="AG76" i="169"/>
  <c r="AB77" i="169"/>
  <c r="AC77" i="169"/>
  <c r="AD77" i="169"/>
  <c r="AE77" i="169"/>
  <c r="AF77" i="169"/>
  <c r="AG77" i="169"/>
  <c r="AB78" i="169"/>
  <c r="AC78" i="169"/>
  <c r="AD78" i="169"/>
  <c r="AE78" i="169"/>
  <c r="AF78" i="169"/>
  <c r="AG78" i="169"/>
  <c r="AB79" i="169"/>
  <c r="AC79" i="169"/>
  <c r="AD79" i="169"/>
  <c r="AE79" i="169"/>
  <c r="AF79" i="169"/>
  <c r="AG79" i="169"/>
  <c r="AB80" i="169"/>
  <c r="AC80" i="169"/>
  <c r="AD80" i="169"/>
  <c r="AE80" i="169"/>
  <c r="AF80" i="169"/>
  <c r="AG80" i="169"/>
  <c r="AB81" i="169"/>
  <c r="AC81" i="169"/>
  <c r="AD81" i="169"/>
  <c r="AE81" i="169"/>
  <c r="AF81" i="169"/>
  <c r="AG81" i="169"/>
  <c r="AB82" i="169"/>
  <c r="AC82" i="169"/>
  <c r="AD82" i="169"/>
  <c r="AE82" i="169"/>
  <c r="AF82" i="169"/>
  <c r="AG82" i="169"/>
  <c r="AB83" i="169"/>
  <c r="AC83" i="169"/>
  <c r="AD83" i="169"/>
  <c r="AE83" i="169"/>
  <c r="AF83" i="169"/>
  <c r="AG83" i="169"/>
  <c r="AB84" i="169"/>
  <c r="AC84" i="169"/>
  <c r="AD84" i="169"/>
  <c r="AE84" i="169"/>
  <c r="AF84" i="169"/>
  <c r="AG84" i="169"/>
  <c r="AB85" i="169"/>
  <c r="AC85" i="169"/>
  <c r="AD85" i="169"/>
  <c r="AE85" i="169"/>
  <c r="AF85" i="169"/>
  <c r="AG85" i="169"/>
  <c r="AB86" i="169"/>
  <c r="AC86" i="169"/>
  <c r="AD86" i="169"/>
  <c r="AE86" i="169"/>
  <c r="AF86" i="169"/>
  <c r="AG86" i="169"/>
  <c r="AB87" i="169"/>
  <c r="AC87" i="169"/>
  <c r="AD87" i="169"/>
  <c r="AE87" i="169"/>
  <c r="AF87" i="169"/>
  <c r="AG87" i="169"/>
  <c r="AB88" i="169"/>
  <c r="AC88" i="169"/>
  <c r="AD88" i="169"/>
  <c r="AE88" i="169"/>
  <c r="AF88" i="169"/>
  <c r="AG88" i="169"/>
  <c r="AB89" i="169"/>
  <c r="AC89" i="169"/>
  <c r="AD89" i="169"/>
  <c r="AE89" i="169"/>
  <c r="AF89" i="169"/>
  <c r="AG89" i="169"/>
  <c r="AB90" i="169"/>
  <c r="AC90" i="169"/>
  <c r="AD90" i="169"/>
  <c r="AE90" i="169"/>
  <c r="AF90" i="169"/>
  <c r="AG90" i="169"/>
  <c r="AB91" i="169"/>
  <c r="AC91" i="169"/>
  <c r="AD91" i="169"/>
  <c r="AE91" i="169"/>
  <c r="AF91" i="169"/>
  <c r="AG91" i="169"/>
  <c r="AB92" i="169"/>
  <c r="AC92" i="169"/>
  <c r="AD92" i="169"/>
  <c r="AE92" i="169"/>
  <c r="AF92" i="169"/>
  <c r="AG92" i="169"/>
  <c r="AB93" i="169"/>
  <c r="AC93" i="169"/>
  <c r="AD93" i="169"/>
  <c r="AE93" i="169"/>
  <c r="AF93" i="169"/>
  <c r="AG93" i="169"/>
  <c r="AB94" i="169"/>
  <c r="AC94" i="169"/>
  <c r="AD94" i="169"/>
  <c r="AE94" i="169"/>
  <c r="AF94" i="169"/>
  <c r="AG94" i="169"/>
  <c r="AB95" i="169"/>
  <c r="AC95" i="169"/>
  <c r="AD95" i="169"/>
  <c r="AE95" i="169"/>
  <c r="AF95" i="169"/>
  <c r="AG95" i="169"/>
  <c r="AB96" i="169"/>
  <c r="AC96" i="169"/>
  <c r="AD96" i="169"/>
  <c r="AE96" i="169"/>
  <c r="AF96" i="169"/>
  <c r="AG96" i="169"/>
  <c r="AB97" i="169"/>
  <c r="AC97" i="169"/>
  <c r="AD97" i="169"/>
  <c r="AE97" i="169"/>
  <c r="AF97" i="169"/>
  <c r="AG97" i="169"/>
  <c r="AB98" i="169"/>
  <c r="AC98" i="169"/>
  <c r="AD98" i="169"/>
  <c r="AE98" i="169"/>
  <c r="AF98" i="169"/>
  <c r="AG98" i="169"/>
  <c r="AB99" i="169"/>
  <c r="AC99" i="169"/>
  <c r="AD99" i="169"/>
  <c r="AE99" i="169"/>
  <c r="AF99" i="169"/>
  <c r="AG99" i="169"/>
  <c r="AB100" i="169"/>
  <c r="AC100" i="169"/>
  <c r="AD100" i="169"/>
  <c r="AE100" i="169"/>
  <c r="AF100" i="169"/>
  <c r="AG100" i="169"/>
  <c r="AB101" i="169"/>
  <c r="AC101" i="169"/>
  <c r="AD101" i="169"/>
  <c r="AE101" i="169"/>
  <c r="AF101" i="169"/>
  <c r="AG101" i="169"/>
  <c r="AB102" i="169"/>
  <c r="AC102" i="169"/>
  <c r="AD102" i="169"/>
  <c r="AE102" i="169"/>
  <c r="AF102" i="169"/>
  <c r="AG102" i="169"/>
  <c r="AB103" i="169"/>
  <c r="AC103" i="169"/>
  <c r="AD103" i="169"/>
  <c r="AE103" i="169"/>
  <c r="AF103" i="169"/>
  <c r="AG103" i="169"/>
  <c r="AB104" i="169"/>
  <c r="AC104" i="169"/>
  <c r="AD104" i="169"/>
  <c r="AE104" i="169"/>
  <c r="AF104" i="169"/>
  <c r="AG104" i="169"/>
  <c r="AB105" i="169"/>
  <c r="AC105" i="169"/>
  <c r="AD105" i="169"/>
  <c r="AE105" i="169"/>
  <c r="AF105" i="169"/>
  <c r="AG105" i="169"/>
  <c r="AB106" i="169"/>
  <c r="AC106" i="169"/>
  <c r="AD106" i="169"/>
  <c r="AE106" i="169"/>
  <c r="AF106" i="169"/>
  <c r="AG106" i="169"/>
  <c r="AB107" i="169"/>
  <c r="AC107" i="169"/>
  <c r="AD107" i="169"/>
  <c r="AE107" i="169"/>
  <c r="AF107" i="169"/>
  <c r="AG107" i="169"/>
  <c r="AB108" i="169"/>
  <c r="AC108" i="169"/>
  <c r="AD108" i="169"/>
  <c r="AE108" i="169"/>
  <c r="AF108" i="169"/>
  <c r="AG108" i="169"/>
  <c r="AB109" i="169"/>
  <c r="AC109" i="169"/>
  <c r="AD109" i="169"/>
  <c r="AE109" i="169"/>
  <c r="AF109" i="169"/>
  <c r="AG109" i="169"/>
  <c r="AB110" i="169"/>
  <c r="AC110" i="169"/>
  <c r="AD110" i="169"/>
  <c r="AE110" i="169"/>
  <c r="AF110" i="169"/>
  <c r="AG110" i="169"/>
  <c r="AB111" i="169"/>
  <c r="AC111" i="169"/>
  <c r="AD111" i="169"/>
  <c r="AE111" i="169"/>
  <c r="AF111" i="169"/>
  <c r="AG111" i="169"/>
  <c r="AB112" i="169"/>
  <c r="AC112" i="169"/>
  <c r="AD112" i="169"/>
  <c r="AE112" i="169"/>
  <c r="AF112" i="169"/>
  <c r="AG112" i="169"/>
  <c r="AB113" i="169"/>
  <c r="AC113" i="169"/>
  <c r="AD113" i="169"/>
  <c r="AE113" i="169"/>
  <c r="AF113" i="169"/>
  <c r="AG113" i="169"/>
  <c r="AB114" i="169"/>
  <c r="AC114" i="169"/>
  <c r="AD114" i="169"/>
  <c r="AE114" i="169"/>
  <c r="AF114" i="169"/>
  <c r="AG114" i="169"/>
  <c r="AB115" i="169"/>
  <c r="AC115" i="169"/>
  <c r="AD115" i="169"/>
  <c r="AE115" i="169"/>
  <c r="AF115" i="169"/>
  <c r="AG115" i="169"/>
  <c r="AB116" i="169"/>
  <c r="AC116" i="169"/>
  <c r="AD116" i="169"/>
  <c r="AE116" i="169"/>
  <c r="AF116" i="169"/>
  <c r="AG116" i="169"/>
  <c r="AB117" i="169"/>
  <c r="AC117" i="169"/>
  <c r="AD117" i="169"/>
  <c r="AE117" i="169"/>
  <c r="AF117" i="169"/>
  <c r="AG117" i="169"/>
  <c r="AB118" i="169"/>
  <c r="AC118" i="169"/>
  <c r="AD118" i="169"/>
  <c r="AE118" i="169"/>
  <c r="AF118" i="169"/>
  <c r="AG118" i="169"/>
  <c r="AB119" i="169"/>
  <c r="AC119" i="169"/>
  <c r="AD119" i="169"/>
  <c r="AE119" i="169"/>
  <c r="AF119" i="169"/>
  <c r="AG119" i="169"/>
  <c r="AB120" i="169"/>
  <c r="AC120" i="169"/>
  <c r="AD120" i="169"/>
  <c r="AE120" i="169"/>
  <c r="AF120" i="169"/>
  <c r="AG120" i="169"/>
  <c r="AB121" i="169"/>
  <c r="AC121" i="169"/>
  <c r="AD121" i="169"/>
  <c r="AE121" i="169"/>
  <c r="AF121" i="169"/>
  <c r="AG121" i="169"/>
  <c r="AB122" i="169"/>
  <c r="AC122" i="169"/>
  <c r="AD122" i="169"/>
  <c r="AE122" i="169"/>
  <c r="AF122" i="169"/>
  <c r="AG122" i="169"/>
  <c r="AB123" i="169"/>
  <c r="AC123" i="169"/>
  <c r="AD123" i="169"/>
  <c r="AE123" i="169"/>
  <c r="AF123" i="169"/>
  <c r="AG123" i="169"/>
  <c r="AB124" i="169"/>
  <c r="AC124" i="169"/>
  <c r="AD124" i="169"/>
  <c r="AE124" i="169"/>
  <c r="AF124" i="169"/>
  <c r="AG124" i="169"/>
  <c r="AB125" i="169"/>
  <c r="AC125" i="169"/>
  <c r="AD125" i="169"/>
  <c r="AE125" i="169"/>
  <c r="AF125" i="169"/>
  <c r="AG125" i="169"/>
  <c r="AB126" i="169"/>
  <c r="AC126" i="169"/>
  <c r="AD126" i="169"/>
  <c r="AE126" i="169"/>
  <c r="AF126" i="169"/>
  <c r="AG126" i="169"/>
  <c r="AB127" i="169"/>
  <c r="AC127" i="169"/>
  <c r="AD127" i="169"/>
  <c r="AE127" i="169"/>
  <c r="AF127" i="169"/>
  <c r="AG127" i="169"/>
  <c r="AB128" i="169"/>
  <c r="AC128" i="169"/>
  <c r="AD128" i="169"/>
  <c r="AE128" i="169"/>
  <c r="AF128" i="169"/>
  <c r="AG128" i="169"/>
  <c r="AB129" i="169"/>
  <c r="AC129" i="169"/>
  <c r="AD129" i="169"/>
  <c r="AE129" i="169"/>
  <c r="AF129" i="169"/>
  <c r="AG129" i="169"/>
  <c r="AB130" i="169"/>
  <c r="AC130" i="169"/>
  <c r="AD130" i="169"/>
  <c r="AE130" i="169"/>
  <c r="AF130" i="169"/>
  <c r="AG130" i="169"/>
  <c r="AB131" i="169"/>
  <c r="AC131" i="169"/>
  <c r="AD131" i="169"/>
  <c r="AE131" i="169"/>
  <c r="AF131" i="169"/>
  <c r="AG131" i="169"/>
  <c r="AB132" i="169"/>
  <c r="AC132" i="169"/>
  <c r="AD132" i="169"/>
  <c r="AE132" i="169"/>
  <c r="AF132" i="169"/>
  <c r="AG132" i="169"/>
  <c r="AB133" i="169"/>
  <c r="AC133" i="169"/>
  <c r="AD133" i="169"/>
  <c r="AE133" i="169"/>
  <c r="AF133" i="169"/>
  <c r="AG133" i="169"/>
  <c r="AB134" i="169"/>
  <c r="AC134" i="169"/>
  <c r="AD134" i="169"/>
  <c r="AE134" i="169"/>
  <c r="AF134" i="169"/>
  <c r="AG134" i="169"/>
  <c r="AB135" i="169"/>
  <c r="AC135" i="169"/>
  <c r="AD135" i="169"/>
  <c r="AE135" i="169"/>
  <c r="AF135" i="169"/>
  <c r="AG135" i="169"/>
  <c r="AB136" i="169"/>
  <c r="AC136" i="169"/>
  <c r="AD136" i="169"/>
  <c r="AE136" i="169"/>
  <c r="AF136" i="169"/>
  <c r="AG136" i="169"/>
  <c r="AB137" i="169"/>
  <c r="AC137" i="169"/>
  <c r="AD137" i="169"/>
  <c r="AE137" i="169"/>
  <c r="AF137" i="169"/>
  <c r="AG137" i="169"/>
  <c r="AB138" i="169"/>
  <c r="AC138" i="169"/>
  <c r="AD138" i="169"/>
  <c r="AE138" i="169"/>
  <c r="AF138" i="169"/>
  <c r="AG138" i="169"/>
  <c r="AB139" i="169"/>
  <c r="AC139" i="169"/>
  <c r="AD139" i="169"/>
  <c r="AE139" i="169"/>
  <c r="AF139" i="169"/>
  <c r="AG139" i="169"/>
  <c r="AB140" i="169"/>
  <c r="AC140" i="169"/>
  <c r="AD140" i="169"/>
  <c r="AE140" i="169"/>
  <c r="AF140" i="169"/>
  <c r="AG140" i="169"/>
  <c r="AB141" i="169"/>
  <c r="AC141" i="169"/>
  <c r="AD141" i="169"/>
  <c r="AE141" i="169"/>
  <c r="AF141" i="169"/>
  <c r="AG141" i="169"/>
  <c r="AB142" i="169"/>
  <c r="AC142" i="169"/>
  <c r="AD142" i="169"/>
  <c r="AE142" i="169"/>
  <c r="AF142" i="169"/>
  <c r="AG142" i="169"/>
  <c r="AB143" i="169"/>
  <c r="AC143" i="169"/>
  <c r="AD143" i="169"/>
  <c r="AE143" i="169"/>
  <c r="AF143" i="169"/>
  <c r="AG143" i="169"/>
  <c r="AB144" i="169"/>
  <c r="AC144" i="169"/>
  <c r="AD144" i="169"/>
  <c r="AE144" i="169"/>
  <c r="AF144" i="169"/>
  <c r="AG144" i="169"/>
  <c r="AB145" i="169"/>
  <c r="AC145" i="169"/>
  <c r="AD145" i="169"/>
  <c r="AE145" i="169"/>
  <c r="AF145" i="169"/>
  <c r="AG145" i="169"/>
  <c r="AB146" i="169"/>
  <c r="AC146" i="169"/>
  <c r="AD146" i="169"/>
  <c r="AE146" i="169"/>
  <c r="AF146" i="169"/>
  <c r="AG146" i="169"/>
  <c r="AB147" i="169"/>
  <c r="AC147" i="169"/>
  <c r="AD147" i="169"/>
  <c r="AE147" i="169"/>
  <c r="AF147" i="169"/>
  <c r="AG147" i="169"/>
  <c r="AB148" i="169"/>
  <c r="AC148" i="169"/>
  <c r="AD148" i="169"/>
  <c r="AE148" i="169"/>
  <c r="AF148" i="169"/>
  <c r="AG148" i="169"/>
  <c r="AB149" i="169"/>
  <c r="AC149" i="169"/>
  <c r="AD149" i="169"/>
  <c r="AE149" i="169"/>
  <c r="AF149" i="169"/>
  <c r="AG149" i="169"/>
  <c r="AB150" i="169"/>
  <c r="AC150" i="169"/>
  <c r="AD150" i="169"/>
  <c r="AE150" i="169"/>
  <c r="AF150" i="169"/>
  <c r="AG150" i="169"/>
  <c r="AB151" i="169"/>
  <c r="AC151" i="169"/>
  <c r="AD151" i="169"/>
  <c r="AE151" i="169"/>
  <c r="AF151" i="169"/>
  <c r="AG151" i="169"/>
  <c r="AB152" i="169"/>
  <c r="AC152" i="169"/>
  <c r="AD152" i="169"/>
  <c r="AE152" i="169"/>
  <c r="AF152" i="169"/>
  <c r="AG152" i="169"/>
  <c r="AB153" i="169"/>
  <c r="AC153" i="169"/>
  <c r="AD153" i="169"/>
  <c r="AE153" i="169"/>
  <c r="AF153" i="169"/>
  <c r="AG153" i="169"/>
  <c r="AB154" i="169"/>
  <c r="AC154" i="169"/>
  <c r="AD154" i="169"/>
  <c r="AE154" i="169"/>
  <c r="AF154" i="169"/>
  <c r="AG154" i="169"/>
  <c r="AB155" i="169"/>
  <c r="AC155" i="169"/>
  <c r="AD155" i="169"/>
  <c r="AE155" i="169"/>
  <c r="AF155" i="169"/>
  <c r="AG155" i="169"/>
  <c r="AB156" i="169"/>
  <c r="AC156" i="169"/>
  <c r="AD156" i="169"/>
  <c r="AE156" i="169"/>
  <c r="AF156" i="169"/>
  <c r="AG156" i="169"/>
  <c r="AB157" i="169"/>
  <c r="AC157" i="169"/>
  <c r="AD157" i="169"/>
  <c r="AE157" i="169"/>
  <c r="AF157" i="169"/>
  <c r="AG157" i="169"/>
  <c r="AB158" i="169"/>
  <c r="AC158" i="169"/>
  <c r="AD158" i="169"/>
  <c r="AE158" i="169"/>
  <c r="AF158" i="169"/>
  <c r="AG158" i="169"/>
  <c r="AB159" i="169"/>
  <c r="AC159" i="169"/>
  <c r="AD159" i="169"/>
  <c r="AE159" i="169"/>
  <c r="AF159" i="169"/>
  <c r="AG159" i="169"/>
  <c r="AB160" i="169"/>
  <c r="AC160" i="169"/>
  <c r="AD160" i="169"/>
  <c r="AE160" i="169"/>
  <c r="AF160" i="169"/>
  <c r="AG160" i="169"/>
  <c r="AB161" i="169"/>
  <c r="AC161" i="169"/>
  <c r="AD161" i="169"/>
  <c r="AE161" i="169"/>
  <c r="AF161" i="169"/>
  <c r="AG161" i="169"/>
  <c r="AB162" i="169"/>
  <c r="AC162" i="169"/>
  <c r="AD162" i="169"/>
  <c r="AE162" i="169"/>
  <c r="AF162" i="169"/>
  <c r="AG162" i="169"/>
  <c r="AB163" i="169"/>
  <c r="AC163" i="169"/>
  <c r="AD163" i="169"/>
  <c r="AE163" i="169"/>
  <c r="AF163" i="169"/>
  <c r="AG163" i="169"/>
  <c r="AB164" i="169"/>
  <c r="AC164" i="169"/>
  <c r="AD164" i="169"/>
  <c r="AE164" i="169"/>
  <c r="AF164" i="169"/>
  <c r="AG164" i="169"/>
  <c r="AB165" i="169"/>
  <c r="AC165" i="169"/>
  <c r="AD165" i="169"/>
  <c r="AE165" i="169"/>
  <c r="AF165" i="169"/>
  <c r="AG165" i="169"/>
  <c r="AB166" i="169"/>
  <c r="AC166" i="169"/>
  <c r="AD166" i="169"/>
  <c r="AE166" i="169"/>
  <c r="AF166" i="169"/>
  <c r="AG166" i="169"/>
  <c r="AB167" i="169"/>
  <c r="AC167" i="169"/>
  <c r="AD167" i="169"/>
  <c r="AE167" i="169"/>
  <c r="AF167" i="169"/>
  <c r="AG167" i="169"/>
  <c r="AB168" i="169"/>
  <c r="AC168" i="169"/>
  <c r="AD168" i="169"/>
  <c r="AE168" i="169"/>
  <c r="AF168" i="169"/>
  <c r="AG168" i="169"/>
  <c r="AB169" i="169"/>
  <c r="AC169" i="169"/>
  <c r="AD169" i="169"/>
  <c r="AE169" i="169"/>
  <c r="AF169" i="169"/>
  <c r="AG169" i="169"/>
  <c r="AB170" i="169"/>
  <c r="AC170" i="169"/>
  <c r="AD170" i="169"/>
  <c r="AE170" i="169"/>
  <c r="AF170" i="169"/>
  <c r="AG170" i="169"/>
  <c r="AB171" i="169"/>
  <c r="AC171" i="169"/>
  <c r="AD171" i="169"/>
  <c r="AE171" i="169"/>
  <c r="AF171" i="169"/>
  <c r="AG171" i="169"/>
  <c r="AB172" i="169"/>
  <c r="AC172" i="169"/>
  <c r="AD172" i="169"/>
  <c r="AE172" i="169"/>
  <c r="AF172" i="169"/>
  <c r="AG172" i="169"/>
  <c r="AB173" i="169"/>
  <c r="AC173" i="169"/>
  <c r="AD173" i="169"/>
  <c r="AE173" i="169"/>
  <c r="AF173" i="169"/>
  <c r="AG173" i="169"/>
  <c r="AB174" i="169"/>
  <c r="AC174" i="169"/>
  <c r="AD174" i="169"/>
  <c r="AE174" i="169"/>
  <c r="AF174" i="169"/>
  <c r="AG174" i="169"/>
  <c r="AB175" i="169"/>
  <c r="AC175" i="169"/>
  <c r="AD175" i="169"/>
  <c r="AE175" i="169"/>
  <c r="AF175" i="169"/>
  <c r="AG175" i="169"/>
  <c r="AB176" i="169"/>
  <c r="AC176" i="169"/>
  <c r="AD176" i="169"/>
  <c r="AE176" i="169"/>
  <c r="AF176" i="169"/>
  <c r="AG176" i="169"/>
  <c r="AB177" i="169"/>
  <c r="AC177" i="169"/>
  <c r="AD177" i="169"/>
  <c r="AE177" i="169"/>
  <c r="AF177" i="169"/>
  <c r="AG177" i="169"/>
  <c r="AB178" i="169"/>
  <c r="AC178" i="169"/>
  <c r="AD178" i="169"/>
  <c r="AE178" i="169"/>
  <c r="AF178" i="169"/>
  <c r="AG178" i="169"/>
  <c r="AB179" i="169"/>
  <c r="AC179" i="169"/>
  <c r="AD179" i="169"/>
  <c r="AE179" i="169"/>
  <c r="AF179" i="169"/>
  <c r="AG179" i="169"/>
  <c r="AB180" i="169"/>
  <c r="AC180" i="169"/>
  <c r="AD180" i="169"/>
  <c r="AE180" i="169"/>
  <c r="AF180" i="169"/>
  <c r="AG180" i="169"/>
  <c r="AB181" i="169"/>
  <c r="AC181" i="169"/>
  <c r="AD181" i="169"/>
  <c r="AE181" i="169"/>
  <c r="AF181" i="169"/>
  <c r="AG181" i="169"/>
  <c r="AB182" i="169"/>
  <c r="AC182" i="169"/>
  <c r="AD182" i="169"/>
  <c r="AE182" i="169"/>
  <c r="AF182" i="169"/>
  <c r="AG182" i="169"/>
  <c r="AB183" i="169"/>
  <c r="AC183" i="169"/>
  <c r="AD183" i="169"/>
  <c r="AE183" i="169"/>
  <c r="AF183" i="169"/>
  <c r="AG183" i="169"/>
  <c r="AB184" i="169"/>
  <c r="AC184" i="169"/>
  <c r="AD184" i="169"/>
  <c r="AE184" i="169"/>
  <c r="AF184" i="169"/>
  <c r="AG184" i="169"/>
  <c r="AB185" i="169"/>
  <c r="AC185" i="169"/>
  <c r="AD185" i="169"/>
  <c r="AE185" i="169"/>
  <c r="AF185" i="169"/>
  <c r="AG185" i="169"/>
  <c r="AB186" i="169"/>
  <c r="AC186" i="169"/>
  <c r="AD186" i="169"/>
  <c r="AE186" i="169"/>
  <c r="AF186" i="169"/>
  <c r="AG186" i="169"/>
  <c r="AB187" i="169"/>
  <c r="AC187" i="169"/>
  <c r="AD187" i="169"/>
  <c r="AE187" i="169"/>
  <c r="AF187" i="169"/>
  <c r="AG187" i="169"/>
  <c r="AB188" i="169"/>
  <c r="AC188" i="169"/>
  <c r="AD188" i="169"/>
  <c r="AE188" i="169"/>
  <c r="AF188" i="169"/>
  <c r="AG188" i="169"/>
  <c r="AB189" i="169"/>
  <c r="AC189" i="169"/>
  <c r="AD189" i="169"/>
  <c r="AE189" i="169"/>
  <c r="AF189" i="169"/>
  <c r="AG189" i="169"/>
  <c r="AB190" i="169"/>
  <c r="AC190" i="169"/>
  <c r="AD190" i="169"/>
  <c r="AE190" i="169"/>
  <c r="AF190" i="169"/>
  <c r="AG190" i="169"/>
  <c r="AB191" i="169"/>
  <c r="AC191" i="169"/>
  <c r="AD191" i="169"/>
  <c r="AE191" i="169"/>
  <c r="AF191" i="169"/>
  <c r="AG191" i="169"/>
  <c r="AB192" i="169"/>
  <c r="AC192" i="169"/>
  <c r="AD192" i="169"/>
  <c r="AE192" i="169"/>
  <c r="AF192" i="169"/>
  <c r="AG192" i="169"/>
  <c r="AB193" i="169"/>
  <c r="AC193" i="169"/>
  <c r="AD193" i="169"/>
  <c r="AE193" i="169"/>
  <c r="AF193" i="169"/>
  <c r="AG193" i="169"/>
  <c r="AB194" i="169"/>
  <c r="AC194" i="169"/>
  <c r="AD194" i="169"/>
  <c r="AE194" i="169"/>
  <c r="AF194" i="169"/>
  <c r="AG194" i="169"/>
  <c r="AB195" i="169"/>
  <c r="AC195" i="169"/>
  <c r="AD195" i="169"/>
  <c r="AE195" i="169"/>
  <c r="AF195" i="169"/>
  <c r="AG195" i="169"/>
  <c r="AB196" i="169"/>
  <c r="AC196" i="169"/>
  <c r="AD196" i="169"/>
  <c r="AE196" i="169"/>
  <c r="AF196" i="169"/>
  <c r="AG196" i="169"/>
  <c r="AB197" i="169"/>
  <c r="AC197" i="169"/>
  <c r="AD197" i="169"/>
  <c r="AE197" i="169"/>
  <c r="AF197" i="169"/>
  <c r="AG197" i="169"/>
  <c r="AB198" i="169"/>
  <c r="AC198" i="169"/>
  <c r="AD198" i="169"/>
  <c r="AE198" i="169"/>
  <c r="AF198" i="169"/>
  <c r="AG198" i="169"/>
  <c r="AB199" i="169"/>
  <c r="AC199" i="169"/>
  <c r="AD199" i="169"/>
  <c r="AE199" i="169"/>
  <c r="AF199" i="169"/>
  <c r="AG199" i="169"/>
  <c r="AB200" i="169"/>
  <c r="AC200" i="169"/>
  <c r="AD200" i="169"/>
  <c r="AE200" i="169"/>
  <c r="AF200" i="169"/>
  <c r="AG200" i="169"/>
  <c r="AB201" i="169"/>
  <c r="AC201" i="169"/>
  <c r="AD201" i="169"/>
  <c r="AE201" i="169"/>
  <c r="AF201" i="169"/>
  <c r="AG201" i="169"/>
  <c r="AB202" i="169"/>
  <c r="AC202" i="169"/>
  <c r="AD202" i="169"/>
  <c r="AE202" i="169"/>
  <c r="AF202" i="169"/>
  <c r="AG202" i="169"/>
  <c r="AB203" i="169"/>
  <c r="AC203" i="169"/>
  <c r="AD203" i="169"/>
  <c r="AE203" i="169"/>
  <c r="AF203" i="169"/>
  <c r="AG203" i="169"/>
  <c r="AB204" i="169"/>
  <c r="AC204" i="169"/>
  <c r="AD204" i="169"/>
  <c r="AE204" i="169"/>
  <c r="AF204" i="169"/>
  <c r="AG204" i="169"/>
  <c r="AB205" i="169"/>
  <c r="AC205" i="169"/>
  <c r="AD205" i="169"/>
  <c r="AE205" i="169"/>
  <c r="AF205" i="169"/>
  <c r="AG205" i="169"/>
  <c r="AB206" i="169"/>
  <c r="AC206" i="169"/>
  <c r="AD206" i="169"/>
  <c r="AE206" i="169"/>
  <c r="AF206" i="169"/>
  <c r="AG206" i="169"/>
  <c r="AB207" i="169"/>
  <c r="AC207" i="169"/>
  <c r="AD207" i="169"/>
  <c r="AE207" i="169"/>
  <c r="AF207" i="169"/>
  <c r="AG207" i="169"/>
  <c r="AB208" i="169"/>
  <c r="AC208" i="169"/>
  <c r="AD208" i="169"/>
  <c r="AE208" i="169"/>
  <c r="AF208" i="169"/>
  <c r="AG208" i="169"/>
  <c r="AB209" i="169"/>
  <c r="AC209" i="169"/>
  <c r="AD209" i="169"/>
  <c r="AE209" i="169"/>
  <c r="AF209" i="169"/>
  <c r="AG209" i="169"/>
  <c r="AB210" i="169"/>
  <c r="AC210" i="169"/>
  <c r="AD210" i="169"/>
  <c r="AE210" i="169"/>
  <c r="AF210" i="169"/>
  <c r="AG210" i="169"/>
  <c r="AB211" i="169"/>
  <c r="AC211" i="169"/>
  <c r="AD211" i="169"/>
  <c r="AE211" i="169"/>
  <c r="AF211" i="169"/>
  <c r="AG211" i="169"/>
  <c r="AB212" i="169"/>
  <c r="AC212" i="169"/>
  <c r="AD212" i="169"/>
  <c r="AE212" i="169"/>
  <c r="AF212" i="169"/>
  <c r="AG212" i="169"/>
  <c r="AB213" i="169"/>
  <c r="AC213" i="169"/>
  <c r="AD213" i="169"/>
  <c r="AE213" i="169"/>
  <c r="AF213" i="169"/>
  <c r="AG213" i="169"/>
  <c r="AB214" i="169"/>
  <c r="AC214" i="169"/>
  <c r="AD214" i="169"/>
  <c r="AE214" i="169"/>
  <c r="AF214" i="169"/>
  <c r="AG214" i="169"/>
  <c r="AB215" i="169"/>
  <c r="AC215" i="169"/>
  <c r="AD215" i="169"/>
  <c r="AE215" i="169"/>
  <c r="AF215" i="169"/>
  <c r="AG215" i="169"/>
  <c r="AB216" i="169"/>
  <c r="AC216" i="169"/>
  <c r="AD216" i="169"/>
  <c r="AE216" i="169"/>
  <c r="AF216" i="169"/>
  <c r="AG216" i="169"/>
  <c r="AB217" i="169"/>
  <c r="AC217" i="169"/>
  <c r="AD217" i="169"/>
  <c r="AE217" i="169"/>
  <c r="AF217" i="169"/>
  <c r="AG217" i="169"/>
  <c r="AB218" i="169"/>
  <c r="AC218" i="169"/>
  <c r="AD218" i="169"/>
  <c r="AE218" i="169"/>
  <c r="AF218" i="169"/>
  <c r="AG218" i="169"/>
  <c r="AB219" i="169"/>
  <c r="AC219" i="169"/>
  <c r="AD219" i="169"/>
  <c r="AE219" i="169"/>
  <c r="AF219" i="169"/>
  <c r="AG219" i="169"/>
  <c r="AB220" i="169"/>
  <c r="AC220" i="169"/>
  <c r="AD220" i="169"/>
  <c r="AE220" i="169"/>
  <c r="AF220" i="169"/>
  <c r="AG220" i="169"/>
  <c r="AB221" i="169"/>
  <c r="AC221" i="169"/>
  <c r="AD221" i="169"/>
  <c r="AE221" i="169"/>
  <c r="AF221" i="169"/>
  <c r="AG221" i="169"/>
  <c r="AB222" i="169"/>
  <c r="AC222" i="169"/>
  <c r="AD222" i="169"/>
  <c r="AE222" i="169"/>
  <c r="AF222" i="169"/>
  <c r="AG222" i="169"/>
  <c r="AB223" i="169"/>
  <c r="AC223" i="169"/>
  <c r="AD223" i="169"/>
  <c r="AE223" i="169"/>
  <c r="AF223" i="169"/>
  <c r="AG223" i="169"/>
  <c r="AB224" i="169"/>
  <c r="AC224" i="169"/>
  <c r="AD224" i="169"/>
  <c r="AE224" i="169"/>
  <c r="AF224" i="169"/>
  <c r="AG224" i="169"/>
  <c r="AB225" i="169"/>
  <c r="AC225" i="169"/>
  <c r="AD225" i="169"/>
  <c r="AE225" i="169"/>
  <c r="AF225" i="169"/>
  <c r="AG225" i="169"/>
  <c r="AB226" i="169"/>
  <c r="AC226" i="169"/>
  <c r="AD226" i="169"/>
  <c r="AE226" i="169"/>
  <c r="AF226" i="169"/>
  <c r="AG226" i="169"/>
  <c r="AB227" i="169"/>
  <c r="AC227" i="169"/>
  <c r="AD227" i="169"/>
  <c r="AE227" i="169"/>
  <c r="AF227" i="169"/>
  <c r="AG227" i="169"/>
  <c r="AB228" i="169"/>
  <c r="AC228" i="169"/>
  <c r="AD228" i="169"/>
  <c r="AE228" i="169"/>
  <c r="AF228" i="169"/>
  <c r="AG228" i="169"/>
  <c r="AB229" i="169"/>
  <c r="AC229" i="169"/>
  <c r="AD229" i="169"/>
  <c r="AE229" i="169"/>
  <c r="AF229" i="169"/>
  <c r="AG229" i="169"/>
  <c r="AB230" i="169"/>
  <c r="AC230" i="169"/>
  <c r="AD230" i="169"/>
  <c r="AE230" i="169"/>
  <c r="AF230" i="169"/>
  <c r="AG230" i="169"/>
  <c r="AB231" i="169"/>
  <c r="AC231" i="169"/>
  <c r="AD231" i="169"/>
  <c r="AE231" i="169"/>
  <c r="AF231" i="169"/>
  <c r="AG231" i="169"/>
  <c r="AB232" i="169"/>
  <c r="AC232" i="169"/>
  <c r="AD232" i="169"/>
  <c r="AE232" i="169"/>
  <c r="AF232" i="169"/>
  <c r="AG232" i="169"/>
  <c r="AB233" i="169"/>
  <c r="AC233" i="169"/>
  <c r="AD233" i="169"/>
  <c r="AE233" i="169"/>
  <c r="AF233" i="169"/>
  <c r="AG233" i="169"/>
  <c r="AB234" i="169"/>
  <c r="AC234" i="169"/>
  <c r="AD234" i="169"/>
  <c r="AE234" i="169"/>
  <c r="AF234" i="169"/>
  <c r="AG234" i="169"/>
  <c r="AB235" i="169"/>
  <c r="AC235" i="169"/>
  <c r="AD235" i="169"/>
  <c r="AE235" i="169"/>
  <c r="AF235" i="169"/>
  <c r="AG235" i="169"/>
  <c r="AB236" i="169"/>
  <c r="AC236" i="169"/>
  <c r="AD236" i="169"/>
  <c r="AE236" i="169"/>
  <c r="AF236" i="169"/>
  <c r="AG236" i="169"/>
  <c r="AB237" i="169"/>
  <c r="AC237" i="169"/>
  <c r="AD237" i="169"/>
  <c r="AE237" i="169"/>
  <c r="AF237" i="169"/>
  <c r="AG237" i="169"/>
  <c r="AB238" i="169"/>
  <c r="AC238" i="169"/>
  <c r="AD238" i="169"/>
  <c r="AE238" i="169"/>
  <c r="AF238" i="169"/>
  <c r="AG238" i="169"/>
  <c r="AB239" i="169"/>
  <c r="AC239" i="169"/>
  <c r="AD239" i="169"/>
  <c r="AE239" i="169"/>
  <c r="AF239" i="169"/>
  <c r="AG239" i="169"/>
  <c r="AB240" i="169"/>
  <c r="AC240" i="169"/>
  <c r="AD240" i="169"/>
  <c r="AE240" i="169"/>
  <c r="AF240" i="169"/>
  <c r="AG240" i="169"/>
  <c r="AB241" i="169"/>
  <c r="AC241" i="169"/>
  <c r="AD241" i="169"/>
  <c r="AE241" i="169"/>
  <c r="AF241" i="169"/>
  <c r="AG241" i="169"/>
  <c r="AB242" i="169"/>
  <c r="AC242" i="169"/>
  <c r="AD242" i="169"/>
  <c r="AE242" i="169"/>
  <c r="AF242" i="169"/>
  <c r="AG242" i="169"/>
  <c r="AB243" i="169"/>
  <c r="AC243" i="169"/>
  <c r="AD243" i="169"/>
  <c r="AE243" i="169"/>
  <c r="AF243" i="169"/>
  <c r="AG243" i="169"/>
  <c r="AB244" i="169"/>
  <c r="AC244" i="169"/>
  <c r="AD244" i="169"/>
  <c r="AE244" i="169"/>
  <c r="AF244" i="169"/>
  <c r="AG244" i="169"/>
  <c r="AB245" i="169"/>
  <c r="AC245" i="169"/>
  <c r="AD245" i="169"/>
  <c r="AE245" i="169"/>
  <c r="AF245" i="169"/>
  <c r="AG245" i="169"/>
  <c r="AB246" i="169"/>
  <c r="AC246" i="169"/>
  <c r="AD246" i="169"/>
  <c r="AE246" i="169"/>
  <c r="AF246" i="169"/>
  <c r="AG246" i="169"/>
  <c r="AB247" i="169"/>
  <c r="AC247" i="169"/>
  <c r="AD247" i="169"/>
  <c r="AE247" i="169"/>
  <c r="AF247" i="169"/>
  <c r="AG247" i="169"/>
  <c r="AB248" i="169"/>
  <c r="AC248" i="169"/>
  <c r="AD248" i="169"/>
  <c r="AE248" i="169"/>
  <c r="AF248" i="169"/>
  <c r="AG248" i="169"/>
  <c r="AB249" i="169"/>
  <c r="AC249" i="169"/>
  <c r="AD249" i="169"/>
  <c r="AE249" i="169"/>
  <c r="AF249" i="169"/>
  <c r="AG249" i="169"/>
  <c r="AB250" i="169"/>
  <c r="AC250" i="169"/>
  <c r="AD250" i="169"/>
  <c r="AE250" i="169"/>
  <c r="AF250" i="169"/>
  <c r="AG250" i="169"/>
  <c r="AB251" i="169"/>
  <c r="AC251" i="169"/>
  <c r="AD251" i="169"/>
  <c r="AE251" i="169"/>
  <c r="AF251" i="169"/>
  <c r="AG251" i="169"/>
  <c r="AB252" i="169"/>
  <c r="AC252" i="169"/>
  <c r="AD252" i="169"/>
  <c r="AE252" i="169"/>
  <c r="AF252" i="169"/>
  <c r="AG252" i="169"/>
  <c r="AB253" i="169"/>
  <c r="AC253" i="169"/>
  <c r="AD253" i="169"/>
  <c r="AE253" i="169"/>
  <c r="AF253" i="169"/>
  <c r="AG253" i="169"/>
  <c r="AB254" i="169"/>
  <c r="AC254" i="169"/>
  <c r="AD254" i="169"/>
  <c r="AE254" i="169"/>
  <c r="AF254" i="169"/>
  <c r="AG254" i="169"/>
  <c r="AB255" i="169"/>
  <c r="AC255" i="169"/>
  <c r="AD255" i="169"/>
  <c r="AE255" i="169"/>
  <c r="AF255" i="169"/>
  <c r="AG255" i="169"/>
  <c r="AB256" i="169"/>
  <c r="AC256" i="169"/>
  <c r="AD256" i="169"/>
  <c r="AE256" i="169"/>
  <c r="AF256" i="169"/>
  <c r="AG256" i="169"/>
  <c r="AB257" i="169"/>
  <c r="AC257" i="169"/>
  <c r="AD257" i="169"/>
  <c r="AE257" i="169"/>
  <c r="AF257" i="169"/>
  <c r="AG257" i="169"/>
  <c r="AB258" i="169"/>
  <c r="AC258" i="169"/>
  <c r="AD258" i="169"/>
  <c r="AE258" i="169"/>
  <c r="AF258" i="169"/>
  <c r="AG258" i="169"/>
  <c r="AB259" i="169"/>
  <c r="AC259" i="169"/>
  <c r="AD259" i="169"/>
  <c r="AE259" i="169"/>
  <c r="AF259" i="169"/>
  <c r="AG259" i="169"/>
  <c r="AB260" i="169"/>
  <c r="AC260" i="169"/>
  <c r="AD260" i="169"/>
  <c r="AE260" i="169"/>
  <c r="AF260" i="169"/>
  <c r="AG260" i="169"/>
  <c r="AB261" i="169"/>
  <c r="AC261" i="169"/>
  <c r="AD261" i="169"/>
  <c r="AE261" i="169"/>
  <c r="AF261" i="169"/>
  <c r="AG261" i="169"/>
  <c r="AB262" i="169"/>
  <c r="AC262" i="169"/>
  <c r="AD262" i="169"/>
  <c r="AE262" i="169"/>
  <c r="AF262" i="169"/>
  <c r="AG262" i="169"/>
  <c r="AB263" i="169"/>
  <c r="AC263" i="169"/>
  <c r="AD263" i="169"/>
  <c r="AE263" i="169"/>
  <c r="AF263" i="169"/>
  <c r="AG263" i="169"/>
  <c r="AB264" i="169"/>
  <c r="AC264" i="169"/>
  <c r="AD264" i="169"/>
  <c r="AE264" i="169"/>
  <c r="AF264" i="169"/>
  <c r="AG264" i="169"/>
  <c r="AB265" i="169"/>
  <c r="AC265" i="169"/>
  <c r="AD265" i="169"/>
  <c r="AE265" i="169"/>
  <c r="AF265" i="169"/>
  <c r="AG265" i="169"/>
  <c r="AB266" i="169"/>
  <c r="AC266" i="169"/>
  <c r="AD266" i="169"/>
  <c r="AE266" i="169"/>
  <c r="AF266" i="169"/>
  <c r="AG266" i="169"/>
  <c r="AB267" i="169"/>
  <c r="AC267" i="169"/>
  <c r="AD267" i="169"/>
  <c r="AE267" i="169"/>
  <c r="AF267" i="169"/>
  <c r="AG267" i="169"/>
  <c r="AB268" i="169"/>
  <c r="AC268" i="169"/>
  <c r="AD268" i="169"/>
  <c r="AE268" i="169"/>
  <c r="AF268" i="169"/>
  <c r="AG268" i="169"/>
  <c r="AB269" i="169"/>
  <c r="AC269" i="169"/>
  <c r="AD269" i="169"/>
  <c r="AE269" i="169"/>
  <c r="AF269" i="169"/>
  <c r="AG269" i="169"/>
  <c r="AB270" i="169"/>
  <c r="AC270" i="169"/>
  <c r="AD270" i="169"/>
  <c r="AE270" i="169"/>
  <c r="AF270" i="169"/>
  <c r="AG270" i="169"/>
  <c r="AB271" i="169"/>
  <c r="AC271" i="169"/>
  <c r="AD271" i="169"/>
  <c r="AE271" i="169"/>
  <c r="AF271" i="169"/>
  <c r="AG271" i="169"/>
  <c r="AB272" i="169"/>
  <c r="AC272" i="169"/>
  <c r="AD272" i="169"/>
  <c r="AE272" i="169"/>
  <c r="AF272" i="169"/>
  <c r="AG272" i="169"/>
  <c r="AB273" i="169"/>
  <c r="AC273" i="169"/>
  <c r="AD273" i="169"/>
  <c r="AE273" i="169"/>
  <c r="AF273" i="169"/>
  <c r="AG273" i="169"/>
  <c r="AB274" i="169"/>
  <c r="AC274" i="169"/>
  <c r="AD274" i="169"/>
  <c r="AE274" i="169"/>
  <c r="AF274" i="169"/>
  <c r="AG274" i="169"/>
  <c r="AB275" i="169"/>
  <c r="AC275" i="169"/>
  <c r="AD275" i="169"/>
  <c r="AE275" i="169"/>
  <c r="AF275" i="169"/>
  <c r="AG275" i="169"/>
  <c r="AB276" i="169"/>
  <c r="AC276" i="169"/>
  <c r="AD276" i="169"/>
  <c r="AE276" i="169"/>
  <c r="AF276" i="169"/>
  <c r="AG276" i="169"/>
  <c r="AB277" i="169"/>
  <c r="AC277" i="169"/>
  <c r="AD277" i="169"/>
  <c r="AE277" i="169"/>
  <c r="AF277" i="169"/>
  <c r="AG277" i="169"/>
  <c r="AB278" i="169"/>
  <c r="AC278" i="169"/>
  <c r="AD278" i="169"/>
  <c r="AE278" i="169"/>
  <c r="AF278" i="169"/>
  <c r="AG278" i="169"/>
  <c r="AB279" i="169"/>
  <c r="AC279" i="169"/>
  <c r="AD279" i="169"/>
  <c r="AE279" i="169"/>
  <c r="AF279" i="169"/>
  <c r="AG279" i="169"/>
  <c r="AB280" i="169"/>
  <c r="AC280" i="169"/>
  <c r="AD280" i="169"/>
  <c r="AE280" i="169"/>
  <c r="AF280" i="169"/>
  <c r="AG280" i="169"/>
  <c r="AB281" i="169"/>
  <c r="AC281" i="169"/>
  <c r="AD281" i="169"/>
  <c r="AE281" i="169"/>
  <c r="AF281" i="169"/>
  <c r="AG281" i="169"/>
  <c r="AB282" i="169"/>
  <c r="AC282" i="169"/>
  <c r="AD282" i="169"/>
  <c r="AE282" i="169"/>
  <c r="AF282" i="169"/>
  <c r="AG282" i="169"/>
  <c r="AB283" i="169"/>
  <c r="AC283" i="169"/>
  <c r="AD283" i="169"/>
  <c r="AE283" i="169"/>
  <c r="AF283" i="169"/>
  <c r="AG283" i="169"/>
  <c r="AB284" i="169"/>
  <c r="AC284" i="169"/>
  <c r="AD284" i="169"/>
  <c r="AE284" i="169"/>
  <c r="AF284" i="169"/>
  <c r="AG284" i="169"/>
  <c r="AB285" i="169"/>
  <c r="AC285" i="169"/>
  <c r="AD285" i="169"/>
  <c r="AE285" i="169"/>
  <c r="AF285" i="169"/>
  <c r="AG285" i="169"/>
  <c r="AB286" i="169"/>
  <c r="AC286" i="169"/>
  <c r="AD286" i="169"/>
  <c r="AE286" i="169"/>
  <c r="AF286" i="169"/>
  <c r="AG286" i="169"/>
  <c r="AB287" i="169"/>
  <c r="AC287" i="169"/>
  <c r="AD287" i="169"/>
  <c r="AE287" i="169"/>
  <c r="AF287" i="169"/>
  <c r="AG287" i="169"/>
  <c r="AB288" i="169"/>
  <c r="AC288" i="169"/>
  <c r="AD288" i="169"/>
  <c r="AE288" i="169"/>
  <c r="AF288" i="169"/>
  <c r="AG288" i="169"/>
  <c r="AB289" i="169"/>
  <c r="AC289" i="169"/>
  <c r="AD289" i="169"/>
  <c r="AE289" i="169"/>
  <c r="AF289" i="169"/>
  <c r="AG289" i="169"/>
  <c r="AB290" i="169"/>
  <c r="AC290" i="169"/>
  <c r="AD290" i="169"/>
  <c r="AE290" i="169"/>
  <c r="AF290" i="169"/>
  <c r="AG290" i="169"/>
  <c r="AB291" i="169"/>
  <c r="AC291" i="169"/>
  <c r="AD291" i="169"/>
  <c r="AE291" i="169"/>
  <c r="AF291" i="169"/>
  <c r="AG291" i="169"/>
  <c r="AB292" i="169"/>
  <c r="AC292" i="169"/>
  <c r="AD292" i="169"/>
  <c r="AE292" i="169"/>
  <c r="AF292" i="169"/>
  <c r="AG292" i="169"/>
  <c r="AB293" i="169"/>
  <c r="AC293" i="169"/>
  <c r="AD293" i="169"/>
  <c r="AE293" i="169"/>
  <c r="AF293" i="169"/>
  <c r="AG293" i="169"/>
  <c r="AB294" i="169"/>
  <c r="AC294" i="169"/>
  <c r="AD294" i="169"/>
  <c r="AE294" i="169"/>
  <c r="AF294" i="169"/>
  <c r="AG294" i="169"/>
  <c r="AB295" i="169"/>
  <c r="AC295" i="169"/>
  <c r="AD295" i="169"/>
  <c r="AE295" i="169"/>
  <c r="AF295" i="169"/>
  <c r="AG295" i="169"/>
  <c r="AB296" i="169"/>
  <c r="AC296" i="169"/>
  <c r="AD296" i="169"/>
  <c r="AE296" i="169"/>
  <c r="AF296" i="169"/>
  <c r="AG296" i="169"/>
  <c r="AB297" i="169"/>
  <c r="AC297" i="169"/>
  <c r="AD297" i="169"/>
  <c r="AE297" i="169"/>
  <c r="AF297" i="169"/>
  <c r="AG297" i="169"/>
  <c r="AB298" i="169"/>
  <c r="AC298" i="169"/>
  <c r="AD298" i="169"/>
  <c r="AE298" i="169"/>
  <c r="AF298" i="169"/>
  <c r="AG298" i="169"/>
  <c r="AB299" i="169"/>
  <c r="AC299" i="169"/>
  <c r="AD299" i="169"/>
  <c r="AE299" i="169"/>
  <c r="AF299" i="169"/>
  <c r="AG299" i="169"/>
  <c r="AB300" i="169"/>
  <c r="AC300" i="169"/>
  <c r="AD300" i="169"/>
  <c r="AE300" i="169"/>
  <c r="AF300" i="169"/>
  <c r="AG300" i="169"/>
  <c r="AB301" i="169"/>
  <c r="AC301" i="169"/>
  <c r="AD301" i="169"/>
  <c r="AE301" i="169"/>
  <c r="AF301" i="169"/>
  <c r="AG301" i="169"/>
  <c r="AB302" i="169"/>
  <c r="AC302" i="169"/>
  <c r="AD302" i="169"/>
  <c r="AE302" i="169"/>
  <c r="AF302" i="169"/>
  <c r="AG302" i="169"/>
  <c r="AB303" i="169"/>
  <c r="AC303" i="169"/>
  <c r="AD303" i="169"/>
  <c r="AE303" i="169"/>
  <c r="AF303" i="169"/>
  <c r="AG303" i="169"/>
  <c r="AB304" i="169"/>
  <c r="AC304" i="169"/>
  <c r="AD304" i="169"/>
  <c r="AE304" i="169"/>
  <c r="AF304" i="169"/>
  <c r="AG304" i="169"/>
  <c r="AB305" i="169"/>
  <c r="AC305" i="169"/>
  <c r="AD305" i="169"/>
  <c r="AE305" i="169"/>
  <c r="AF305" i="169"/>
  <c r="AG305" i="169"/>
  <c r="AB306" i="169"/>
  <c r="AC306" i="169"/>
  <c r="AD306" i="169"/>
  <c r="AE306" i="169"/>
  <c r="AF306" i="169"/>
  <c r="AG306" i="169"/>
  <c r="AB307" i="169"/>
  <c r="AC307" i="169"/>
  <c r="AD307" i="169"/>
  <c r="AE307" i="169"/>
  <c r="AF307" i="169"/>
  <c r="AG307" i="169"/>
  <c r="AB308" i="169"/>
  <c r="AC308" i="169"/>
  <c r="AD308" i="169"/>
  <c r="AE308" i="169"/>
  <c r="AF308" i="169"/>
  <c r="AG308" i="169"/>
  <c r="AB309" i="169"/>
  <c r="AC309" i="169"/>
  <c r="AD309" i="169"/>
  <c r="AE309" i="169"/>
  <c r="AF309" i="169"/>
  <c r="AG309" i="169"/>
  <c r="AB310" i="169"/>
  <c r="AC310" i="169"/>
  <c r="AD310" i="169"/>
  <c r="AE310" i="169"/>
  <c r="AF310" i="169"/>
  <c r="AG310" i="169"/>
  <c r="AB311" i="169"/>
  <c r="AC311" i="169"/>
  <c r="AD311" i="169"/>
  <c r="AE311" i="169"/>
  <c r="AF311" i="169"/>
  <c r="AG311" i="169"/>
  <c r="AB312" i="169"/>
  <c r="AC312" i="169"/>
  <c r="AD312" i="169"/>
  <c r="AE312" i="169"/>
  <c r="AF312" i="169"/>
  <c r="AG312" i="169"/>
  <c r="AB313" i="169"/>
  <c r="AC313" i="169"/>
  <c r="AD313" i="169"/>
  <c r="AE313" i="169"/>
  <c r="AF313" i="169"/>
  <c r="AG313" i="169"/>
  <c r="AB314" i="169"/>
  <c r="AC314" i="169"/>
  <c r="AD314" i="169"/>
  <c r="AE314" i="169"/>
  <c r="AF314" i="169"/>
  <c r="AG314" i="169"/>
  <c r="AB315" i="169"/>
  <c r="AC315" i="169"/>
  <c r="AD315" i="169"/>
  <c r="AE315" i="169"/>
  <c r="AF315" i="169"/>
  <c r="AG315" i="169"/>
  <c r="AB316" i="169"/>
  <c r="AC316" i="169"/>
  <c r="AD316" i="169"/>
  <c r="AE316" i="169"/>
  <c r="AF316" i="169"/>
  <c r="AG316" i="169"/>
  <c r="AB317" i="169"/>
  <c r="AC317" i="169"/>
  <c r="AD317" i="169"/>
  <c r="AE317" i="169"/>
  <c r="AF317" i="169"/>
  <c r="AG317" i="169"/>
  <c r="AB318" i="169"/>
  <c r="AC318" i="169"/>
  <c r="AD318" i="169"/>
  <c r="AE318" i="169"/>
  <c r="AF318" i="169"/>
  <c r="AG318" i="169"/>
  <c r="AB319" i="169"/>
  <c r="AC319" i="169"/>
  <c r="AD319" i="169"/>
  <c r="AE319" i="169"/>
  <c r="AF319" i="169"/>
  <c r="AG319" i="169"/>
  <c r="AB320" i="169"/>
  <c r="AC320" i="169"/>
  <c r="AD320" i="169"/>
  <c r="AE320" i="169"/>
  <c r="AF320" i="169"/>
  <c r="AG320" i="169"/>
  <c r="AB321" i="169"/>
  <c r="AC321" i="169"/>
  <c r="AD321" i="169"/>
  <c r="AE321" i="169"/>
  <c r="AF321" i="169"/>
  <c r="AG321" i="169"/>
  <c r="AB322" i="169"/>
  <c r="AC322" i="169"/>
  <c r="AD322" i="169"/>
  <c r="AE322" i="169"/>
  <c r="AF322" i="169"/>
  <c r="AG322" i="169"/>
  <c r="AB323" i="169"/>
  <c r="AC323" i="169"/>
  <c r="AD323" i="169"/>
  <c r="AE323" i="169"/>
  <c r="AF323" i="169"/>
  <c r="AG323" i="169"/>
  <c r="AB324" i="169"/>
  <c r="AC324" i="169"/>
  <c r="AD324" i="169"/>
  <c r="AE324" i="169"/>
  <c r="AF324" i="169"/>
  <c r="AG324" i="169"/>
  <c r="AB325" i="169"/>
  <c r="AC325" i="169"/>
  <c r="AD325" i="169"/>
  <c r="AE325" i="169"/>
  <c r="AF325" i="169"/>
  <c r="AG325" i="169"/>
  <c r="AB326" i="169"/>
  <c r="AC326" i="169"/>
  <c r="AD326" i="169"/>
  <c r="AE326" i="169"/>
  <c r="AF326" i="169"/>
  <c r="AG326" i="169"/>
  <c r="AB327" i="169"/>
  <c r="AC327" i="169"/>
  <c r="AD327" i="169"/>
  <c r="AE327" i="169"/>
  <c r="AF327" i="169"/>
  <c r="AG327" i="169"/>
  <c r="AB328" i="169"/>
  <c r="AC328" i="169"/>
  <c r="AD328" i="169"/>
  <c r="AE328" i="169"/>
  <c r="AF328" i="169"/>
  <c r="AG328" i="169"/>
  <c r="AB329" i="169"/>
  <c r="AC329" i="169"/>
  <c r="AD329" i="169"/>
  <c r="AE329" i="169"/>
  <c r="AF329" i="169"/>
  <c r="AG329" i="169"/>
  <c r="AB330" i="169"/>
  <c r="AC330" i="169"/>
  <c r="AD330" i="169"/>
  <c r="AE330" i="169"/>
  <c r="AF330" i="169"/>
  <c r="AG330" i="169"/>
  <c r="AB331" i="169"/>
  <c r="AC331" i="169"/>
  <c r="AD331" i="169"/>
  <c r="AE331" i="169"/>
  <c r="AF331" i="169"/>
  <c r="AG331" i="169"/>
  <c r="AB332" i="169"/>
  <c r="AC332" i="169"/>
  <c r="AD332" i="169"/>
  <c r="AE332" i="169"/>
  <c r="AF332" i="169"/>
  <c r="AG332" i="169"/>
  <c r="AB333" i="169"/>
  <c r="AC333" i="169"/>
  <c r="AD333" i="169"/>
  <c r="AE333" i="169"/>
  <c r="AF333" i="169"/>
  <c r="AG333" i="169"/>
  <c r="AB334" i="169"/>
  <c r="AC334" i="169"/>
  <c r="AD334" i="169"/>
  <c r="AE334" i="169"/>
  <c r="AF334" i="169"/>
  <c r="AG334" i="169"/>
  <c r="AB335" i="169"/>
  <c r="AC335" i="169"/>
  <c r="AD335" i="169"/>
  <c r="AE335" i="169"/>
  <c r="AF335" i="169"/>
  <c r="AG335" i="169"/>
  <c r="AB336" i="169"/>
  <c r="AC336" i="169"/>
  <c r="AD336" i="169"/>
  <c r="AE336" i="169"/>
  <c r="AF336" i="169"/>
  <c r="AG336" i="169"/>
  <c r="AB337" i="169"/>
  <c r="AC337" i="169"/>
  <c r="AD337" i="169"/>
  <c r="AE337" i="169"/>
  <c r="AF337" i="169"/>
  <c r="AG337" i="169"/>
  <c r="AB338" i="169"/>
  <c r="AC338" i="169"/>
  <c r="AD338" i="169"/>
  <c r="AE338" i="169"/>
  <c r="AF338" i="169"/>
  <c r="AG338" i="169"/>
  <c r="AB339" i="169"/>
  <c r="AC339" i="169"/>
  <c r="AD339" i="169"/>
  <c r="AE339" i="169"/>
  <c r="AF339" i="169"/>
  <c r="AG339" i="169"/>
  <c r="AB340" i="169"/>
  <c r="AC340" i="169"/>
  <c r="AD340" i="169"/>
  <c r="AE340" i="169"/>
  <c r="AF340" i="169"/>
  <c r="AG340" i="169"/>
  <c r="AB341" i="169"/>
  <c r="AC341" i="169"/>
  <c r="AD341" i="169"/>
  <c r="AE341" i="169"/>
  <c r="AF341" i="169"/>
  <c r="AG341" i="169"/>
  <c r="AB342" i="169"/>
  <c r="AC342" i="169"/>
  <c r="AD342" i="169"/>
  <c r="AE342" i="169"/>
  <c r="AF342" i="169"/>
  <c r="AG342" i="169"/>
  <c r="AB343" i="169"/>
  <c r="AC343" i="169"/>
  <c r="AD343" i="169"/>
  <c r="AE343" i="169"/>
  <c r="AF343" i="169"/>
  <c r="AG343" i="169"/>
  <c r="AB344" i="169"/>
  <c r="AC344" i="169"/>
  <c r="AD344" i="169"/>
  <c r="AE344" i="169"/>
  <c r="AF344" i="169"/>
  <c r="AG344" i="169"/>
  <c r="AB345" i="169"/>
  <c r="AC345" i="169"/>
  <c r="AD345" i="169"/>
  <c r="AE345" i="169"/>
  <c r="AF345" i="169"/>
  <c r="AG345" i="169"/>
  <c r="AB346" i="169"/>
  <c r="AC346" i="169"/>
  <c r="AD346" i="169"/>
  <c r="AE346" i="169"/>
  <c r="AF346" i="169"/>
  <c r="AG346" i="169"/>
  <c r="AB347" i="169"/>
  <c r="AC347" i="169"/>
  <c r="AD347" i="169"/>
  <c r="AE347" i="169"/>
  <c r="AF347" i="169"/>
  <c r="AG347" i="169"/>
  <c r="AB348" i="169"/>
  <c r="AC348" i="169"/>
  <c r="AD348" i="169"/>
  <c r="AE348" i="169"/>
  <c r="AF348" i="169"/>
  <c r="AG348" i="169"/>
  <c r="AB349" i="169"/>
  <c r="AC349" i="169"/>
  <c r="AD349" i="169"/>
  <c r="AE349" i="169"/>
  <c r="AF349" i="169"/>
  <c r="AG349" i="169"/>
  <c r="AB350" i="169"/>
  <c r="AC350" i="169"/>
  <c r="AD350" i="169"/>
  <c r="AE350" i="169"/>
  <c r="AF350" i="169"/>
  <c r="AG350" i="169"/>
  <c r="AB351" i="169"/>
  <c r="AC351" i="169"/>
  <c r="AD351" i="169"/>
  <c r="AE351" i="169"/>
  <c r="AF351" i="169"/>
  <c r="AG351" i="169"/>
  <c r="AB352" i="169"/>
  <c r="AC352" i="169"/>
  <c r="AD352" i="169"/>
  <c r="AE352" i="169"/>
  <c r="AF352" i="169"/>
  <c r="AG352" i="169"/>
  <c r="AB353" i="169"/>
  <c r="AC353" i="169"/>
  <c r="AD353" i="169"/>
  <c r="AE353" i="169"/>
  <c r="AF353" i="169"/>
  <c r="AG353" i="169"/>
  <c r="AB354" i="169"/>
  <c r="AC354" i="169"/>
  <c r="AD354" i="169"/>
  <c r="AE354" i="169"/>
  <c r="AF354" i="169"/>
  <c r="AG354" i="169"/>
  <c r="AB355" i="169"/>
  <c r="AC355" i="169"/>
  <c r="AD355" i="169"/>
  <c r="AE355" i="169"/>
  <c r="AF355" i="169"/>
  <c r="AG355" i="169"/>
  <c r="AB356" i="169"/>
  <c r="AC356" i="169"/>
  <c r="AD356" i="169"/>
  <c r="AE356" i="169"/>
  <c r="AF356" i="169"/>
  <c r="AG356" i="169"/>
  <c r="AB357" i="169"/>
  <c r="AC357" i="169"/>
  <c r="AD357" i="169"/>
  <c r="AE357" i="169"/>
  <c r="AF357" i="169"/>
  <c r="AG357" i="169"/>
  <c r="AB358" i="169"/>
  <c r="AC358" i="169"/>
  <c r="AD358" i="169"/>
  <c r="AE358" i="169"/>
  <c r="AF358" i="169"/>
  <c r="AG358" i="169"/>
  <c r="AB359" i="169"/>
  <c r="AC359" i="169"/>
  <c r="AD359" i="169"/>
  <c r="AE359" i="169"/>
  <c r="AF359" i="169"/>
  <c r="AG359" i="169"/>
  <c r="AB360" i="169"/>
  <c r="AC360" i="169"/>
  <c r="AD360" i="169"/>
  <c r="AE360" i="169"/>
  <c r="AF360" i="169"/>
  <c r="AG360" i="169"/>
  <c r="AB361" i="169"/>
  <c r="AC361" i="169"/>
  <c r="AD361" i="169"/>
  <c r="AE361" i="169"/>
  <c r="AF361" i="169"/>
  <c r="AG361" i="169"/>
  <c r="AB362" i="169"/>
  <c r="AC362" i="169"/>
  <c r="AD362" i="169"/>
  <c r="AE362" i="169"/>
  <c r="AF362" i="169"/>
  <c r="AG362" i="169"/>
  <c r="AB363" i="169"/>
  <c r="AC363" i="169"/>
  <c r="AD363" i="169"/>
  <c r="AE363" i="169"/>
  <c r="AF363" i="169"/>
  <c r="AG363" i="169"/>
  <c r="AB364" i="169"/>
  <c r="AC364" i="169"/>
  <c r="AD364" i="169"/>
  <c r="AE364" i="169"/>
  <c r="AF364" i="169"/>
  <c r="AG364" i="169"/>
  <c r="AB365" i="169"/>
  <c r="AC365" i="169"/>
  <c r="AD365" i="169"/>
  <c r="AE365" i="169"/>
  <c r="AF365" i="169"/>
  <c r="AG365" i="169"/>
  <c r="AB366" i="169"/>
  <c r="AC366" i="169"/>
  <c r="AD366" i="169"/>
  <c r="AE366" i="169"/>
  <c r="AF366" i="169"/>
  <c r="AG366" i="169"/>
  <c r="AB367" i="169"/>
  <c r="AC367" i="169"/>
  <c r="AD367" i="169"/>
  <c r="AE367" i="169"/>
  <c r="AF367" i="169"/>
  <c r="AG367" i="169"/>
  <c r="AB368" i="169"/>
  <c r="AC368" i="169"/>
  <c r="AD368" i="169"/>
  <c r="AE368" i="169"/>
  <c r="AF368" i="169"/>
  <c r="AG368" i="169"/>
  <c r="AB369" i="169"/>
  <c r="AC369" i="169"/>
  <c r="AD369" i="169"/>
  <c r="AE369" i="169"/>
  <c r="AF369" i="169"/>
  <c r="AG369" i="169"/>
  <c r="AB370" i="169"/>
  <c r="AC370" i="169"/>
  <c r="AD370" i="169"/>
  <c r="AE370" i="169"/>
  <c r="AF370" i="169"/>
  <c r="AG370" i="169"/>
  <c r="AB371" i="169"/>
  <c r="AC371" i="169"/>
  <c r="AD371" i="169"/>
  <c r="AE371" i="169"/>
  <c r="AF371" i="169"/>
  <c r="AG371" i="169"/>
  <c r="AB372" i="169"/>
  <c r="AC372" i="169"/>
  <c r="AD372" i="169"/>
  <c r="AE372" i="169"/>
  <c r="AF372" i="169"/>
  <c r="AG372" i="169"/>
  <c r="AB373" i="169"/>
  <c r="AC373" i="169"/>
  <c r="AD373" i="169"/>
  <c r="AE373" i="169"/>
  <c r="AF373" i="169"/>
  <c r="AG373" i="169"/>
  <c r="AB374" i="169"/>
  <c r="AC374" i="169"/>
  <c r="AD374" i="169"/>
  <c r="AE374" i="169"/>
  <c r="AF374" i="169"/>
  <c r="AG374" i="169"/>
  <c r="AB375" i="169"/>
  <c r="AC375" i="169"/>
  <c r="AD375" i="169"/>
  <c r="AE375" i="169"/>
  <c r="AF375" i="169"/>
  <c r="AG375" i="169"/>
  <c r="AB376" i="169"/>
  <c r="AC376" i="169"/>
  <c r="AD376" i="169"/>
  <c r="AE376" i="169"/>
  <c r="AF376" i="169"/>
  <c r="AG376" i="169"/>
  <c r="AB377" i="169"/>
  <c r="AC377" i="169"/>
  <c r="AD377" i="169"/>
  <c r="AE377" i="169"/>
  <c r="AF377" i="169"/>
  <c r="AG377" i="169"/>
  <c r="AB378" i="169"/>
  <c r="AC378" i="169"/>
  <c r="AD378" i="169"/>
  <c r="AE378" i="169"/>
  <c r="AF378" i="169"/>
  <c r="AG378" i="169"/>
  <c r="AB379" i="169"/>
  <c r="AC379" i="169"/>
  <c r="AD379" i="169"/>
  <c r="AE379" i="169"/>
  <c r="AF379" i="169"/>
  <c r="AG379" i="169"/>
  <c r="AB380" i="169"/>
  <c r="AC380" i="169"/>
  <c r="AD380" i="169"/>
  <c r="AE380" i="169"/>
  <c r="AF380" i="169"/>
  <c r="AG380" i="169"/>
  <c r="AB381" i="169"/>
  <c r="AC381" i="169"/>
  <c r="AD381" i="169"/>
  <c r="AE381" i="169"/>
  <c r="AF381" i="169"/>
  <c r="AG381" i="169"/>
  <c r="AB382" i="169"/>
  <c r="AC382" i="169"/>
  <c r="AD382" i="169"/>
  <c r="AE382" i="169"/>
  <c r="AF382" i="169"/>
  <c r="AG382" i="169"/>
  <c r="AB383" i="169"/>
  <c r="AC383" i="169"/>
  <c r="AD383" i="169"/>
  <c r="AE383" i="169"/>
  <c r="AF383" i="169"/>
  <c r="AG383" i="169"/>
  <c r="AB384" i="169"/>
  <c r="AC384" i="169"/>
  <c r="AD384" i="169"/>
  <c r="AE384" i="169"/>
  <c r="AF384" i="169"/>
  <c r="AG384" i="169"/>
  <c r="AB385" i="169"/>
  <c r="AC385" i="169"/>
  <c r="AD385" i="169"/>
  <c r="AE385" i="169"/>
  <c r="AF385" i="169"/>
  <c r="AG385" i="169"/>
  <c r="AB386" i="169"/>
  <c r="AC386" i="169"/>
  <c r="AD386" i="169"/>
  <c r="AE386" i="169"/>
  <c r="AF386" i="169"/>
  <c r="AG386" i="169"/>
  <c r="AB387" i="169"/>
  <c r="AC387" i="169"/>
  <c r="AD387" i="169"/>
  <c r="AE387" i="169"/>
  <c r="AF387" i="169"/>
  <c r="AG387" i="169"/>
  <c r="AB388" i="169"/>
  <c r="AC388" i="169"/>
  <c r="AD388" i="169"/>
  <c r="AE388" i="169"/>
  <c r="AF388" i="169"/>
  <c r="AG388" i="169"/>
  <c r="AB389" i="169"/>
  <c r="AC389" i="169"/>
  <c r="AD389" i="169"/>
  <c r="AE389" i="169"/>
  <c r="AF389" i="169"/>
  <c r="AG389" i="169"/>
  <c r="AB390" i="169"/>
  <c r="AC390" i="169"/>
  <c r="AD390" i="169"/>
  <c r="AE390" i="169"/>
  <c r="AF390" i="169"/>
  <c r="AG390" i="169"/>
  <c r="AB391" i="169"/>
  <c r="AC391" i="169"/>
  <c r="AD391" i="169"/>
  <c r="AE391" i="169"/>
  <c r="AF391" i="169"/>
  <c r="AG391" i="169"/>
  <c r="AB392" i="169"/>
  <c r="AC392" i="169"/>
  <c r="AD392" i="169"/>
  <c r="AE392" i="169"/>
  <c r="AF392" i="169"/>
  <c r="AG392" i="169"/>
  <c r="AB393" i="169"/>
  <c r="AC393" i="169"/>
  <c r="AD393" i="169"/>
  <c r="AE393" i="169"/>
  <c r="AF393" i="169"/>
  <c r="AG393" i="169"/>
  <c r="AB394" i="169"/>
  <c r="AC394" i="169"/>
  <c r="AD394" i="169"/>
  <c r="AE394" i="169"/>
  <c r="AF394" i="169"/>
  <c r="AG394" i="169"/>
  <c r="AB395" i="169"/>
  <c r="AC395" i="169"/>
  <c r="AD395" i="169"/>
  <c r="AE395" i="169"/>
  <c r="AF395" i="169"/>
  <c r="AG395" i="169"/>
  <c r="AB396" i="169"/>
  <c r="AC396" i="169"/>
  <c r="AD396" i="169"/>
  <c r="AE396" i="169"/>
  <c r="AF396" i="169"/>
  <c r="AG396" i="169"/>
  <c r="AB397" i="169"/>
  <c r="AC397" i="169"/>
  <c r="AD397" i="169"/>
  <c r="AE397" i="169"/>
  <c r="AF397" i="169"/>
  <c r="AG397" i="169"/>
  <c r="AB398" i="169"/>
  <c r="AC398" i="169"/>
  <c r="AD398" i="169"/>
  <c r="AE398" i="169"/>
  <c r="AF398" i="169"/>
  <c r="AG398" i="169"/>
  <c r="AB399" i="169"/>
  <c r="AC399" i="169"/>
  <c r="AD399" i="169"/>
  <c r="AE399" i="169"/>
  <c r="AF399" i="169"/>
  <c r="AG399" i="169"/>
  <c r="AB400" i="169"/>
  <c r="AC400" i="169"/>
  <c r="AD400" i="169"/>
  <c r="AE400" i="169"/>
  <c r="AF400" i="169"/>
  <c r="AG400" i="169"/>
  <c r="AB401" i="169"/>
  <c r="AC401" i="169"/>
  <c r="AD401" i="169"/>
  <c r="AE401" i="169"/>
  <c r="AF401" i="169"/>
  <c r="AG401" i="169"/>
  <c r="AB402" i="169"/>
  <c r="AC402" i="169"/>
  <c r="AD402" i="169"/>
  <c r="AE402" i="169"/>
  <c r="AF402" i="169"/>
  <c r="AG402" i="169"/>
  <c r="AB403" i="169"/>
  <c r="AC403" i="169"/>
  <c r="AD403" i="169"/>
  <c r="AE403" i="169"/>
  <c r="AF403" i="169"/>
  <c r="AG403" i="169"/>
  <c r="AB404" i="169"/>
  <c r="AC404" i="169"/>
  <c r="AD404" i="169"/>
  <c r="AE404" i="169"/>
  <c r="AF404" i="169"/>
  <c r="AG404" i="169"/>
  <c r="AB405" i="169"/>
  <c r="AC405" i="169"/>
  <c r="AD405" i="169"/>
  <c r="AE405" i="169"/>
  <c r="AF405" i="169"/>
  <c r="AG405" i="169"/>
  <c r="AB406" i="169"/>
  <c r="AC406" i="169"/>
  <c r="AD406" i="169"/>
  <c r="AE406" i="169"/>
  <c r="AF406" i="169"/>
  <c r="AG406" i="169"/>
  <c r="AB407" i="169"/>
  <c r="AC407" i="169"/>
  <c r="AD407" i="169"/>
  <c r="AE407" i="169"/>
  <c r="AF407" i="169"/>
  <c r="AG407" i="169"/>
  <c r="AB408" i="169"/>
  <c r="AC408" i="169"/>
  <c r="AD408" i="169"/>
  <c r="AE408" i="169"/>
  <c r="AF408" i="169"/>
  <c r="AG408" i="169"/>
  <c r="AB409" i="169"/>
  <c r="AC409" i="169"/>
  <c r="AD409" i="169"/>
  <c r="AE409" i="169"/>
  <c r="AF409" i="169"/>
  <c r="AG409" i="169"/>
  <c r="AB410" i="169"/>
  <c r="AC410" i="169"/>
  <c r="AD410" i="169"/>
  <c r="AE410" i="169"/>
  <c r="AF410" i="169"/>
  <c r="AG410" i="169"/>
  <c r="AB411" i="169"/>
  <c r="AC411" i="169"/>
  <c r="AD411" i="169"/>
  <c r="AE411" i="169"/>
  <c r="AF411" i="169"/>
  <c r="AG411" i="169"/>
  <c r="AB412" i="169"/>
  <c r="AC412" i="169"/>
  <c r="AD412" i="169"/>
  <c r="AE412" i="169"/>
  <c r="AF412" i="169"/>
  <c r="AG412" i="169"/>
  <c r="AB413" i="169"/>
  <c r="AC413" i="169"/>
  <c r="AD413" i="169"/>
  <c r="AE413" i="169"/>
  <c r="AF413" i="169"/>
  <c r="AG413" i="169"/>
  <c r="AB414" i="169"/>
  <c r="AC414" i="169"/>
  <c r="AD414" i="169"/>
  <c r="AE414" i="169"/>
  <c r="AF414" i="169"/>
  <c r="AG414" i="169"/>
  <c r="AB415" i="169"/>
  <c r="AC415" i="169"/>
  <c r="AD415" i="169"/>
  <c r="AE415" i="169"/>
  <c r="AF415" i="169"/>
  <c r="AG415" i="169"/>
  <c r="AB416" i="169"/>
  <c r="AC416" i="169"/>
  <c r="AD416" i="169"/>
  <c r="AE416" i="169"/>
  <c r="AF416" i="169"/>
  <c r="AG416" i="169"/>
  <c r="AB417" i="169"/>
  <c r="AC417" i="169"/>
  <c r="AD417" i="169"/>
  <c r="AE417" i="169"/>
  <c r="AF417" i="169"/>
  <c r="AG417" i="169"/>
  <c r="AB418" i="169"/>
  <c r="AC418" i="169"/>
  <c r="AD418" i="169"/>
  <c r="AE418" i="169"/>
  <c r="AF418" i="169"/>
  <c r="AG418" i="169"/>
  <c r="AB419" i="169"/>
  <c r="AC419" i="169"/>
  <c r="AD419" i="169"/>
  <c r="AE419" i="169"/>
  <c r="AF419" i="169"/>
  <c r="AG419" i="169"/>
  <c r="AB420" i="169"/>
  <c r="AC420" i="169"/>
  <c r="AD420" i="169"/>
  <c r="AE420" i="169"/>
  <c r="AF420" i="169"/>
  <c r="AG420" i="169"/>
  <c r="AB421" i="169"/>
  <c r="AC421" i="169"/>
  <c r="AD421" i="169"/>
  <c r="AE421" i="169"/>
  <c r="AF421" i="169"/>
  <c r="AG421" i="169"/>
  <c r="AB422" i="169"/>
  <c r="AC422" i="169"/>
  <c r="AD422" i="169"/>
  <c r="AE422" i="169"/>
  <c r="AF422" i="169"/>
  <c r="AG422" i="169"/>
  <c r="AB423" i="169"/>
  <c r="AC423" i="169"/>
  <c r="AD423" i="169"/>
  <c r="AE423" i="169"/>
  <c r="AF423" i="169"/>
  <c r="AG423" i="169"/>
  <c r="AB424" i="169"/>
  <c r="AC424" i="169"/>
  <c r="AD424" i="169"/>
  <c r="AE424" i="169"/>
  <c r="AF424" i="169"/>
  <c r="AG424" i="169"/>
  <c r="AB425" i="169"/>
  <c r="AC425" i="169"/>
  <c r="AD425" i="169"/>
  <c r="AE425" i="169"/>
  <c r="AF425" i="169"/>
  <c r="AG425" i="169"/>
  <c r="AB426" i="169"/>
  <c r="AC426" i="169"/>
  <c r="AD426" i="169"/>
  <c r="AE426" i="169"/>
  <c r="AF426" i="169"/>
  <c r="AG426" i="169"/>
  <c r="AB427" i="169"/>
  <c r="AC427" i="169"/>
  <c r="AD427" i="169"/>
  <c r="AE427" i="169"/>
  <c r="AF427" i="169"/>
  <c r="AG427" i="169"/>
  <c r="AB428" i="169"/>
  <c r="AC428" i="169"/>
  <c r="AD428" i="169"/>
  <c r="AE428" i="169"/>
  <c r="AF428" i="169"/>
  <c r="AG428" i="169"/>
  <c r="AB429" i="169"/>
  <c r="AC429" i="169"/>
  <c r="AD429" i="169"/>
  <c r="AE429" i="169"/>
  <c r="AF429" i="169"/>
  <c r="AG429" i="169"/>
  <c r="AB430" i="169"/>
  <c r="AC430" i="169"/>
  <c r="AD430" i="169"/>
  <c r="AE430" i="169"/>
  <c r="AF430" i="169"/>
  <c r="AG430" i="169"/>
  <c r="AB431" i="169"/>
  <c r="AC431" i="169"/>
  <c r="AD431" i="169"/>
  <c r="AE431" i="169"/>
  <c r="AF431" i="169"/>
  <c r="AG431" i="169"/>
  <c r="AB432" i="169"/>
  <c r="AC432" i="169"/>
  <c r="AD432" i="169"/>
  <c r="AE432" i="169"/>
  <c r="AF432" i="169"/>
  <c r="AG432" i="169"/>
  <c r="AB433" i="169"/>
  <c r="AC433" i="169"/>
  <c r="AD433" i="169"/>
  <c r="AE433" i="169"/>
  <c r="AF433" i="169"/>
  <c r="AG433" i="169"/>
  <c r="AB434" i="169"/>
  <c r="AC434" i="169"/>
  <c r="AD434" i="169"/>
  <c r="AE434" i="169"/>
  <c r="AF434" i="169"/>
  <c r="AG434" i="169"/>
  <c r="AB435" i="169"/>
  <c r="AC435" i="169"/>
  <c r="AD435" i="169"/>
  <c r="AE435" i="169"/>
  <c r="AF435" i="169"/>
  <c r="AG435" i="169"/>
  <c r="AB436" i="169"/>
  <c r="AC436" i="169"/>
  <c r="AD436" i="169"/>
  <c r="AE436" i="169"/>
  <c r="AF436" i="169"/>
  <c r="AG436" i="169"/>
  <c r="AB437" i="169"/>
  <c r="AC437" i="169"/>
  <c r="AD437" i="169"/>
  <c r="AE437" i="169"/>
  <c r="AF437" i="169"/>
  <c r="AG437" i="169"/>
  <c r="AB438" i="169"/>
  <c r="AC438" i="169"/>
  <c r="AD438" i="169"/>
  <c r="AE438" i="169"/>
  <c r="AF438" i="169"/>
  <c r="AG438" i="169"/>
  <c r="AB439" i="169"/>
  <c r="AC439" i="169"/>
  <c r="AD439" i="169"/>
  <c r="AE439" i="169"/>
  <c r="AF439" i="169"/>
  <c r="AG439" i="169"/>
  <c r="AB440" i="169"/>
  <c r="AC440" i="169"/>
  <c r="AD440" i="169"/>
  <c r="AE440" i="169"/>
  <c r="AF440" i="169"/>
  <c r="AG440" i="169"/>
  <c r="AB441" i="169"/>
  <c r="AC441" i="169"/>
  <c r="AD441" i="169"/>
  <c r="AE441" i="169"/>
  <c r="AF441" i="169"/>
  <c r="AG441" i="169"/>
  <c r="AB442" i="169"/>
  <c r="AC442" i="169"/>
  <c r="AD442" i="169"/>
  <c r="AE442" i="169"/>
  <c r="AF442" i="169"/>
  <c r="AG442" i="169"/>
  <c r="AB443" i="169"/>
  <c r="AC443" i="169"/>
  <c r="AD443" i="169"/>
  <c r="AE443" i="169"/>
  <c r="AF443" i="169"/>
  <c r="AG443" i="169"/>
  <c r="AB444" i="169"/>
  <c r="AC444" i="169"/>
  <c r="AD444" i="169"/>
  <c r="AE444" i="169"/>
  <c r="AF444" i="169"/>
  <c r="AG444" i="169"/>
  <c r="AB445" i="169"/>
  <c r="AC445" i="169"/>
  <c r="AD445" i="169"/>
  <c r="AE445" i="169"/>
  <c r="AF445" i="169"/>
  <c r="AG445" i="169"/>
  <c r="AB446" i="169"/>
  <c r="AC446" i="169"/>
  <c r="AD446" i="169"/>
  <c r="AE446" i="169"/>
  <c r="AF446" i="169"/>
  <c r="AG446" i="169"/>
  <c r="AB447" i="169"/>
  <c r="AC447" i="169"/>
  <c r="AD447" i="169"/>
  <c r="AE447" i="169"/>
  <c r="AF447" i="169"/>
  <c r="AG447" i="169"/>
  <c r="AB448" i="169"/>
  <c r="AC448" i="169"/>
  <c r="AD448" i="169"/>
  <c r="AE448" i="169"/>
  <c r="AF448" i="169"/>
  <c r="AG448" i="169"/>
  <c r="AB449" i="169"/>
  <c r="AC449" i="169"/>
  <c r="AD449" i="169"/>
  <c r="AE449" i="169"/>
  <c r="AF449" i="169"/>
  <c r="AG449" i="169"/>
  <c r="AB450" i="169"/>
  <c r="AC450" i="169"/>
  <c r="AD450" i="169"/>
  <c r="AE450" i="169"/>
  <c r="AF450" i="169"/>
  <c r="AG450" i="169"/>
  <c r="AB451" i="169"/>
  <c r="AC451" i="169"/>
  <c r="AD451" i="169"/>
  <c r="AE451" i="169"/>
  <c r="AF451" i="169"/>
  <c r="AG451" i="169"/>
  <c r="AB452" i="169"/>
  <c r="AC452" i="169"/>
  <c r="AD452" i="169"/>
  <c r="AE452" i="169"/>
  <c r="AF452" i="169"/>
  <c r="AG452" i="169"/>
  <c r="AB453" i="169"/>
  <c r="AC453" i="169"/>
  <c r="AD453" i="169"/>
  <c r="AE453" i="169"/>
  <c r="AF453" i="169"/>
  <c r="AG453" i="169"/>
  <c r="AB454" i="169"/>
  <c r="AC454" i="169"/>
  <c r="AD454" i="169"/>
  <c r="AE454" i="169"/>
  <c r="AF454" i="169"/>
  <c r="AG454" i="169"/>
  <c r="AB455" i="169"/>
  <c r="AC455" i="169"/>
  <c r="AD455" i="169"/>
  <c r="AE455" i="169"/>
  <c r="AF455" i="169"/>
  <c r="AG455" i="169"/>
  <c r="AB456" i="169"/>
  <c r="AC456" i="169"/>
  <c r="AD456" i="169"/>
  <c r="AE456" i="169"/>
  <c r="AF456" i="169"/>
  <c r="AG456" i="169"/>
  <c r="AB457" i="169"/>
  <c r="AC457" i="169"/>
  <c r="AD457" i="169"/>
  <c r="AE457" i="169"/>
  <c r="AF457" i="169"/>
  <c r="AG457" i="169"/>
  <c r="AB458" i="169"/>
  <c r="AC458" i="169"/>
  <c r="AD458" i="169"/>
  <c r="AE458" i="169"/>
  <c r="AF458" i="169"/>
  <c r="AG458" i="169"/>
  <c r="AB459" i="169"/>
  <c r="AC459" i="169"/>
  <c r="AD459" i="169"/>
  <c r="AE459" i="169"/>
  <c r="AF459" i="169"/>
  <c r="AG459" i="169"/>
  <c r="AB460" i="169"/>
  <c r="AC460" i="169"/>
  <c r="AD460" i="169"/>
  <c r="AE460" i="169"/>
  <c r="AF460" i="169"/>
  <c r="AG460" i="169"/>
  <c r="AB461" i="169"/>
  <c r="AC461" i="169"/>
  <c r="AD461" i="169"/>
  <c r="AE461" i="169"/>
  <c r="AF461" i="169"/>
  <c r="AG461" i="169"/>
  <c r="AB462" i="169"/>
  <c r="AC462" i="169"/>
  <c r="AD462" i="169"/>
  <c r="AE462" i="169"/>
  <c r="AF462" i="169"/>
  <c r="AG462" i="169"/>
  <c r="AB463" i="169"/>
  <c r="AC463" i="169"/>
  <c r="AD463" i="169"/>
  <c r="AE463" i="169"/>
  <c r="AF463" i="169"/>
  <c r="AG463" i="169"/>
  <c r="AB464" i="169"/>
  <c r="AC464" i="169"/>
  <c r="AD464" i="169"/>
  <c r="AE464" i="169"/>
  <c r="AF464" i="169"/>
  <c r="AG464" i="169"/>
  <c r="AB465" i="169"/>
  <c r="AC465" i="169"/>
  <c r="AD465" i="169"/>
  <c r="AE465" i="169"/>
  <c r="AF465" i="169"/>
  <c r="AG465" i="169"/>
  <c r="AB466" i="169"/>
  <c r="AC466" i="169"/>
  <c r="AD466" i="169"/>
  <c r="AE466" i="169"/>
  <c r="AF466" i="169"/>
  <c r="AG466" i="169"/>
  <c r="AB467" i="169"/>
  <c r="AC467" i="169"/>
  <c r="AD467" i="169"/>
  <c r="AE467" i="169"/>
  <c r="AF467" i="169"/>
  <c r="AG467" i="169"/>
  <c r="AB468" i="169"/>
  <c r="AC468" i="169"/>
  <c r="AD468" i="169"/>
  <c r="AE468" i="169"/>
  <c r="AF468" i="169"/>
  <c r="AG468" i="169"/>
  <c r="AB469" i="169"/>
  <c r="AC469" i="169"/>
  <c r="AD469" i="169"/>
  <c r="AE469" i="169"/>
  <c r="AF469" i="169"/>
  <c r="AG469" i="169"/>
  <c r="AB470" i="169"/>
  <c r="AC470" i="169"/>
  <c r="AD470" i="169"/>
  <c r="AE470" i="169"/>
  <c r="AF470" i="169"/>
  <c r="AG470" i="169"/>
  <c r="AB471" i="169"/>
  <c r="AC471" i="169"/>
  <c r="AD471" i="169"/>
  <c r="AE471" i="169"/>
  <c r="AF471" i="169"/>
  <c r="AG471" i="169"/>
  <c r="AB472" i="169"/>
  <c r="AC472" i="169"/>
  <c r="AD472" i="169"/>
  <c r="AE472" i="169"/>
  <c r="AF472" i="169"/>
  <c r="AG472" i="169"/>
  <c r="AB473" i="169"/>
  <c r="AC473" i="169"/>
  <c r="AD473" i="169"/>
  <c r="AE473" i="169"/>
  <c r="AF473" i="169"/>
  <c r="AG473" i="169"/>
  <c r="AB474" i="169"/>
  <c r="AC474" i="169"/>
  <c r="AD474" i="169"/>
  <c r="AE474" i="169"/>
  <c r="AF474" i="169"/>
  <c r="AG474" i="169"/>
  <c r="AB475" i="169"/>
  <c r="AC475" i="169"/>
  <c r="AD475" i="169"/>
  <c r="AE475" i="169"/>
  <c r="AF475" i="169"/>
  <c r="AG475" i="169"/>
  <c r="AB476" i="169"/>
  <c r="AC476" i="169"/>
  <c r="AD476" i="169"/>
  <c r="AE476" i="169"/>
  <c r="AF476" i="169"/>
  <c r="AG476" i="169"/>
  <c r="AB477" i="169"/>
  <c r="AC477" i="169"/>
  <c r="AD477" i="169"/>
  <c r="AE477" i="169"/>
  <c r="AF477" i="169"/>
  <c r="AG477" i="169"/>
  <c r="AB478" i="169"/>
  <c r="AC478" i="169"/>
  <c r="AD478" i="169"/>
  <c r="AE478" i="169"/>
  <c r="AF478" i="169"/>
  <c r="AG478" i="169"/>
  <c r="AB479" i="169"/>
  <c r="AC479" i="169"/>
  <c r="AD479" i="169"/>
  <c r="AE479" i="169"/>
  <c r="AF479" i="169"/>
  <c r="AG479" i="169"/>
  <c r="AB480" i="169"/>
  <c r="AC480" i="169"/>
  <c r="AD480" i="169"/>
  <c r="AE480" i="169"/>
  <c r="AF480" i="169"/>
  <c r="AG480" i="169"/>
  <c r="AB481" i="169"/>
  <c r="AC481" i="169"/>
  <c r="AD481" i="169"/>
  <c r="AE481" i="169"/>
  <c r="AF481" i="169"/>
  <c r="AG481" i="169"/>
  <c r="AB482" i="169"/>
  <c r="AC482" i="169"/>
  <c r="AD482" i="169"/>
  <c r="AE482" i="169"/>
  <c r="AF482" i="169"/>
  <c r="AG482" i="169"/>
  <c r="AB483" i="169"/>
  <c r="AC483" i="169"/>
  <c r="AD483" i="169"/>
  <c r="AE483" i="169"/>
  <c r="AF483" i="169"/>
  <c r="AG483" i="169"/>
  <c r="AB484" i="169"/>
  <c r="AC484" i="169"/>
  <c r="AD484" i="169"/>
  <c r="AE484" i="169"/>
  <c r="AF484" i="169"/>
  <c r="AG484" i="169"/>
  <c r="AB485" i="169"/>
  <c r="AC485" i="169"/>
  <c r="AD485" i="169"/>
  <c r="AE485" i="169"/>
  <c r="AF485" i="169"/>
  <c r="AG485" i="169"/>
  <c r="AB486" i="169"/>
  <c r="AC486" i="169"/>
  <c r="AD486" i="169"/>
  <c r="AE486" i="169"/>
  <c r="AF486" i="169"/>
  <c r="AG486" i="169"/>
  <c r="AB487" i="169"/>
  <c r="AC487" i="169"/>
  <c r="AD487" i="169"/>
  <c r="AE487" i="169"/>
  <c r="AF487" i="169"/>
  <c r="AG487" i="169"/>
  <c r="AB488" i="169"/>
  <c r="AC488" i="169"/>
  <c r="AD488" i="169"/>
  <c r="AE488" i="169"/>
  <c r="AF488" i="169"/>
  <c r="AG488" i="169"/>
  <c r="AB489" i="169"/>
  <c r="AC489" i="169"/>
  <c r="AD489" i="169"/>
  <c r="AE489" i="169"/>
  <c r="AF489" i="169"/>
  <c r="AG489" i="169"/>
  <c r="AB490" i="169"/>
  <c r="AC490" i="169"/>
  <c r="AD490" i="169"/>
  <c r="AE490" i="169"/>
  <c r="AF490" i="169"/>
  <c r="AG490" i="169"/>
  <c r="AB491" i="169"/>
  <c r="AC491" i="169"/>
  <c r="AD491" i="169"/>
  <c r="AE491" i="169"/>
  <c r="AF491" i="169"/>
  <c r="AG491" i="169"/>
  <c r="AB492" i="169"/>
  <c r="AC492" i="169"/>
  <c r="AD492" i="169"/>
  <c r="AE492" i="169"/>
  <c r="AF492" i="169"/>
  <c r="AG492" i="169"/>
  <c r="AB493" i="169"/>
  <c r="AC493" i="169"/>
  <c r="AD493" i="169"/>
  <c r="AE493" i="169"/>
  <c r="AF493" i="169"/>
  <c r="AG493" i="169"/>
  <c r="AB494" i="169"/>
  <c r="AC494" i="169"/>
  <c r="AD494" i="169"/>
  <c r="AE494" i="169"/>
  <c r="AF494" i="169"/>
  <c r="AG494" i="169"/>
  <c r="AB495" i="169"/>
  <c r="AC495" i="169"/>
  <c r="AD495" i="169"/>
  <c r="AE495" i="169"/>
  <c r="AF495" i="169"/>
  <c r="AG495" i="169"/>
  <c r="AB496" i="169"/>
  <c r="AC496" i="169"/>
  <c r="AD496" i="169"/>
  <c r="AE496" i="169"/>
  <c r="AF496" i="169"/>
  <c r="AG496" i="169"/>
  <c r="AB497" i="169"/>
  <c r="AC497" i="169"/>
  <c r="AD497" i="169"/>
  <c r="AE497" i="169"/>
  <c r="AF497" i="169"/>
  <c r="AG497" i="169"/>
  <c r="AB498" i="169"/>
  <c r="AC498" i="169"/>
  <c r="AD498" i="169"/>
  <c r="AE498" i="169"/>
  <c r="AF498" i="169"/>
  <c r="AG498" i="169"/>
  <c r="AB499" i="169"/>
  <c r="AC499" i="169"/>
  <c r="AD499" i="169"/>
  <c r="AE499" i="169"/>
  <c r="AF499" i="169"/>
  <c r="AG499" i="169"/>
  <c r="AB500" i="169"/>
  <c r="AC500" i="169"/>
  <c r="AD500" i="169"/>
  <c r="AE500" i="169"/>
  <c r="AF500" i="169"/>
  <c r="AG500" i="169"/>
  <c r="AB501" i="169"/>
  <c r="AC501" i="169"/>
  <c r="AD501" i="169"/>
  <c r="AE501" i="169"/>
  <c r="AF501" i="169"/>
  <c r="AG501" i="169"/>
  <c r="AB502" i="169"/>
  <c r="AC502" i="169"/>
  <c r="AD502" i="169"/>
  <c r="AE502" i="169"/>
  <c r="AF502" i="169"/>
  <c r="AG502" i="169"/>
  <c r="AB503" i="169"/>
  <c r="AC503" i="169"/>
  <c r="AD503" i="169"/>
  <c r="AE503" i="169"/>
  <c r="AF503" i="169"/>
  <c r="AG503" i="169"/>
  <c r="AB504" i="169"/>
  <c r="AC504" i="169"/>
  <c r="AD504" i="169"/>
  <c r="AE504" i="169"/>
  <c r="AF504" i="169"/>
  <c r="AG504" i="169"/>
  <c r="AB505" i="169"/>
  <c r="AC505" i="169"/>
  <c r="AD505" i="169"/>
  <c r="AE505" i="169"/>
  <c r="AF505" i="169"/>
  <c r="AG505" i="169"/>
  <c r="AB506" i="169"/>
  <c r="AC506" i="169"/>
  <c r="AD506" i="169"/>
  <c r="AE506" i="169"/>
  <c r="AF506" i="169"/>
  <c r="AG506" i="169"/>
  <c r="AB507" i="169"/>
  <c r="AC507" i="169"/>
  <c r="AD507" i="169"/>
  <c r="AE507" i="169"/>
  <c r="AF507" i="169"/>
  <c r="AG507" i="169"/>
  <c r="AB508" i="169"/>
  <c r="AC508" i="169"/>
  <c r="AD508" i="169"/>
  <c r="AE508" i="169"/>
  <c r="AF508" i="169"/>
  <c r="AG508" i="169"/>
  <c r="AB509" i="169"/>
  <c r="AC509" i="169"/>
  <c r="AD509" i="169"/>
  <c r="AE509" i="169"/>
  <c r="AF509" i="169"/>
  <c r="AG509" i="169"/>
  <c r="AB510" i="169"/>
  <c r="AC510" i="169"/>
  <c r="AD510" i="169"/>
  <c r="AE510" i="169"/>
  <c r="AF510" i="169"/>
  <c r="AG510" i="169"/>
  <c r="AB511" i="169"/>
  <c r="AC511" i="169"/>
  <c r="AD511" i="169"/>
  <c r="AE511" i="169"/>
  <c r="AF511" i="169"/>
  <c r="AG511" i="169"/>
  <c r="AB512" i="169"/>
  <c r="AC512" i="169"/>
  <c r="AD512" i="169"/>
  <c r="AE512" i="169"/>
  <c r="AF512" i="169"/>
  <c r="AG512" i="169"/>
  <c r="AB513" i="169"/>
  <c r="AC513" i="169"/>
  <c r="AD513" i="169"/>
  <c r="AE513" i="169"/>
  <c r="AF513" i="169"/>
  <c r="AG513" i="169"/>
  <c r="AB514" i="169"/>
  <c r="AC514" i="169"/>
  <c r="AD514" i="169"/>
  <c r="AE514" i="169"/>
  <c r="AF514" i="169"/>
  <c r="AG514" i="169"/>
  <c r="AB515" i="169"/>
  <c r="AC515" i="169"/>
  <c r="AD515" i="169"/>
  <c r="AE515" i="169"/>
  <c r="AF515" i="169"/>
  <c r="AG515" i="169"/>
  <c r="AB516" i="169"/>
  <c r="AC516" i="169"/>
  <c r="AD516" i="169"/>
  <c r="AE516" i="169"/>
  <c r="AF516" i="169"/>
  <c r="AG516" i="169"/>
  <c r="AB517" i="169"/>
  <c r="AC517" i="169"/>
  <c r="AD517" i="169"/>
  <c r="AE517" i="169"/>
  <c r="AF517" i="169"/>
  <c r="AG517" i="169"/>
  <c r="AB518" i="169"/>
  <c r="AC518" i="169"/>
  <c r="AD518" i="169"/>
  <c r="AE518" i="169"/>
  <c r="AF518" i="169"/>
  <c r="AG518" i="169"/>
  <c r="AB519" i="169"/>
  <c r="AC519" i="169"/>
  <c r="AD519" i="169"/>
  <c r="AE519" i="169"/>
  <c r="AF519" i="169"/>
  <c r="AG519" i="169"/>
  <c r="AB520" i="169"/>
  <c r="AC520" i="169"/>
  <c r="AD520" i="169"/>
  <c r="AE520" i="169"/>
  <c r="AF520" i="169"/>
  <c r="AG520" i="169"/>
  <c r="AB521" i="169"/>
  <c r="AC521" i="169"/>
  <c r="AD521" i="169"/>
  <c r="AE521" i="169"/>
  <c r="AF521" i="169"/>
  <c r="AG521" i="169"/>
  <c r="AB522" i="169"/>
  <c r="AC522" i="169"/>
  <c r="AD522" i="169"/>
  <c r="AE522" i="169"/>
  <c r="AF522" i="169"/>
  <c r="AG522" i="169"/>
  <c r="AB523" i="169"/>
  <c r="AC523" i="169"/>
  <c r="AD523" i="169"/>
  <c r="AE523" i="169"/>
  <c r="AF523" i="169"/>
  <c r="AG523" i="169"/>
  <c r="AB524" i="169"/>
  <c r="AC524" i="169"/>
  <c r="AD524" i="169"/>
  <c r="AE524" i="169"/>
  <c r="AF524" i="169"/>
  <c r="AG524" i="169"/>
  <c r="AB525" i="169"/>
  <c r="AC525" i="169"/>
  <c r="AD525" i="169"/>
  <c r="AE525" i="169"/>
  <c r="AF525" i="169"/>
  <c r="AG525" i="169"/>
  <c r="AB526" i="169"/>
  <c r="AC526" i="169"/>
  <c r="AD526" i="169"/>
  <c r="AE526" i="169"/>
  <c r="AF526" i="169"/>
  <c r="AG526" i="169"/>
  <c r="AB527" i="169"/>
  <c r="AC527" i="169"/>
  <c r="AD527" i="169"/>
  <c r="AE527" i="169"/>
  <c r="AF527" i="169"/>
  <c r="AG527" i="169"/>
  <c r="AB528" i="169"/>
  <c r="AC528" i="169"/>
  <c r="AD528" i="169"/>
  <c r="AE528" i="169"/>
  <c r="AF528" i="169"/>
  <c r="AG528" i="169"/>
  <c r="AB529" i="169"/>
  <c r="AC529" i="169"/>
  <c r="AD529" i="169"/>
  <c r="AE529" i="169"/>
  <c r="AF529" i="169"/>
  <c r="AG529" i="169"/>
  <c r="AB530" i="169"/>
  <c r="AC530" i="169"/>
  <c r="AD530" i="169"/>
  <c r="AE530" i="169"/>
  <c r="AF530" i="169"/>
  <c r="AG530" i="169"/>
  <c r="AB531" i="169"/>
  <c r="AC531" i="169"/>
  <c r="AD531" i="169"/>
  <c r="AE531" i="169"/>
  <c r="AF531" i="169"/>
  <c r="AG531" i="169"/>
  <c r="AB532" i="169"/>
  <c r="AC532" i="169"/>
  <c r="AD532" i="169"/>
  <c r="AE532" i="169"/>
  <c r="AF532" i="169"/>
  <c r="AG532" i="169"/>
  <c r="AB533" i="169"/>
  <c r="AC533" i="169"/>
  <c r="AD533" i="169"/>
  <c r="AE533" i="169"/>
  <c r="AF533" i="169"/>
  <c r="AG533" i="169"/>
  <c r="AB534" i="169"/>
  <c r="AC534" i="169"/>
  <c r="AD534" i="169"/>
  <c r="AE534" i="169"/>
  <c r="AF534" i="169"/>
  <c r="AG534" i="169"/>
  <c r="AB535" i="169"/>
  <c r="AC535" i="169"/>
  <c r="AD535" i="169"/>
  <c r="AE535" i="169"/>
  <c r="AF535" i="169"/>
  <c r="AG535" i="169"/>
  <c r="AB536" i="169"/>
  <c r="AC536" i="169"/>
  <c r="AD536" i="169"/>
  <c r="AE536" i="169"/>
  <c r="AF536" i="169"/>
  <c r="AG536" i="169"/>
  <c r="AB537" i="169"/>
  <c r="AC537" i="169"/>
  <c r="AD537" i="169"/>
  <c r="AE537" i="169"/>
  <c r="AF537" i="169"/>
  <c r="AG537" i="169"/>
  <c r="AB538" i="169"/>
  <c r="AC538" i="169"/>
  <c r="AD538" i="169"/>
  <c r="AE538" i="169"/>
  <c r="AF538" i="169"/>
  <c r="AG538" i="169"/>
  <c r="AB539" i="169"/>
  <c r="AC539" i="169"/>
  <c r="AD539" i="169"/>
  <c r="AE539" i="169"/>
  <c r="AF539" i="169"/>
  <c r="AG539" i="169"/>
  <c r="AB540" i="169"/>
  <c r="AC540" i="169"/>
  <c r="AD540" i="169"/>
  <c r="AE540" i="169"/>
  <c r="AF540" i="169"/>
  <c r="AG540" i="169"/>
  <c r="AB541" i="169"/>
  <c r="AC541" i="169"/>
  <c r="AD541" i="169"/>
  <c r="AE541" i="169"/>
  <c r="AF541" i="169"/>
  <c r="AG541" i="169"/>
  <c r="AB542" i="169"/>
  <c r="AC542" i="169"/>
  <c r="AD542" i="169"/>
  <c r="AE542" i="169"/>
  <c r="AF542" i="169"/>
  <c r="AG542" i="169"/>
  <c r="AB543" i="169"/>
  <c r="AC543" i="169"/>
  <c r="AD543" i="169"/>
  <c r="AE543" i="169"/>
  <c r="AF543" i="169"/>
  <c r="AG543" i="169"/>
  <c r="AB544" i="169"/>
  <c r="AC544" i="169"/>
  <c r="AD544" i="169"/>
  <c r="AE544" i="169"/>
  <c r="AF544" i="169"/>
  <c r="AG544" i="169"/>
  <c r="AB545" i="169"/>
  <c r="AC545" i="169"/>
  <c r="AD545" i="169"/>
  <c r="AE545" i="169"/>
  <c r="AF545" i="169"/>
  <c r="AG545" i="169"/>
  <c r="AB546" i="169"/>
  <c r="AC546" i="169"/>
  <c r="AD546" i="169"/>
  <c r="AE546" i="169"/>
  <c r="AF546" i="169"/>
  <c r="AG546" i="169"/>
  <c r="AB547" i="169"/>
  <c r="AC547" i="169"/>
  <c r="AD547" i="169"/>
  <c r="AE547" i="169"/>
  <c r="AF547" i="169"/>
  <c r="AG547" i="169"/>
  <c r="AB548" i="169"/>
  <c r="AC548" i="169"/>
  <c r="AD548" i="169"/>
  <c r="AE548" i="169"/>
  <c r="AF548" i="169"/>
  <c r="AG548" i="169"/>
  <c r="AB549" i="169"/>
  <c r="AC549" i="169"/>
  <c r="AD549" i="169"/>
  <c r="AE549" i="169"/>
  <c r="AF549" i="169"/>
  <c r="AG549" i="169"/>
  <c r="AB550" i="169"/>
  <c r="AC550" i="169"/>
  <c r="AD550" i="169"/>
  <c r="AE550" i="169"/>
  <c r="AF550" i="169"/>
  <c r="AG550" i="169"/>
  <c r="AB551" i="169"/>
  <c r="AC551" i="169"/>
  <c r="AD551" i="169"/>
  <c r="AE551" i="169"/>
  <c r="AF551" i="169"/>
  <c r="AG551" i="169"/>
  <c r="AB552" i="169"/>
  <c r="AC552" i="169"/>
  <c r="AD552" i="169"/>
  <c r="AE552" i="169"/>
  <c r="AF552" i="169"/>
  <c r="AG552" i="169"/>
  <c r="AB553" i="169"/>
  <c r="AC553" i="169"/>
  <c r="AD553" i="169"/>
  <c r="AE553" i="169"/>
  <c r="AF553" i="169"/>
  <c r="AG553" i="169"/>
  <c r="AB554" i="169"/>
  <c r="AC554" i="169"/>
  <c r="AD554" i="169"/>
  <c r="AE554" i="169"/>
  <c r="AF554" i="169"/>
  <c r="AG554" i="169"/>
  <c r="AB555" i="169"/>
  <c r="AC555" i="169"/>
  <c r="AD555" i="169"/>
  <c r="AE555" i="169"/>
  <c r="AF555" i="169"/>
  <c r="AG555" i="169"/>
  <c r="AB556" i="169"/>
  <c r="AC556" i="169"/>
  <c r="AD556" i="169"/>
  <c r="AE556" i="169"/>
  <c r="AF556" i="169"/>
  <c r="AG556" i="169"/>
  <c r="AB557" i="169"/>
  <c r="AC557" i="169"/>
  <c r="AD557" i="169"/>
  <c r="AE557" i="169"/>
  <c r="AF557" i="169"/>
  <c r="AG557" i="169"/>
  <c r="AB558" i="169"/>
  <c r="AC558" i="169"/>
  <c r="AD558" i="169"/>
  <c r="AE558" i="169"/>
  <c r="AF558" i="169"/>
  <c r="AG558" i="169"/>
  <c r="AB559" i="169"/>
  <c r="AC559" i="169"/>
  <c r="AD559" i="169"/>
  <c r="AE559" i="169"/>
  <c r="AF559" i="169"/>
  <c r="AG559" i="169"/>
  <c r="AB560" i="169"/>
  <c r="AC560" i="169"/>
  <c r="AD560" i="169"/>
  <c r="AE560" i="169"/>
  <c r="AF560" i="169"/>
  <c r="AG560" i="169"/>
  <c r="AB561" i="169"/>
  <c r="AC561" i="169"/>
  <c r="AD561" i="169"/>
  <c r="AE561" i="169"/>
  <c r="AF561" i="169"/>
  <c r="AG561" i="169"/>
  <c r="AB562" i="169"/>
  <c r="AC562" i="169"/>
  <c r="AD562" i="169"/>
  <c r="AE562" i="169"/>
  <c r="AF562" i="169"/>
  <c r="AG562" i="169"/>
  <c r="AB563" i="169"/>
  <c r="AC563" i="169"/>
  <c r="AD563" i="169"/>
  <c r="AE563" i="169"/>
  <c r="AF563" i="169"/>
  <c r="AG563" i="169"/>
  <c r="AB564" i="169"/>
  <c r="AC564" i="169"/>
  <c r="AD564" i="169"/>
  <c r="AE564" i="169"/>
  <c r="AF564" i="169"/>
  <c r="AG564" i="169"/>
  <c r="AB565" i="169"/>
  <c r="AC565" i="169"/>
  <c r="AD565" i="169"/>
  <c r="AE565" i="169"/>
  <c r="AF565" i="169"/>
  <c r="AG565" i="169"/>
  <c r="AB566" i="169"/>
  <c r="AC566" i="169"/>
  <c r="AD566" i="169"/>
  <c r="AE566" i="169"/>
  <c r="AF566" i="169"/>
  <c r="AG566" i="169"/>
  <c r="AB567" i="169"/>
  <c r="AC567" i="169"/>
  <c r="AD567" i="169"/>
  <c r="AE567" i="169"/>
  <c r="AF567" i="169"/>
  <c r="AG567" i="169"/>
  <c r="AB568" i="169"/>
  <c r="AC568" i="169"/>
  <c r="AD568" i="169"/>
  <c r="AE568" i="169"/>
  <c r="AF568" i="169"/>
  <c r="AG568" i="169"/>
  <c r="AB569" i="169"/>
  <c r="AC569" i="169"/>
  <c r="AD569" i="169"/>
  <c r="AE569" i="169"/>
  <c r="AF569" i="169"/>
  <c r="AG569" i="169"/>
  <c r="AB570" i="169"/>
  <c r="AC570" i="169"/>
  <c r="AD570" i="169"/>
  <c r="AE570" i="169"/>
  <c r="AF570" i="169"/>
  <c r="AG570" i="169"/>
  <c r="AB571" i="169"/>
  <c r="AC571" i="169"/>
  <c r="AD571" i="169"/>
  <c r="AE571" i="169"/>
  <c r="AF571" i="169"/>
  <c r="AG571" i="169"/>
  <c r="AB572" i="169"/>
  <c r="AC572" i="169"/>
  <c r="AD572" i="169"/>
  <c r="AE572" i="169"/>
  <c r="AF572" i="169"/>
  <c r="AG572" i="169"/>
  <c r="AB573" i="169"/>
  <c r="AC573" i="169"/>
  <c r="AD573" i="169"/>
  <c r="AE573" i="169"/>
  <c r="AF573" i="169"/>
  <c r="AG573" i="169"/>
  <c r="AB574" i="169"/>
  <c r="AC574" i="169"/>
  <c r="AD574" i="169"/>
  <c r="AE574" i="169"/>
  <c r="AF574" i="169"/>
  <c r="AG574" i="169"/>
  <c r="AB575" i="169"/>
  <c r="AC575" i="169"/>
  <c r="AD575" i="169"/>
  <c r="AE575" i="169"/>
  <c r="AF575" i="169"/>
  <c r="AG575" i="169"/>
  <c r="AB576" i="169"/>
  <c r="AC576" i="169"/>
  <c r="AD576" i="169"/>
  <c r="AE576" i="169"/>
  <c r="AF576" i="169"/>
  <c r="AG576" i="169"/>
  <c r="AB577" i="169"/>
  <c r="AC577" i="169"/>
  <c r="AD577" i="169"/>
  <c r="AE577" i="169"/>
  <c r="AF577" i="169"/>
  <c r="AG577" i="169"/>
  <c r="AB578" i="169"/>
  <c r="AC578" i="169"/>
  <c r="AD578" i="169"/>
  <c r="AE578" i="169"/>
  <c r="AF578" i="169"/>
  <c r="AG578" i="169"/>
  <c r="AB579" i="169"/>
  <c r="AC579" i="169"/>
  <c r="AD579" i="169"/>
  <c r="AE579" i="169"/>
  <c r="AF579" i="169"/>
  <c r="AG579" i="169"/>
  <c r="AB580" i="169"/>
  <c r="AC580" i="169"/>
  <c r="AD580" i="169"/>
  <c r="AE580" i="169"/>
  <c r="AF580" i="169"/>
  <c r="AG580" i="169"/>
  <c r="AB581" i="169"/>
  <c r="AC581" i="169"/>
  <c r="AD581" i="169"/>
  <c r="AE581" i="169"/>
  <c r="AF581" i="169"/>
  <c r="AG581" i="169"/>
  <c r="AG14" i="169"/>
  <c r="AF14" i="169"/>
  <c r="AE14" i="169"/>
  <c r="AD14" i="169"/>
  <c r="AC14" i="169"/>
  <c r="AB14" i="169"/>
  <c r="AE14" i="9"/>
  <c r="AD14" i="9"/>
  <c r="AC14" i="9"/>
  <c r="AB14" i="9"/>
  <c r="A12" i="7" l="1"/>
  <c r="A11" i="7"/>
  <c r="G9" i="169" l="1"/>
  <c r="G8" i="169"/>
  <c r="F8" i="169"/>
  <c r="G9" i="9"/>
  <c r="G8" i="9"/>
  <c r="F8" i="9"/>
  <c r="A10" i="7" l="1"/>
  <c r="C3" i="8" l="1"/>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511"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512"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2" i="8"/>
  <c r="Y3" i="8" l="1"/>
  <c r="Y4" i="8"/>
  <c r="Y5" i="8"/>
  <c r="Y6" i="8"/>
  <c r="Y7" i="8"/>
  <c r="Y2" i="8"/>
  <c r="A3" i="169"/>
  <c r="B3" i="169" s="1"/>
  <c r="A4" i="9"/>
  <c r="A3" i="9"/>
  <c r="B3" i="9" s="1"/>
  <c r="A5" i="7"/>
  <c r="A4" i="169" l="1"/>
  <c r="B4" i="169" s="1"/>
  <c r="B4" i="9"/>
  <c r="J12" i="9" l="1"/>
  <c r="J12" i="169"/>
  <c r="A7" i="7"/>
  <c r="E2" i="7"/>
  <c r="E6" i="7"/>
  <c r="B8" i="9" l="1"/>
  <c r="B6" i="9"/>
  <c r="B2" i="9"/>
  <c r="G2" i="9"/>
  <c r="G3" i="9"/>
  <c r="G4" i="9"/>
  <c r="B11" i="169"/>
  <c r="G6" i="169"/>
  <c r="G5" i="169"/>
  <c r="B8" i="169"/>
  <c r="G4" i="169"/>
  <c r="B6" i="169"/>
  <c r="G3" i="169"/>
  <c r="G2" i="169"/>
  <c r="B2" i="169"/>
  <c r="E10" i="7"/>
  <c r="F6" i="9" s="1"/>
  <c r="A14" i="7"/>
  <c r="E4" i="7"/>
  <c r="F3" i="169" s="1"/>
  <c r="F3" i="9" l="1"/>
  <c r="F6" i="169"/>
  <c r="H2" i="169"/>
  <c r="H3" i="169"/>
  <c r="H6" i="169"/>
  <c r="H7" i="169"/>
  <c r="H4" i="169"/>
  <c r="H5" i="169"/>
  <c r="B11" i="9" l="1"/>
  <c r="A6" i="7"/>
  <c r="AH3" i="8" l="1"/>
  <c r="AI3" i="8"/>
  <c r="AH4" i="8"/>
  <c r="AI4" i="8"/>
  <c r="AH5" i="8"/>
  <c r="AI5" i="8"/>
  <c r="AH6" i="8"/>
  <c r="AI6" i="8"/>
  <c r="AH7" i="8"/>
  <c r="AI7" i="8"/>
  <c r="AH8" i="8"/>
  <c r="AI8" i="8"/>
  <c r="AH9" i="8"/>
  <c r="AI9" i="8"/>
  <c r="AH10" i="8"/>
  <c r="AI10" i="8"/>
  <c r="AH11" i="8"/>
  <c r="AI11" i="8"/>
  <c r="AH12" i="8"/>
  <c r="AI12" i="8"/>
  <c r="AH13" i="8"/>
  <c r="AI13" i="8"/>
  <c r="AH14" i="8"/>
  <c r="AI14" i="8"/>
  <c r="AH15" i="8"/>
  <c r="AI15" i="8"/>
  <c r="AH16" i="8"/>
  <c r="AI16" i="8"/>
  <c r="AH17" i="8"/>
  <c r="AI17" i="8"/>
  <c r="AH18" i="8"/>
  <c r="AI18" i="8"/>
  <c r="AH19" i="8"/>
  <c r="AI19" i="8"/>
  <c r="AH20" i="8"/>
  <c r="AI20" i="8"/>
  <c r="AH21" i="8"/>
  <c r="AI21" i="8"/>
  <c r="AH22" i="8"/>
  <c r="AI22" i="8"/>
  <c r="AH23" i="8"/>
  <c r="AI23" i="8"/>
  <c r="AH24" i="8"/>
  <c r="AI24" i="8"/>
  <c r="AH25" i="8"/>
  <c r="AI25" i="8"/>
  <c r="AH26" i="8"/>
  <c r="AI26" i="8"/>
  <c r="AH27" i="8"/>
  <c r="AI27" i="8"/>
  <c r="AH28" i="8"/>
  <c r="AI28" i="8"/>
  <c r="AH29" i="8"/>
  <c r="AI29" i="8"/>
  <c r="AH30" i="8"/>
  <c r="AI30" i="8"/>
  <c r="AH31" i="8"/>
  <c r="AI31" i="8"/>
  <c r="AH32" i="8"/>
  <c r="AI32" i="8"/>
  <c r="AH33" i="8"/>
  <c r="AI33" i="8"/>
  <c r="AH34" i="8"/>
  <c r="AI34" i="8"/>
  <c r="AH35" i="8"/>
  <c r="AI35" i="8"/>
  <c r="AH36" i="8"/>
  <c r="AI36" i="8"/>
  <c r="AH37" i="8"/>
  <c r="AI37" i="8"/>
  <c r="AH38" i="8"/>
  <c r="AI38" i="8"/>
  <c r="AH39" i="8"/>
  <c r="AI39" i="8"/>
  <c r="AH40" i="8"/>
  <c r="AI40" i="8"/>
  <c r="AH41" i="8"/>
  <c r="AI41" i="8"/>
  <c r="AH42" i="8"/>
  <c r="AI42" i="8"/>
  <c r="AH43" i="8"/>
  <c r="AI43" i="8"/>
  <c r="AH44" i="8"/>
  <c r="AI44" i="8"/>
  <c r="AH45" i="8"/>
  <c r="AI45" i="8"/>
  <c r="AH46" i="8"/>
  <c r="AI46" i="8"/>
  <c r="AH47" i="8"/>
  <c r="AI47" i="8"/>
  <c r="AH48" i="8"/>
  <c r="AI48" i="8"/>
  <c r="AH49" i="8"/>
  <c r="AI49" i="8"/>
  <c r="AH50" i="8"/>
  <c r="AI50" i="8"/>
  <c r="AH51" i="8"/>
  <c r="AI51" i="8"/>
  <c r="AH52" i="8"/>
  <c r="AI52" i="8"/>
  <c r="AH53" i="8"/>
  <c r="AI53" i="8"/>
  <c r="AH54" i="8"/>
  <c r="AI54" i="8"/>
  <c r="AH55" i="8"/>
  <c r="AI55" i="8"/>
  <c r="AH56" i="8"/>
  <c r="AI56" i="8"/>
  <c r="AH57" i="8"/>
  <c r="AI57" i="8"/>
  <c r="AH58" i="8"/>
  <c r="AI58" i="8"/>
  <c r="AH59" i="8"/>
  <c r="AI59" i="8"/>
  <c r="AH71" i="8"/>
  <c r="AI71" i="8"/>
  <c r="AH72" i="8"/>
  <c r="AI72" i="8"/>
  <c r="AH73" i="8"/>
  <c r="AI73" i="8"/>
  <c r="AH74" i="8"/>
  <c r="AI74" i="8"/>
  <c r="AH75" i="8"/>
  <c r="AI75" i="8"/>
  <c r="AH76" i="8"/>
  <c r="AI76" i="8"/>
  <c r="AH77" i="8"/>
  <c r="AI77" i="8"/>
  <c r="AH78" i="8"/>
  <c r="AI78" i="8"/>
  <c r="AH79" i="8"/>
  <c r="AI79" i="8"/>
  <c r="AH80" i="8"/>
  <c r="AI80" i="8"/>
  <c r="AH81" i="8"/>
  <c r="AI81" i="8"/>
  <c r="AH82" i="8"/>
  <c r="AI82" i="8"/>
  <c r="AH83" i="8"/>
  <c r="AI83" i="8"/>
  <c r="AH84" i="8"/>
  <c r="AI84" i="8"/>
  <c r="AH85" i="8"/>
  <c r="AI85" i="8"/>
  <c r="AH86" i="8"/>
  <c r="AI86" i="8"/>
  <c r="AH87" i="8"/>
  <c r="AI87" i="8"/>
  <c r="AH88" i="8"/>
  <c r="AI88" i="8"/>
  <c r="AH89" i="8"/>
  <c r="AI89" i="8"/>
  <c r="AH90" i="8"/>
  <c r="AI90" i="8"/>
  <c r="AH91" i="8"/>
  <c r="AI91" i="8"/>
  <c r="AH92" i="8"/>
  <c r="AI92" i="8"/>
  <c r="AH93" i="8"/>
  <c r="AI93" i="8"/>
  <c r="AH94" i="8"/>
  <c r="AI94" i="8"/>
  <c r="AH95" i="8"/>
  <c r="AI95" i="8"/>
  <c r="AH511" i="8"/>
  <c r="AI511" i="8"/>
  <c r="AH96" i="8"/>
  <c r="AI96" i="8"/>
  <c r="AH97" i="8"/>
  <c r="AI97" i="8"/>
  <c r="AH98" i="8"/>
  <c r="AI98" i="8"/>
  <c r="AH99" i="8"/>
  <c r="AI99" i="8"/>
  <c r="AH100" i="8"/>
  <c r="AI100" i="8"/>
  <c r="AH101" i="8"/>
  <c r="AI101" i="8"/>
  <c r="AH102" i="8"/>
  <c r="AI102" i="8"/>
  <c r="AH103" i="8"/>
  <c r="AI103" i="8"/>
  <c r="AH104" i="8"/>
  <c r="AI104" i="8"/>
  <c r="AH105" i="8"/>
  <c r="AI105" i="8"/>
  <c r="AH106" i="8"/>
  <c r="AI106" i="8"/>
  <c r="AH107" i="8"/>
  <c r="AI107" i="8"/>
  <c r="AH108" i="8"/>
  <c r="AI108" i="8"/>
  <c r="AH109" i="8"/>
  <c r="AI109" i="8"/>
  <c r="AH110" i="8"/>
  <c r="AI110" i="8"/>
  <c r="AH111" i="8"/>
  <c r="AI111" i="8"/>
  <c r="AH112" i="8"/>
  <c r="AI112" i="8"/>
  <c r="AH113" i="8"/>
  <c r="AI113" i="8"/>
  <c r="AH114" i="8"/>
  <c r="AI114" i="8"/>
  <c r="AH115" i="8"/>
  <c r="AI115" i="8"/>
  <c r="AH116" i="8"/>
  <c r="AI116" i="8"/>
  <c r="AH117" i="8"/>
  <c r="AI117" i="8"/>
  <c r="AH118" i="8"/>
  <c r="AI118" i="8"/>
  <c r="AH119" i="8"/>
  <c r="AI119" i="8"/>
  <c r="AH120" i="8"/>
  <c r="AI120" i="8"/>
  <c r="AH121" i="8"/>
  <c r="AI121" i="8"/>
  <c r="AH122" i="8"/>
  <c r="AI122" i="8"/>
  <c r="AH123" i="8"/>
  <c r="AI123" i="8"/>
  <c r="AH124" i="8"/>
  <c r="AI124" i="8"/>
  <c r="AH125" i="8"/>
  <c r="AI125" i="8"/>
  <c r="AH126" i="8"/>
  <c r="AI126" i="8"/>
  <c r="AH127" i="8"/>
  <c r="AI127" i="8"/>
  <c r="AH128" i="8"/>
  <c r="AI128" i="8"/>
  <c r="AH129" i="8"/>
  <c r="AI129" i="8"/>
  <c r="AH130" i="8"/>
  <c r="AI130" i="8"/>
  <c r="AH131" i="8"/>
  <c r="AI131" i="8"/>
  <c r="AH132" i="8"/>
  <c r="AI132" i="8"/>
  <c r="AH133" i="8"/>
  <c r="AI133" i="8"/>
  <c r="AH134" i="8"/>
  <c r="AI134" i="8"/>
  <c r="AH135" i="8"/>
  <c r="AI135" i="8"/>
  <c r="AH136" i="8"/>
  <c r="AI136" i="8"/>
  <c r="AH137" i="8"/>
  <c r="AI137" i="8"/>
  <c r="AH138" i="8"/>
  <c r="AI138" i="8"/>
  <c r="AH139" i="8"/>
  <c r="AI139" i="8"/>
  <c r="AH140" i="8"/>
  <c r="AI140" i="8"/>
  <c r="AH141" i="8"/>
  <c r="AI141" i="8"/>
  <c r="AH142" i="8"/>
  <c r="AI142" i="8"/>
  <c r="AH143" i="8"/>
  <c r="AI143" i="8"/>
  <c r="AH144" i="8"/>
  <c r="AI144" i="8"/>
  <c r="AH145" i="8"/>
  <c r="AI145" i="8"/>
  <c r="AH146" i="8"/>
  <c r="AI146" i="8"/>
  <c r="AH147" i="8"/>
  <c r="AI147" i="8"/>
  <c r="AH148" i="8"/>
  <c r="AI148" i="8"/>
  <c r="AH149" i="8"/>
  <c r="AI149" i="8"/>
  <c r="AH150" i="8"/>
  <c r="AI150" i="8"/>
  <c r="AH151" i="8"/>
  <c r="AI151" i="8"/>
  <c r="AH152" i="8"/>
  <c r="AI152" i="8"/>
  <c r="AH153" i="8"/>
  <c r="AI153" i="8"/>
  <c r="AH154" i="8"/>
  <c r="AI154" i="8"/>
  <c r="AH155" i="8"/>
  <c r="AI155" i="8"/>
  <c r="AH156" i="8"/>
  <c r="AI156" i="8"/>
  <c r="AH157" i="8"/>
  <c r="AI157" i="8"/>
  <c r="AH158" i="8"/>
  <c r="AI158" i="8"/>
  <c r="AH159" i="8"/>
  <c r="AI159" i="8"/>
  <c r="AH160" i="8"/>
  <c r="AI160" i="8"/>
  <c r="AH161" i="8"/>
  <c r="AI161" i="8"/>
  <c r="AH162" i="8"/>
  <c r="AI162" i="8"/>
  <c r="AH163" i="8"/>
  <c r="AI163" i="8"/>
  <c r="AH164" i="8"/>
  <c r="AI164" i="8"/>
  <c r="AH165" i="8"/>
  <c r="AI165" i="8"/>
  <c r="AH166" i="8"/>
  <c r="AI166" i="8"/>
  <c r="AH167" i="8"/>
  <c r="AI167" i="8"/>
  <c r="AH168" i="8"/>
  <c r="AI168" i="8"/>
  <c r="AH169" i="8"/>
  <c r="AI169" i="8"/>
  <c r="AH170" i="8"/>
  <c r="AI170" i="8"/>
  <c r="AH171" i="8"/>
  <c r="AI171" i="8"/>
  <c r="AH172" i="8"/>
  <c r="AI172" i="8"/>
  <c r="AH173" i="8"/>
  <c r="AI173" i="8"/>
  <c r="AH174" i="8"/>
  <c r="AI174" i="8"/>
  <c r="AH175" i="8"/>
  <c r="AI175" i="8"/>
  <c r="AH176" i="8"/>
  <c r="AI176" i="8"/>
  <c r="AH177" i="8"/>
  <c r="AI177" i="8"/>
  <c r="AH178" i="8"/>
  <c r="AI178" i="8"/>
  <c r="AH179" i="8"/>
  <c r="AI179" i="8"/>
  <c r="AH180" i="8"/>
  <c r="AI180" i="8"/>
  <c r="AH181" i="8"/>
  <c r="AI181" i="8"/>
  <c r="AH182" i="8"/>
  <c r="AI182" i="8"/>
  <c r="AH183" i="8"/>
  <c r="AI183" i="8"/>
  <c r="AH184" i="8"/>
  <c r="AI184" i="8"/>
  <c r="AH185" i="8"/>
  <c r="AI185" i="8"/>
  <c r="AH186" i="8"/>
  <c r="AI186" i="8"/>
  <c r="AH187" i="8"/>
  <c r="AI187" i="8"/>
  <c r="AH188" i="8"/>
  <c r="AI188" i="8"/>
  <c r="AH189" i="8"/>
  <c r="AI189" i="8"/>
  <c r="AH190" i="8"/>
  <c r="AI190" i="8"/>
  <c r="AH191" i="8"/>
  <c r="AI191" i="8"/>
  <c r="AH192" i="8"/>
  <c r="AI192" i="8"/>
  <c r="AH193" i="8"/>
  <c r="AI193" i="8"/>
  <c r="AH194" i="8"/>
  <c r="AI194" i="8"/>
  <c r="AH195" i="8"/>
  <c r="AI195" i="8"/>
  <c r="AH196" i="8"/>
  <c r="AI196" i="8"/>
  <c r="AH197" i="8"/>
  <c r="AI197" i="8"/>
  <c r="AH198" i="8"/>
  <c r="AI198" i="8"/>
  <c r="AH199" i="8"/>
  <c r="AI199" i="8"/>
  <c r="AH512" i="8"/>
  <c r="AI512" i="8"/>
  <c r="AH200" i="8"/>
  <c r="AI200" i="8"/>
  <c r="AH201" i="8"/>
  <c r="AI201" i="8"/>
  <c r="AH202" i="8"/>
  <c r="AI202" i="8"/>
  <c r="AH203" i="8"/>
  <c r="AI203" i="8"/>
  <c r="AH204" i="8"/>
  <c r="AI204" i="8"/>
  <c r="AH205" i="8"/>
  <c r="AI205" i="8"/>
  <c r="AH206" i="8"/>
  <c r="AI206" i="8"/>
  <c r="AH207" i="8"/>
  <c r="AI207" i="8"/>
  <c r="AH208" i="8"/>
  <c r="AI208" i="8"/>
  <c r="AH209" i="8"/>
  <c r="AI209" i="8"/>
  <c r="AH210" i="8"/>
  <c r="AI210" i="8"/>
  <c r="AH211" i="8"/>
  <c r="AI211" i="8"/>
  <c r="AH212" i="8"/>
  <c r="AI212" i="8"/>
  <c r="AH213" i="8"/>
  <c r="AI213" i="8"/>
  <c r="AH214" i="8"/>
  <c r="AI214" i="8"/>
  <c r="AH215" i="8"/>
  <c r="AI215" i="8"/>
  <c r="AH216" i="8"/>
  <c r="AI216" i="8"/>
  <c r="AH217" i="8"/>
  <c r="AI217" i="8"/>
  <c r="AH218" i="8"/>
  <c r="AI218" i="8"/>
  <c r="AH219" i="8"/>
  <c r="AI219" i="8"/>
  <c r="AH220" i="8"/>
  <c r="AI220" i="8"/>
  <c r="AH221" i="8"/>
  <c r="AI221" i="8"/>
  <c r="AH222" i="8"/>
  <c r="AI222" i="8"/>
  <c r="AH223" i="8"/>
  <c r="AI223" i="8"/>
  <c r="AH224" i="8"/>
  <c r="AI224" i="8"/>
  <c r="AH239" i="8"/>
  <c r="AI239" i="8"/>
  <c r="AH240" i="8"/>
  <c r="AI240" i="8"/>
  <c r="AH241" i="8"/>
  <c r="AI241" i="8"/>
  <c r="AH242" i="8"/>
  <c r="AI242" i="8"/>
  <c r="AH243" i="8"/>
  <c r="AI243" i="8"/>
  <c r="AH244" i="8"/>
  <c r="AI244" i="8"/>
  <c r="AH245" i="8"/>
  <c r="AI245" i="8"/>
  <c r="AH246" i="8"/>
  <c r="AI246" i="8"/>
  <c r="AH247" i="8"/>
  <c r="AI247" i="8"/>
  <c r="AH248" i="8"/>
  <c r="AI248" i="8"/>
  <c r="AH249" i="8"/>
  <c r="AI249" i="8"/>
  <c r="AH250" i="8"/>
  <c r="AI250" i="8"/>
  <c r="AH251" i="8"/>
  <c r="AI251" i="8"/>
  <c r="AH252" i="8"/>
  <c r="AI252" i="8"/>
  <c r="AH253" i="8"/>
  <c r="AI253" i="8"/>
  <c r="AH254" i="8"/>
  <c r="AI254" i="8"/>
  <c r="AH255" i="8"/>
  <c r="AI255" i="8"/>
  <c r="AH256" i="8"/>
  <c r="AI256" i="8"/>
  <c r="AH257" i="8"/>
  <c r="AI257" i="8"/>
  <c r="AH258" i="8"/>
  <c r="AI258" i="8"/>
  <c r="AH259" i="8"/>
  <c r="AI259" i="8"/>
  <c r="AH260" i="8"/>
  <c r="AI260" i="8"/>
  <c r="AH261" i="8"/>
  <c r="AI261" i="8"/>
  <c r="AH262" i="8"/>
  <c r="AI262" i="8"/>
  <c r="AH263" i="8"/>
  <c r="AI263" i="8"/>
  <c r="AH264" i="8"/>
  <c r="AI264" i="8"/>
  <c r="AH265" i="8"/>
  <c r="AI265" i="8"/>
  <c r="AH266" i="8"/>
  <c r="AI266" i="8"/>
  <c r="AH267" i="8"/>
  <c r="AI267" i="8"/>
  <c r="AH268" i="8"/>
  <c r="AI268" i="8"/>
  <c r="AH269" i="8"/>
  <c r="AI269" i="8"/>
  <c r="AH270" i="8"/>
  <c r="AI270" i="8"/>
  <c r="AH271" i="8"/>
  <c r="AI271" i="8"/>
  <c r="AH272" i="8"/>
  <c r="AI272" i="8"/>
  <c r="AH273" i="8"/>
  <c r="AI273" i="8"/>
  <c r="AH274" i="8"/>
  <c r="AI274" i="8"/>
  <c r="AH275" i="8"/>
  <c r="AI275" i="8"/>
  <c r="AH276" i="8"/>
  <c r="AI276" i="8"/>
  <c r="AH277" i="8"/>
  <c r="AI277" i="8"/>
  <c r="AH278" i="8"/>
  <c r="AI278" i="8"/>
  <c r="AH279" i="8"/>
  <c r="AI279" i="8"/>
  <c r="AH280" i="8"/>
  <c r="AI280" i="8"/>
  <c r="AH281" i="8"/>
  <c r="AI281" i="8"/>
  <c r="AH282" i="8"/>
  <c r="AI282" i="8"/>
  <c r="AH283" i="8"/>
  <c r="AI283" i="8"/>
  <c r="AH284" i="8"/>
  <c r="AI284" i="8"/>
  <c r="AH285" i="8"/>
  <c r="AI285" i="8"/>
  <c r="AH286" i="8"/>
  <c r="AI286" i="8"/>
  <c r="AH287" i="8"/>
  <c r="AI287" i="8"/>
  <c r="AH288" i="8"/>
  <c r="AI288" i="8"/>
  <c r="AH289" i="8"/>
  <c r="AI289" i="8"/>
  <c r="AH290" i="8"/>
  <c r="AI290" i="8"/>
  <c r="AH291" i="8"/>
  <c r="AI291" i="8"/>
  <c r="AH292" i="8"/>
  <c r="AI292" i="8"/>
  <c r="AH293" i="8"/>
  <c r="AI293" i="8"/>
  <c r="AH294" i="8"/>
  <c r="AI294" i="8"/>
  <c r="AH295" i="8"/>
  <c r="AI295" i="8"/>
  <c r="AH296" i="8"/>
  <c r="AI296" i="8"/>
  <c r="AH297" i="8"/>
  <c r="AI297" i="8"/>
  <c r="AH298" i="8"/>
  <c r="AI298" i="8"/>
  <c r="AH299" i="8"/>
  <c r="AI299" i="8"/>
  <c r="AH300" i="8"/>
  <c r="AI300" i="8"/>
  <c r="AH301" i="8"/>
  <c r="AI301" i="8"/>
  <c r="AH302" i="8"/>
  <c r="AI302" i="8"/>
  <c r="AH303" i="8"/>
  <c r="AI303" i="8"/>
  <c r="AH304" i="8"/>
  <c r="AI304" i="8"/>
  <c r="AH305" i="8"/>
  <c r="AI305" i="8"/>
  <c r="AH306" i="8"/>
  <c r="AI306" i="8"/>
  <c r="AH307" i="8"/>
  <c r="AI307" i="8"/>
  <c r="AH308" i="8"/>
  <c r="AI308" i="8"/>
  <c r="AH309" i="8"/>
  <c r="AI309" i="8"/>
  <c r="AH310" i="8"/>
  <c r="AI310" i="8"/>
  <c r="AH311" i="8"/>
  <c r="AI311" i="8"/>
  <c r="AH312" i="8"/>
  <c r="AI312" i="8"/>
  <c r="AH313" i="8"/>
  <c r="AI313" i="8"/>
  <c r="AH314" i="8"/>
  <c r="AI314" i="8"/>
  <c r="AH315" i="8"/>
  <c r="AI315" i="8"/>
  <c r="AH316" i="8"/>
  <c r="AI316" i="8"/>
  <c r="AH317" i="8"/>
  <c r="AI317" i="8"/>
  <c r="AH318" i="8"/>
  <c r="AI318" i="8"/>
  <c r="AH319" i="8"/>
  <c r="AI319" i="8"/>
  <c r="AH320" i="8"/>
  <c r="AI320" i="8"/>
  <c r="AH321" i="8"/>
  <c r="AI321" i="8"/>
  <c r="AH322" i="8"/>
  <c r="AI322" i="8"/>
  <c r="AH323" i="8"/>
  <c r="AI323" i="8"/>
  <c r="AH324" i="8"/>
  <c r="AI324" i="8"/>
  <c r="AH325" i="8"/>
  <c r="AI325" i="8"/>
  <c r="AH326" i="8"/>
  <c r="AI326" i="8"/>
  <c r="AH327" i="8"/>
  <c r="AI327" i="8"/>
  <c r="AH328" i="8"/>
  <c r="AI328" i="8"/>
  <c r="AH329" i="8"/>
  <c r="AI329" i="8"/>
  <c r="AH330" i="8"/>
  <c r="AI330" i="8"/>
  <c r="AH331" i="8"/>
  <c r="AI331" i="8"/>
  <c r="AI2" i="8"/>
  <c r="AH2" i="8"/>
  <c r="H5" i="9" l="1"/>
  <c r="E8" i="7"/>
  <c r="A4" i="7"/>
  <c r="F2" i="169" l="1"/>
  <c r="F2" i="9"/>
  <c r="F4" i="9"/>
  <c r="F4" i="169"/>
  <c r="F5" i="169"/>
  <c r="F5" i="9"/>
  <c r="H4" i="9"/>
  <c r="H6" i="9"/>
  <c r="H3" i="9"/>
  <c r="A8" i="7" l="1"/>
  <c r="T3" i="3"/>
  <c r="T4" i="3"/>
  <c r="T2" i="3"/>
  <c r="S2"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Kopie von Q_01_ISMS_F_Audit_Checklist.xlsx!Filter" type="102" refreshedVersion="6" minRefreshableVersion="5">
    <extLst>
      <ext xmlns:x15="http://schemas.microsoft.com/office/spreadsheetml/2010/11/main" uri="{DE250136-89BD-433C-8126-D09CA5730AF9}">
        <x15:connection id="Filter">
          <x15:rangePr sourceName="_xlcn.WorksheetConnection_KopievonQ_01_ISMS_F_Audit_Checklist.xlsxFilter1"/>
        </x15:connection>
      </ext>
    </extLst>
  </connection>
  <connection id="3" xr16:uid="{00000000-0015-0000-FFFF-FFFF02000000}" name="WorksheetConnection_Q_01_ISMS_F_Audit_Checklist.xlsx!Daten" type="102" refreshedVersion="6" minRefreshableVersion="5">
    <extLst>
      <ext xmlns:x15="http://schemas.microsoft.com/office/spreadsheetml/2010/11/main" uri="{DE250136-89BD-433C-8126-D09CA5730AF9}">
        <x15:connection id="Daten">
          <x15:rangePr sourceName="_xlcn.WorksheetConnection_Q_01_ISMS_F_Audit_Checklist.xlsxDaten1"/>
        </x15:connection>
      </ext>
    </extLst>
  </connection>
</connections>
</file>

<file path=xl/sharedStrings.xml><?xml version="1.0" encoding="utf-8"?>
<sst xmlns="http://schemas.openxmlformats.org/spreadsheetml/2006/main" count="12096" uniqueCount="1816">
  <si>
    <t>C</t>
  </si>
  <si>
    <t>I</t>
  </si>
  <si>
    <t>A</t>
  </si>
  <si>
    <t>SC1</t>
  </si>
  <si>
    <t>SC2</t>
  </si>
  <si>
    <t>SC3</t>
  </si>
  <si>
    <t>Application</t>
  </si>
  <si>
    <t>Server</t>
  </si>
  <si>
    <t>c</t>
  </si>
  <si>
    <t>1</t>
  </si>
  <si>
    <t/>
  </si>
  <si>
    <t>2</t>
  </si>
  <si>
    <t>3</t>
  </si>
  <si>
    <t>n</t>
  </si>
  <si>
    <t>4</t>
  </si>
  <si>
    <t>5</t>
  </si>
  <si>
    <t>A.06.3.1</t>
  </si>
  <si>
    <t>Y</t>
  </si>
  <si>
    <t>Operator</t>
  </si>
  <si>
    <t>Seitens des Cloud-Anbieters muss die Rolle des Beauftragten für die Behand-lung von IT-Sicherheitsvorfällen beschrieben und mit Verantwortlichkeiten zuge-wiesen werden.</t>
  </si>
  <si>
    <t>Hinweis: Beim Cloud-Computing werden Rollen und Verantwortlichkeiten typi-scherweise zwischen Cloud-Kunde und Cloud-Anbieter aufgeteilt. Deshalb ist die Verantwortlichkeit für die Umsetzung der Maßnahmen im Einzelfall pro Cloud-Service festzulegen.
Die vo</t>
  </si>
  <si>
    <t>Ist sich der Cloud-Kunde seiner Sicherheitsverantwortung bei der Nutzung des Cloud-Service bewusst (z.B. für die sichere Konfiguration und den Betrieb der Cloud-Lösung)?</t>
  </si>
  <si>
    <t>A.07.2.2</t>
  </si>
  <si>
    <t>Alle Mitarbeiter müssen die für ihre Arbeit relevanten ISP-Regelungen kennen und einhalten. Zusätzlich müssen allen Mitarbeitern die für sie zuständigen An-sprechpartner (z. B. DSP, Local-ITM, Local-ITL) bekannt sein.</t>
  </si>
  <si>
    <t>Mitarbeiter sind mindestens alle drei Jahre über für sie relevante ISP-Regelungen zu unterweisen. Neue Mitarbeiter sind schnellstmöglich in für sie re-levante ISP-Regelungen zu unterweisen. Bei Veröffentlichung neuer oder aktua-lisierter ISP-Regelungen si</t>
  </si>
  <si>
    <t>Zur Unterweisung müssen entweder lokale Unterweisungs-Dokumente oder die von C/ISP bereitgestellten, zentralen Unterweisungs-Dokumente (ISP001, ISP002-XX) verwendet werden. Bei der Verwendung der zentralen Unterwei-sungs-Dokumente sind diese durch lokale</t>
  </si>
  <si>
    <t>Die lokalen Unterweisungs-Dokumente sowie die lokalen Unterweisungs-Ergänzungen müssen jährlich auf Aktualität geprüft und von der Führungskraft genehmigt werden. Bei der Erstellung und Aktualisierung dieser Dokumente muss eine Beratung durch den DSP erfo</t>
  </si>
  <si>
    <t>Alle Unterweisungs-Dokumente müssen den Mitarbeitern einfach zugänglich gemacht werden.</t>
  </si>
  <si>
    <t>6</t>
  </si>
  <si>
    <t>Zusätzlich zu den regelmäßigen Unterweisungen sind die Mitarbeiter im Rahmen von Sensibilisierungsmaßnahmen über Sicherheitsrisiken sowie Sicherheitslö-sungen aufzuklären. Verantwortlich ist die Führungskraft mit Unterstützung des DSP.</t>
  </si>
  <si>
    <t>8</t>
  </si>
  <si>
    <t>Alle Mitarbeiter, die an der Entwicklung von Produkten mit digitalen Daten mitar-beiten, haben das WBT Training zum Thema Datenschutz und Informationssi-cherheit in Produkten (ISP-ISP042) zu absolvieren.</t>
  </si>
  <si>
    <t>7</t>
  </si>
  <si>
    <t>Hinweis: Die Teilnahme der Mitarbeiter an Sensibilisierungsmaßnahmen muss nicht nachgewiesen werden. 
In den jeweiligen Domänen sind zusätzlich die domänenspezifischen Unterwei-sungsregeln zu beachten.</t>
  </si>
  <si>
    <t>9</t>
  </si>
  <si>
    <t>Hinweis: Die allgemeinen Regelungen für das Kompetenz-Management bei Bosch sind in der ZA „Kompetenz- und Training-Management bei Bosch“ (CD 02610) fest-gelegt. Trainingsmaßnahmen für Mitarbeiter der ISP-Organisation (C/ISP, DSO, DSP) sind im Kompetenzman</t>
  </si>
  <si>
    <t>Kennen die Mitarbeiter Ihre Verantwortlichkeiten bzgl. Informationssicherheit und Datenschutz und haben sie an entsprechenden Schulungs- und Sensibilisierungs-Maßnahmen teilgenommen?</t>
  </si>
  <si>
    <t>A.08.1.1</t>
  </si>
  <si>
    <t>Der Herr der Daten muss die Informationen in seinem Verantwortungsbereich in einem Datenkonzept dokumentieren. Hierbei muss die Klassifizierung der Infor-mationen gemäß Kapitel 8.2.1 angegeben werden.</t>
  </si>
  <si>
    <t>Bei der Inventarisierung von IT-Systemen muss angegeben werden, welche Stelle für das IT-System verantwortlich ist und für welche Schutzklassen das IT-System gemäß Kapitel 8.2.3 konzipiert ist.</t>
  </si>
  <si>
    <t>Hinweis: Relevante Regelung für Informationen C/ISP ZA „Information Gover-nance“ (CD 02981). Vorgaben für die Inventarisierung von IT-Systemen sind in weiteren Kapiteln beschrieben.
Für die Dokumentation von Anwendungen gelten die Vorgaben der C/SB ZA “</t>
  </si>
  <si>
    <t>Sind die zu verarbeitenden Informationen und die an der Informationsverarbeitung beteiligten IT-Systeme bekannt und dokumentiert?</t>
  </si>
  <si>
    <t>A.08.1.2</t>
  </si>
  <si>
    <t>Der Herr der Daten ist für die Informationen in seinem Verantwortungsbereich verantwortlich. Er muss sicherstellen, dass die Informationen in seinem Verant-wortungsbereich gemäß Kapitel 8.1.1 inventarisiert, gemäß Kapitel 8.2.1 klassifi-ziert und gemäß de</t>
  </si>
  <si>
    <t>Jede Organisationsstelle, die anderen Organisationsstellen IT-Systeme zur Nut-zung bereitstellt, ist Betreiber für diese IT-Systeme im Sinne dieser ZA. Von die-ser Festlegung kann durch eine explizite Vereinbarung (z. B. Service Level Ag-reements, Verträg</t>
  </si>
  <si>
    <t>Ist für die Informationen, welche verarbeitet werden solllen, ein Verantwortlicher (Herr der Daten) definiert?</t>
  </si>
  <si>
    <t>A.08.1.5</t>
  </si>
  <si>
    <t>Hinweis: Beim Cloud-Computing werden Rollen und Verantwortlichkeiten typi-scherweise zwischen Cloud-Kunde und Cloud-Anbieter aufgeteilt. Deshalb ist die Verantwortlichkeit für die Umsetzung der Maßnahmen im Einzelfall pro Cloud-Service gemäß Kapitel A.6.3</t>
  </si>
  <si>
    <t>Ist dem Cloud-Kunden bekannt, wie die Daten nach Beendigung der Cloud-Dienstleistung aus der Cloud-Lösung entfernt/gelöscht werden können?</t>
  </si>
  <si>
    <t>A.08.2.1</t>
  </si>
  <si>
    <t>Der Herr der Daten muss die Informationen gemäß den Kriterien in Kapitel 1 die-ser ZA hinsichtlich der Schutzziele Vertraulichkeit, Integrität und Verfügbarkeit klassifizieren. Die Klassifizierung von personenbezogenen Daten muss hierbei aus Sicht des Bet</t>
  </si>
  <si>
    <t>Folgende Schutzklassen (SC) müssen für die Klassifizierung verwendet werden: 
 Für Vertraulichkeit (Confidentiality): C-SC0, C-SC1, C-SC2, C-SC3 
 Für Integrität (Integrity): I-SC0, I-SC1, I-SC2, I-SC3
 Für Verfügbarkeit (Availability): A-SC0, A-SC1, A</t>
  </si>
  <si>
    <t>Die Informationen werden gemäß der Schutzklasse für Vertraulichkeit wie folgt klassifiziert:
 Schutzklasse C-SC0: öffentlich
 Schutzklasse C-SC1: intern
 Schutzklasse C-SC2: vertraulich
 Schutzklasse C-SC3: streng vertraulich</t>
  </si>
  <si>
    <t>Die Ausgangsklassifizierung für Vertraulichkeit von Informationen ist C-SC1 (in-tern), soweit deren Art und Inhalt nicht eine höhere Schutzklasse erfordern oder es sich nicht um öffentliche Informationen handelt.</t>
  </si>
  <si>
    <t>Eine Einstufung von pbD als C-SC0 (öffentlich) ist nur möglich, falls die pbD Da-ten vom Betroffenen frei zugänglich gemacht wurden, eine Einwilligung des Be-troffenen zur Veröffentlichung oder eine gesetzliche bzw. eine vertragliche Grundlage zur Veröffe</t>
  </si>
  <si>
    <t>Sind die zu verarbeitenden Informationen bzgl. Vertraulichkeit, Integrität und Verfügbarkeit klassifiziert?</t>
  </si>
  <si>
    <t>A.08.2.3</t>
  </si>
  <si>
    <t>Die schutzbedarfsgerechte Ausgestaltung der IT-Systeme leitet sich aus den Schutzklassen der verarbeiteten Informationen ab und erfolgt gemäß Kapitel 1.</t>
  </si>
  <si>
    <t>Betreiber legen offen, für welche Schutzklassen das von ihnen betriebene IT-System eingesetzt werden kann. (z.B. Spec-Sheet, SLA).</t>
  </si>
  <si>
    <t>Die Verwendung von IT-Systemen für andere, als die vom Betreiber vorgesehenen Schutzklassen bedarf einer ergänzenden Risikobetrachtung durch den nutzenden Bereich.</t>
  </si>
  <si>
    <t>Die Handhabung von Informationen (z. B. Aufbewahrung, Weitergabe an Dritte, Löschen) leitet sich aus den Schutzklassen der Informationen ab.</t>
  </si>
  <si>
    <t>Alle Informationen müssen als C-SC1 ("intern") behandelt werden, es sei denn, sie sind ausdrücklich als C-SC0, C-SC2, oder C-SC3 klassifiziert.</t>
  </si>
  <si>
    <t>Informationen der Art "For your eyes only" (z. B. persönliche vertrauliche Informa-tionen, Passwörter) müssen wie C-SC3 Daten gehandhabt werden.</t>
  </si>
  <si>
    <t>Schriftgut mit „vertraulichen“ (C-SC2) und „streng vertraulichen“ (C-SC3) Informationen muss so versendet werden, dass Unberechtigte keinen Zugriff auf den Inhalt haben. Dies kann durch Verschluss und Kennzeichnung, z.B. des Umschlages, erfolgen. Mit „ver</t>
  </si>
  <si>
    <t>Hinweis: Relevante Regelungen RB/GF 108 „Weitergabe schutzbedürftiger Informa-tionen an Außenstehende“.</t>
  </si>
  <si>
    <t>Hinweis: Ergänzende Informationen sind im inside.Docupedia (Docupedia Informationssicherheit und Datenschutz) zu finden.
Siehe Bosch EISA, Anhang E, Kapitel 8.2.3.</t>
  </si>
  <si>
    <t>A.08.3.2</t>
  </si>
  <si>
    <t>Schriftgut sowie unverschlüsselte Datenträger und Festplatten müssen in Abhängigkeit der darauf befindlichen Informationen gemäß ISO 21964 „Vernichtung von Datenträgern“ mechanisch vernichtet werden. Folgende Sicherheitsstufen müssen verwendet werden:
 B</t>
  </si>
  <si>
    <t>Unverschlüsselte Festplatten können alternativ vollständig unwiederbringlich gelöscht oder entmagnetisiert werden.</t>
  </si>
  <si>
    <t>Hinweis: Es gelten die Regelungen gemäß Kapitel A.11.2.7</t>
  </si>
  <si>
    <t>Gibt es ein Entsorgungskonzept für Medien (z.B. Festplatten) und wird es umgesetzt?</t>
  </si>
  <si>
    <t>A.09.1.1</t>
  </si>
  <si>
    <t>Der Zugang darf nur zu den Informationen erfolgen, welche für die Ausführung von Aufgaben und Funktionen erforderlich ist („Need-to-know“-Prinzip).</t>
  </si>
  <si>
    <t>Der Zugang darf nur zu den Einrichtungen der Informationsverarbeitung (IT-Systeme, Anwendungen, IT-Räume usw.) erfolgen, welche für die Ausführung der eigenen Aufgaben und Funktionen erforderlich ist („Need-to-use“-Prinzip).</t>
  </si>
  <si>
    <t>Identitätsnachweis mittels Authentisierungsmerkmal „Wissen" erfolgt durch eine geheime Information.</t>
  </si>
  <si>
    <t>Identitätsnachweis mittels Authentisierungsmerkmal „Besitz" erfolgt durch einen schwer kopierbaren/erzeugbaren Gegenstand oder eine zugriffsgeschützte Datei (meist kryptographischer Schlüssel) im Besitz des Benutzers.</t>
  </si>
  <si>
    <t>Identitätsnachweis mittels Authentisierungsmerkmal „Sein" erfolgt durch perso-nencharakteristische Wesensmerkmale.</t>
  </si>
  <si>
    <t>(7) Eine starke Authentisierung muss mittels Bosch Single Sign-On und mindestens einem weiteren Authentisierungsmerkmal erfolgen. Die hierfür freigegebenen Lösungen werden durch C/IDS festgelegt. Die Verwendung mehrerer Authentisierungsmerkmale muss auch</t>
  </si>
  <si>
    <t>Hinweis: Beispiele für „Wissen“: Passwort, PIN oder Challenge/Response. Die Be-nutzerkennung selbst ist kein ausreichendes Wissen.
Beispiele für „Besitz“: Zugangskarte oder Schlüssel (-datei)
Beispiele für „Sein“: Biometrisches System oder Vergleich des F</t>
  </si>
  <si>
    <t>Ist ein Berechtigungsmanagementkonzept vorhanden und implementiert?</t>
  </si>
  <si>
    <t>A.09.1.2</t>
  </si>
  <si>
    <t>10</t>
  </si>
  <si>
    <t>11</t>
  </si>
  <si>
    <t>12</t>
  </si>
  <si>
    <t>A.09.2.1</t>
  </si>
  <si>
    <t>Digitale Bosch-Identitäten (dBI) sind stets genau einer verantwortlichen Organisationseinheit und einem Identitätstyp zuzuordnen. Jeder Identitätstyp ist entweder der Kategorie „Person“ oder der Kategorie „Nicht-Person“ zugeordnet. DBI der Kategorie „Pers</t>
  </si>
  <si>
    <t>Für jeden Identitätstyp ist ein Identitätstypverantwortlicher festgelegt. Der Identitätstypverantwortliche legt die Attribute des Identitätstyps fest. Er definiert die notwendigen Prozesse, um die Verlässlichkeit sowie die Aktualität der dBI und deren Att</t>
  </si>
  <si>
    <t>Folgende Attribute müssen für alle dBI vorliegen:
 Nutzerkennung (eindeutiger Identitätsschlüssel). Diese muss über alle Identitätstypen hinweg eindeutig sein und können nur einmalig und dauerhaft einer dBI zugeordnet werden. Die Nutzerkennung darf mit A</t>
  </si>
  <si>
    <t>Vorgaben für gültige Identitätstypen, Namenskonventionen sowie für die Anlage, Verwaltung und Löschung von dBI und Nutzerkennungen sind im mitgeltendem Dokument „xyz“ (CD02900-0XY) beschrieben.</t>
  </si>
  <si>
    <t>Für Produkte kann im Rahmen des in Kapitel A.14.2.1 festgelegten Vorgehens von diesen Festlegungen abgewichen werden.</t>
  </si>
  <si>
    <t>A.09.2.3</t>
  </si>
  <si>
    <t>Hinweis: Die Anforderungen für Vergabe, Prüfung, Dokumentation und Entzug von Administrationsrechten (auch privilegierte Zugangsrechte genannt) für IT-Systeme sind in Abschnitt 9.2 der C/IDS ZA 07900-001 geregelt. Ferner gelten die C/SB ZA “Access und Ide</t>
  </si>
  <si>
    <t>Hinweis: In Deutschland ist die KBV10.44 zu beachten.</t>
  </si>
  <si>
    <t>Hinweis: Es wird empfohlen, Administratoren im Rahmen einer Awareness-Veranstaltung explizit auf diese Festlegungen hinzuweisen.
Abschnitt A.9.2. der C/IDS ZA 07900-001 ist zu beachten.</t>
  </si>
  <si>
    <t>A.09.2.4</t>
  </si>
  <si>
    <t>Bei automatischen Passwortänderungen durch IT-Systeme ist die Geheimhaltung des Passworts sicherzustellen. Bei der Nutzung der „Passwort vergessen"-Funktion muss der Nutzer das Passwort nach der Erstanmeldung sofort ändern.</t>
  </si>
  <si>
    <t>Hinweis: Siehe Bosch EISA, Anhang E, Kapitel 9.2.</t>
  </si>
  <si>
    <t>Existiert ein Konzept zur Verwaltung von Passwörtern und ist dieses implementiert?</t>
  </si>
  <si>
    <t>A.09.2.5</t>
  </si>
  <si>
    <t>Es ist jährlich von der Führungskraft zu überprüfen, ob alle dBI und deren Attribute korrekt sind und die dazugehörigen Mitarbeiter bei der Umsetzung der ISP-Regelungen berücksichtigt wurden (z. B. Unterweisungen und Sensibilisierungsmaßnahmen). Fehler od</t>
  </si>
  <si>
    <t>Mit dem Bericht soll folgendes ermittelt werden:
 Ist die Zuordnung der dBI zu der Abteilung korrekt? 
 Gibt es Mitarbeiter, für die aufgrund anderer Standort-/Länderzuordnung abweichende ISP-Maßnahmen/-Informationen notwendig sind?
 Gibt es in besonde</t>
  </si>
  <si>
    <t>Hinweis: In diesem Bericht erforderliche Informationen zur Überprüfung der dBI: Na-me der Person, Abteilung oder Gruppe (Verweis auf COMPAS), Standort, Identitätstyp (z.B. INTERNAL, EXTERNAL, SHARED-ACCOUNT) 
Zusätzlich wird empfohlen, anhand der Abteilun</t>
  </si>
  <si>
    <t>Führt die Führungskraft die jährliche Überprüfung der Benutzerzugriffsrechte durch?</t>
  </si>
  <si>
    <t>A.09.3.1</t>
  </si>
  <si>
    <t>Zugriffe mit einer Benutzerkennung erfolgen unter der Verantwortung des Nutzers, dem die Benutzerkennung zugeordnet ist. Das Passwort ist geheim zu halten und darf niemand anderem zur Nutzung überlassen werden. Dieses Verbot gilt auch für die Zwecke der A</t>
  </si>
  <si>
    <t>Passwortregeln für Produkte können im Rahmen des in Kapitel A.14.2.1 festgelegten Vorgehens von diesen Festlegungen abweichen.</t>
  </si>
  <si>
    <t>13</t>
  </si>
  <si>
    <t>Brute-Force-Tests dürfen nur nach Freigabe durch die jeweiligen Netz- und IT-System-Betreiber durchgeführt werden. Bei am Bosch-SSO angeschlossenen IT-Systemen ist zusätzlich eine Freigabe durch CI notwendig</t>
  </si>
  <si>
    <t>14</t>
  </si>
  <si>
    <t>Für unterschiedliche Systeme ohne Bosch-SSO (z. B. für dienstliche Anwendungen im Internet) sind unterschiedliche Passwörter zu wählen. Passwörter, die dienstlich genutzt werden, dürfen nicht Passwörtern entsprechen, die privat genutzt werden.</t>
  </si>
  <si>
    <t>Bei Eingabe des Passwortes ist darauf zu achten, dass dies durch Dritte nicht eingesehen werden kann. Das Passwort darf bei der Eingabe am Bildschirm nicht vollständig im Klartext angezeigt werden.</t>
  </si>
  <si>
    <t>Falls vermutet werden kann, dass das Passwort an eine unberechtigte Person gelangt ist (z. B. durch Ausspähung bei der Eingabe), ist das Passwort durch den Nutzer sofort zu ändern.</t>
  </si>
  <si>
    <t>Ein tatsächlicher oder vermuteter Missbrauch von Authentisierungen (z. B. bei Erkennung von nicht durch den Benutzer verursachten Authentisierungen) ist als Informationssicherheitsvorfall gemäß Kapitel A.16 dieser ZA zu melden. Im Anschluss ist die Vertra</t>
  </si>
  <si>
    <t>Passwörter, die mehreren Personen bekannt sein müssen, sind soweit möglich zu vermeiden. Der Zugriff mit derartigen Passwörtern ist im Fall von Leseberechtigungen auf C-SC0, C-SC1 Daten beschränkt. Im Fall von Schreibberechtigungen ist der Zugriff zusätzl</t>
  </si>
  <si>
    <t>Ein Passwort, das nur im Notfall benötigt wird, muss elektronisch verschlüsselt oder im verschlossenen Umschlag unter physischem Verschluss hinterlegt werden.</t>
  </si>
  <si>
    <t>Physische Authentisierungsmerkmale (z. B. Zugangskarten) dürfen nur berechtigten Nutzern zugänglich sein.</t>
  </si>
  <si>
    <t>Die Passworteigenschaften richten sich nach der Einstufung der Daten und der IT-Systeme (A.8.2.1), auf die zugegriffen wird. Wird mit einer Benutzerkennung auf Daten unterschiedlicher Einstufung zugegriffen, so ist für die Stärke des Passworts die höchste</t>
  </si>
  <si>
    <t>Bei IT-Systemen, die nur einen lesenden Zugriff auf Daten der Schutzklasse C-SC0 zulassen, ist keine Authentisierung erforderlich. Bei IT-Systemen, die nur einen lesenden Zugriff auf Daten der Schutzklasse C-SC1 zulassen, muss die Mindestlänge für Passwör</t>
  </si>
  <si>
    <t>Hinweis: Die Anforderungen für Passwörter zum Schutz kryptographischer Schlüssel sind in Abschnitt 10.1.2 der C/IDS ZA 07900-001 geregelt.
Die Anforderungen für Passwortänderungsintervalle sind in Abschnitt 9.2. der C/IDS ZA 07900-001 geregelt. 
Die Anfor</t>
  </si>
  <si>
    <t>A.09.4.1</t>
  </si>
  <si>
    <t>Der Zugang zu IT-Systemen und Anwendungen mit Daten der Schutzklasse C-SC3 muss durch Bosch Single Sign-On oder starke Authentisierung beschränkt werden.</t>
  </si>
  <si>
    <t>Hinweis: Relevante Regelung C/ISP ZA „Information Governance“ (CD 02981).</t>
  </si>
  <si>
    <t>Entspricht der Zugang zu Informationen und Informationssystemen den angegebenen Authentifizierungsverfahren?</t>
  </si>
  <si>
    <t>A.09.4.2</t>
  </si>
  <si>
    <t>Authentisierungsinformationen müssen bei der Speicherung und Übertragung geschützt werden</t>
  </si>
  <si>
    <t>Falls technische oder wirtschaftliche Gründe gegen die Verschlüsselung der Authentisierungsinformationen sprechen, kann diese unverschlüsselt übertragen werden falls nur auf Daten der Schutzklasse C-SC0 oder C-SC1 zugegriffen wird oder falls eine ergänzen</t>
  </si>
  <si>
    <t>Bei der Neuentwicklung oder beim Kauf von IT-Systemen sind diese durch den hierfür Verantwortlichen an das Bosch Single Sign-On (SSO) anzubinden. Falls technische oder wirtschaftliche Gründe gegen den Einsatz von SSO sprechen, kann nach einer Risikoabwägu</t>
  </si>
  <si>
    <t>Hinweis: Die geeigneten Verfahren sind in Abschnitt 9.2. der C/IDS ZA 07900-001 geregelt.
Zu den Authentisierungsinformationen werden die geheimen Informationen des Authentisierungsverfahrens (z. B. Hash-Werte von Passwörtern) sowie alle Zuordnungen von B</t>
  </si>
  <si>
    <t>Hinweis: Je geringer die Anzahl der Passwörter ist, die sich ein Nutzer merken muss, desto einfacher ist deren Handhabung und umso stärker, respektive sicherer, können diese sein.</t>
  </si>
  <si>
    <t>Werden Authentisierungsinformationen bei der Speicherung und Übertragung geschützt?</t>
  </si>
  <si>
    <t>A.09.4.3</t>
  </si>
  <si>
    <t>Hinweis: Abschnitt A.9.4. der C/IDS ZA 07900-001 ist zu beachten.</t>
  </si>
  <si>
    <t>A.09.5.1</t>
  </si>
  <si>
    <t>Hinweis: Beim Cloud-Computing werden Rollen und Verantwortlichkeiten typischerweise zwischen Cloud-Kunde und Cloud-Anbieter aufgeteilt. Deshalb ist die Verantwortlichkeit für die Umsetzung der Maßnahmen im Einzelfall pro Cloud-Service gemäß Kapitel A.6.3.</t>
  </si>
  <si>
    <t>Sind die Cloud-Ressourcen und -Daten der Cloud-Kunden in der Cloud-Lösung strikt von anderen Cloud-Kunden getrennt?</t>
  </si>
  <si>
    <t>A.09.5.2</t>
  </si>
  <si>
    <t>Sind die virtuellen Maschinen in der Cloud-Computing-Umgebung sicher konfiguriert (Hardening)?</t>
  </si>
  <si>
    <t>A.10.1.1</t>
  </si>
  <si>
    <t>Falls externe IT-Dienstleistungen ohne vertragliche Vereinbarungen genutzt werden (z. B. frei zugängliche Cloud-Dienste) müssen Daten der Schutzklassen C-SC1, C-SC2 und C-SC3 vor der Übermittlung zum Dienstleister verschlüsselt werden.</t>
  </si>
  <si>
    <t>Hinweis: Abschnitt A.10.1.1. der C/IDS ZA 07900-001 ist zu beachten.</t>
  </si>
  <si>
    <t>Hinweis: Siehe C/ISP ZA "Information Governance" (CD 02981), Kapitel 4.3.9 „Aufbewahrung und Archivierung“.</t>
  </si>
  <si>
    <t>Hinweis: Maßnahmen zur Vorbeugung von Sicherheitsvorfällen erfordern ggf. die forensische Untersuchung des Netzwerkverkehrs, z. B. um Angriffe auf die Informationssysteme zu erkennen und zu unterbinden. Gleichzeitig soll die Verschlüsselung von Netzwerkve</t>
  </si>
  <si>
    <t>Werden die Daten in verschlüsselter Form gespeichert und/oder übertragen?</t>
  </si>
  <si>
    <t>A.10.1.2</t>
  </si>
  <si>
    <t>Der Herr der Daten für das vom RB-TrustCenter generierte Schlüsselmaterial ist C/ISP. Die Vorgaben bzgl. der Sicherheit des RB-TrustCenters sowie die damit verbundenen PKI (Public Key Infrastructure) werden von C/ISP festgelegt.</t>
  </si>
  <si>
    <t>Hinweis: Passwortrichtlinien für den Schutz des kryptographischen Schlüssels sind in Kapitel A.9.3.1 beschrieben.
Abschnitt A.10.1.2. der C/IDS ZA 07900-001 ist zu beachten.</t>
  </si>
  <si>
    <t>A.11.1.4</t>
  </si>
  <si>
    <t>Hinweis: Relevante Regelungen RB/GF 128 „Brandschutz und Gefahrenabwehr in der Bosch-Gruppe“, Bosch-Normen N93 zum Brandschutz und zur Gefahrenabwehr, Notfall- und Wiederanlaufplanung (Business Continuity Management - BCM), C/AUP ZA „Unternehmenssicherhei</t>
  </si>
  <si>
    <t>A.11.2.1</t>
  </si>
  <si>
    <t>Für jeden IT-Raum ist ein IT-Raumverantwortlicher festzulegen. IT-Raumverantwortlicher ist der Standortverantwortliche oder eine von ihm benannte Stelle.</t>
  </si>
  <si>
    <t>Für jeden IT-Raum ist ein IT-Raumkonzept erforderlich, in dem die notwendigen technischen und organisatorischen Maßnahmen zur Erreichung der Schutzziele des IT-Raums dokumentiert sind. Das IT-Raumkonzept ist vom IT-Raumverantwortlichen anhand des Template</t>
  </si>
  <si>
    <t>Die Festlegung der notwendigen Maßnahmen erfolgt basierend auf einer Risikobetrachtung. Ziel der Risikobetrachtung ist die Gewährleistung des Schutzes vor allgemeinen Gefährdungen von Server und IT-Raum (z. B. Sabotage, Einbruch, Tsunami, Erdbeben und wei</t>
  </si>
  <si>
    <t>Bei verbleibenden Restrisiken mit Einstufung „mittel“ oder „hoch“ informiert der IT-Raumverantwortliche die Betreiber der IT-Systeme, welche sich im IT-Raum befinden.</t>
  </si>
  <si>
    <t>Auf Basis des IT-Raumkonzepts vereinbaren der IT-Raumverantwortliche und die Betreiber der im Raum befindlichen IT-Systeme die jeweilige Verantwortlich-keit zur Umsetzung der Maßnahmen.</t>
  </si>
  <si>
    <t>IT-Räume sind stets zutrittskontrollierte Bereiche.</t>
  </si>
  <si>
    <t>Hinweis: Relevante Regelung C/AUP ZA “Unternehmenssicherheit an Standorten“ (CD 05200). Insbesondere die Festlegungen zu „Verlust, kriminelle Entwendung, Diebstahl von Informationen mit oder ohne physischen Verlust“ (z. B. Clean Desk, Kensington Locks, et</t>
  </si>
  <si>
    <t>Hinweis: IT-Räume können Sperrbereiche im Sinne C/AUP ZA „Unternehmenssi-cherheit an Standorten“ (CD 05200) sein. Entsprechende Regelungen sind zu be-achten.</t>
  </si>
  <si>
    <t>Wird der Server in einem IT-Raum betrieben?</t>
  </si>
  <si>
    <t>A.11.2.5</t>
  </si>
  <si>
    <t>Hinweis: Relevante Regelungen C/AUP ZA „Unternehmenssicherheit an Standor-ten” (CD 05200) und C/FI ZA „Ausscheiden von Vermögensgegenständen“ (CD 02214).</t>
  </si>
  <si>
    <t>A.11.2.7</t>
  </si>
  <si>
    <t>Bei Rückgabe, Entsorgung, Wiederverwendung, Reparatur- und Wartungsarbeiten von IT-Systemen und TK-Anlagen, auch im Garantiefall, ist durch die Führungskraft sicherzustellen, dass Vertraulichkeit und Integrität der Daten nicht verletzt werden.</t>
  </si>
  <si>
    <t>Hinweis: Dies kann z. B. durch Rücksetzen auf Werkseinstellungen, Verschlüsselung, unwiederbringliches Löschen, mechanische Zerstörung oder vertragliche Regelungen erfolgen. Die sichere Entsorgung kann auch als externe Dienstleistung (z. B. Nutzung des CI</t>
  </si>
  <si>
    <t>Gibt es ein Entsorgungskonzept für Medien (z.B. Festplatte) und wird es vor der Entsorgung und/oder Wiederverwendung von Medien umgesetzt?</t>
  </si>
  <si>
    <t>A.11.2.8</t>
  </si>
  <si>
    <t>Hinweis: Relevante Regelung C/AUP ZA „Unternehmenssicherheit an Standorten” (CD 05200).
Siehe Bosch EISA, Anhang E, Kapitel 11.2.8.</t>
  </si>
  <si>
    <t>A.12.1.1</t>
  </si>
  <si>
    <t>Bei Netzanbindungen dokumentiert der Netzbetreiber die von ihm betriebenen Anbindungen. Zu dokumentieren sind die anfordernde GE, die Anbindungsarten und die freigegebenen Anbindungen.</t>
  </si>
  <si>
    <t>In den Domänen ITM und ITE ist ein Standortkonzept gemäß den Vorgaben des Domänenverantwortlichen zu erstellen und durch den jeweiligen Standortleiter als gelenktes Dokument freigeben zu lassen.</t>
  </si>
  <si>
    <t>Hinweis: Domänenspezifische Regelungen für ITM und für ITE sind in der jeweili-gen ZA (CD 04602 bzw. CD 07151) festgelegt.</t>
  </si>
  <si>
    <t>A.12.1.3</t>
  </si>
  <si>
    <t>Hinweis: Es existieren aktuell keine speziellen C/ISP Vorgaben zur Kapazitäts-steuerung. Die allgemeinen Regelungen dieser ZA sind anzuwenden.</t>
  </si>
  <si>
    <t>A.12.1.4</t>
  </si>
  <si>
    <t>Sind Entwicklungs- und Testanwendungen von den Produktivanwendungen getrennt?</t>
  </si>
  <si>
    <t>A.12.1.5</t>
  </si>
  <si>
    <t>Diese Operationen müssen durch den Cloud-Kunden in einem Betriebshandbuch für den Cloud-Dienst dokumentiert werden.</t>
  </si>
  <si>
    <t>A.12.2.1</t>
  </si>
  <si>
    <t>Diese Maßnahmen sind auch für IT-Systeme von Geschäftspartnern sinngemäß anzuwenden, falls diese an ein Netzwerk der Bosch-Gruppe angeschlossen werden (z. B. Laptop eines Dienstleisters für Wartungsarbeiten). Zusätzlich müs-sen diese IT-Systeme über geeig</t>
  </si>
  <si>
    <t>Zum Schutz vor Schadsoftware und zur Reduzierung des Risikos des Datenab-flusses ist bei IT-Endgeräten die Nutzung der Schnittstellen für externe Massen-speicher (z. B. USB) gemäß C/IDS-Vorgaben einzuschränken. Ausnahmen sind zu beantragen. Das hierzu erf</t>
  </si>
  <si>
    <t>Voraussetzung für den Anschluss eines IT-Endgerätes an ein externes Netz-werk (das Netzwerk ist nicht im verantwortlichen Betrieb der Bosch-Gruppe) ist ein dem Stand der Technik entsprechender Schutz des IT-Endgerätes vor An-griffen und Schadcode.</t>
  </si>
  <si>
    <t>Hinweis: Abschnitt A.12.2. der C/IDS ZA 07900-001 ist zu beachten.
Domänenspezifische Regelungen für ITM und für ITE sind in der jeweiligen ZA  (CD 04602 bzw. CD 07151) festgelegt.</t>
  </si>
  <si>
    <t>Hinweis: Stand der Technik für ein IT-Endgerät mit Windows wird durch CI festge-legt. Beispiele: SCCM mit VPN-Client, Festlegungen für IT-Endgeräte gemäß „Be-bauungsplan IT in der Fertigung“.</t>
  </si>
  <si>
    <t>Ist der Schutz vor Schadsoftware (Virenschutz) gemäß C/IDS  Vorgaben sichergestellt
oder ist das System über Netztrennungsmaßnahmen (z.B. ITM-Vorgaben) isoliert?</t>
  </si>
  <si>
    <t>A.12.3.1</t>
  </si>
  <si>
    <t>Hinweis: Relevante Regelung C/ISP ZA „Information Governance“ (CD 02981).
Domänenspezifische Regelungen für ITM und für ITE sind in der jeweiligen ZA (CD 04602 bzw. CD 07151) festgelegt.</t>
  </si>
  <si>
    <t>A.12.4.1</t>
  </si>
  <si>
    <t>Hinweis: Abschnitt A.12.4. der C/IDS ZA 07900-002 ist zu beachten.</t>
  </si>
  <si>
    <t>A.12.4.3</t>
  </si>
  <si>
    <t>Hinweis: Die Festlegungen in Kapitel A.9.2.3, A.12.4.1, und A.12.4.2 sind zu beach-ten.
Abschnitt A.12.4. der C/IDS ZA 07900-002 ist zu beachten.</t>
  </si>
  <si>
    <t>A.12.4.4</t>
  </si>
  <si>
    <t>Sind die Uhren von Informationsverarbeitungssystemen gemäß C/IDS ZA 07900-001, Kapitel 12.4 synchronisiert?</t>
  </si>
  <si>
    <t>A.12.4.5</t>
  </si>
  <si>
    <t>Der Cloud-Anbieter muss Cloud-Service-Monitoring-Funktionen bereitstellen, dokumentieren und dem Cloud-Kunden kommunizieren.</t>
  </si>
  <si>
    <t>Werden die Monitoring-Funktionen der Cloud-Lösung genutzt, um sicherheitsrelevante Ereignisse festzustellen?</t>
  </si>
  <si>
    <t>A.12.5.1</t>
  </si>
  <si>
    <t>Die Installation von Software auf IT-Systemen muss durch die von CI bzw. die vom Betreiber des IT-Systems bereitgestellten Verfahren erfolgen.</t>
  </si>
  <si>
    <t>Die Installation von Software für die private Nutzung ist verboten.</t>
  </si>
  <si>
    <t>Abweichend hiervon, dürfen Apps für die private Nutzung auf Smartphones in-stalliert und genutzt werden, wenn diese IT-Endgeräte durch das Gerätema-nagement von CI verwaltet werden und die Installation und Nutzung in einer ent-sprechenden Betriebsvereinba</t>
  </si>
  <si>
    <t>Software und Apps dürfen nur aus vertrauenswürdigen Quellen installiert werden, z. B. vom jeweiligen Hersteller, aus RB internen Quellen oder von offiziellen App Stores.</t>
  </si>
  <si>
    <t>Für IT-Systeme (insbesondere Server und Netzwerkkomponenten) mit hohem und sehr hohem Schutzbedarf, sowie für risikobehaftete Anwendungen stellt der Betreiber sicher, dass nur die für den Betrieb des IT-Systems erforderlichen Konfigurationen und Funktione</t>
  </si>
  <si>
    <t>Hinweis: Für die Nutzung von Software, die pbD verarbeitet, gelten die Regelungen gemäß Kapitel A.18.1.4. Dabei kann aus Datenschutzgründen die geschäftliche Nutzung von nicht durch CI freigegebene Messaging-Dienste (z.B. WhatsApp) un-zulässig sein, je na</t>
  </si>
  <si>
    <t>Hinweis: Die Richtlinienkompetenz gemäß RB/GF 177 ist zu beachten.
Siehe Bosch EISA, Anhang E, Kapitel 12.5.1.</t>
  </si>
  <si>
    <t>A.12.6.1</t>
  </si>
  <si>
    <t>Abteilungen, welche IT-Systeme nutzen, sind verantwortlich für die Verwendung gemäß den Vorgaben dieser ZA und des Betreibers. (DI)</t>
  </si>
  <si>
    <t>Hinweis: Abschnitt A.12.6.1. der C/IDS ZA 07900-001 ist zu beachten.</t>
  </si>
  <si>
    <t>A.12.6.2</t>
  </si>
  <si>
    <t>Der Einsatz von Software und Apps zum Zweck der Störung von IT-Systemen oder bei deren Einsatz das Ausspionieren von Daten, Passwörtern oder Abhören von IT-Systemen möglich ist (z. B. Netzwerk Diagnoseprogramme, Passwort-Cracker), ist nur gemäß der in Kap</t>
  </si>
  <si>
    <t>Hinweis: Es gelten die Regelungen gemäß Kapitel A.12.5.1.</t>
  </si>
  <si>
    <t>Hinweis: Abschnitt A.12.6.2. der C/IDS ZA 07900-001 ist zu beachten.</t>
  </si>
  <si>
    <t>A.13.1.2</t>
  </si>
  <si>
    <t>Es dürfen nur vom verantwortlichen Netzbetreiber freigegebene Netzkomponen-ten an ein Netzwerk der Bosch-Gruppe angeschlossen werden. Für das BCN er-folgt die Freigabe durch CI. Für andere Netzwerke erfolgt die Freigabe durch den jeweils verantwortlichen</t>
  </si>
  <si>
    <t>Netzwerkanbindungen ohne räumlichen Zutrittsschutz sind durch den Betreiber aus Vertraulichkeitsgründen gegen Abhören und unautorisierten Zugang zu si-chern.</t>
  </si>
  <si>
    <t>Bei Anbindungen zum BCN sind hierzu dem Stand der Technik entsprechende Verschlüsselungs- und Zugangsschutzverfahren erforderlich.</t>
  </si>
  <si>
    <t>Aus Gründen der Vertraulichkeit ist das Abhören von Netzen verboten. Die Fehlerdiagnose durch vom Netzbetreiber/TK-Betreiber autorisierte Personen ist zulässig. Für Fehlersuche, z. B. in der Entwicklung, ist die Aufzeichnung der Kommunikation des eigenen</t>
  </si>
  <si>
    <t>Der Netzbetreiber muss die Anbindung beenden sobald das Connection Ma-nagement meldet, dass die Anbindung nicht mehr benötigt wird. Ferner muss er die Anbindung beenden falls das Connection Management diese nicht verlängert und eine Eskalation des Netzbet</t>
  </si>
  <si>
    <t>Hinweis: Maßnahmen zur Sicherheit von Netzwerkdiensten werden von CI festge-legt.</t>
  </si>
  <si>
    <t>Hinweis: Eine Netzwerkverbindung ohne räumlichen Zutrittsschutz ist z. B. WLAN, Bluetooth, DECT. Aktuelle technische Implementierungen legt CI fest.</t>
  </si>
  <si>
    <t>Hinweis: Domänenspezifische Regelungen für ITM und für ITE sind in der jeweili-gen ZA (CD 04602 bzw. CD 07151) festgelegt.
Abschnitt A.13.1. der C/IDS ZA 07900-001 ist zu beachten.</t>
  </si>
  <si>
    <t>Sind Netzwerkschutzmechanismen wie Firewalls, IDS/IPS-Systeme, DDoS-Schutz etc. vorhanden?</t>
  </si>
  <si>
    <t>A.13.1.3</t>
  </si>
  <si>
    <t>Werden IT-Systeme betrieben, welche die Vorgaben dieser ZA nicht erfüllen (insbesondere die Vorgaben zum Schutz vor Schadsoftware gemäß Kapitel A.12 und zur Schwachstellenbeseitigung gemäß Kapitel A.16), müssen diese gemäß den jeweiligen domänenspezifisch</t>
  </si>
  <si>
    <t>Abschnitt A.13.1. der C/IDS ZA 07900-001 ist zu beachten.</t>
  </si>
  <si>
    <t>Existiert ein Netzwerktrennungskonzept und ist es implementiert?</t>
  </si>
  <si>
    <t>A.13.2.4</t>
  </si>
  <si>
    <t>Hinweis: Relevante Regelungen: RB/GF 108 „Weitergabe schutzbedürftiger Infor-mationen an Außenstehende“, C/LSC-IPL Leitlinie „Geheimhaltungs-Vereinbarungen“.</t>
  </si>
  <si>
    <t>A.14.1.1</t>
  </si>
  <si>
    <t>Bei Entwicklung und Kauf von IT-Systemen muss der Schutzbedarf der Informa-tionen berücksichtigt werden. Der Schutzbedarf wird durch den Herrn der Daten über das in Kapitel 1 beschriebene Verfahren bestimmt.</t>
  </si>
  <si>
    <t>Ergibt sich aus der Schutzklassenfestlegung ein hoher oder sehr hoher Schutz-bedarf (Schutzklasse 2, 3), so sind die technischen und organisatorischen Maß-nahmen vom Herrn der Daten mit den jeweiligen Betreibern (z. B. Anwendung, Server, Netze, Endgeräte)</t>
  </si>
  <si>
    <t>Sind die sicherheitsrelevanten Anforderungen (basierend auf Art und Schutzklasse der Informationen) bei der Planung neuer oder der Erweiterung bestehender Informationssysteme berücksichtigt?</t>
  </si>
  <si>
    <t>A.14.2.1</t>
  </si>
  <si>
    <t>Bei der Entwicklung von risikobehafteten Anwendungen sind die von C/IDS be-reitgestellten Umsetzungsrichtlinien durch die an der Entwicklung beteiligten Stel-len zu befolgen.</t>
  </si>
  <si>
    <t>Die Leitung der GE hat sicherzustellen, dass auf dem Markt befindliche Produk-te, die nicht gemäß dieser ZA entwickelt wurden, in Bezug auf die Anforderungen der Informationssicherheit und des Datenschutzes bewertet werden und die Notwendigkeit von zu erg</t>
  </si>
  <si>
    <t>Für in der Entwicklung befindliche Produkte, sowie Neuprodukte sind die Not-wendigkeit und die Realisierbarkeit von Update-Konzepten über den Produktle-benszyklus zu prüfen und entsprechend zu entwickeln.</t>
  </si>
  <si>
    <t>Die Leitung der Entwicklung des zuständigen Produktbereichs ist verantwortlich, dass für die Einhaltung und Umsetzung der Anforderungen der Informationssi-cherheit und des Datenschutzes im Rahmen der Entwicklung ausreichend Budget- und Experten-Kapazitäte</t>
  </si>
  <si>
    <t>Der Projektleiter ist in seinem Projekt verantwortlich für die Umsetzung der An-forderungen zum Datenschutz und für die Sicherstellung der Informationssicher-heit im Rahmen des SEP.</t>
  </si>
  <si>
    <t>Der Projektleiter ist verantwortlich, dass im Rahmen der Entwicklung gemäß dem SEP das mitgeltende Dokument „Datenschutz-Checkliste“ ausgefüllt wird, sowie zur Umsetzung von Informationssicherheit und Datenschutz notwendige Maßnahmen festgelegt und umgese</t>
  </si>
  <si>
    <t>15</t>
  </si>
  <si>
    <t>Zum Abschluss des Entwicklungsprojektes hat der Projektleiter die vollständige Dokumentation zur Nachweisbarkeit der Prüfschritte an die von der GE festge-legte produktverantwortliche Stelle zu übergeben.</t>
  </si>
  <si>
    <t>16</t>
  </si>
  <si>
    <t>Nach Abschluss des Entwicklungsprojekts geht die Verantwortung für Informati-onssicherheit und Datenschutz von dem Projektleiter auf die von der GE festge-legte produktverantwortliche Stelle über.</t>
  </si>
  <si>
    <t>18</t>
  </si>
  <si>
    <t>Die produktverantwortliche Stelle stellt sicher, dass sich ändernde Anforderun-gen an Informationssicherheit und Datenschutz erkannt und bewertet werden, indem sie nachträgliche Änderungen am Produkt hinsichtlich ihrer Relevanz für Informationssicherheit</t>
  </si>
  <si>
    <t>20</t>
  </si>
  <si>
    <t>Der DSO berät und unterstützt im Rahmen dieser ZA bei der Einhaltung nationa-ler datenschutzrechtlicher Vorgaben und Anforderungen für Produkte, die in der GE entwickelt, produziert und vertrieben werden.</t>
  </si>
  <si>
    <t>21</t>
  </si>
  <si>
    <t>Zusätzlich zum DSO werden bei Entwicklungsprojekten, in denen datenschutz-rechtliche Themen relevant sind, durch den DSPiE folgende Aufgaben erfüllt:
 Unterstützung des Projektleiters bei der Einhaltung und Umsetzung daten-schutzrechtlicher Anforderungen</t>
  </si>
  <si>
    <t>22</t>
  </si>
  <si>
    <t>Es ist ein Mitarbeiter der Bosch-Gruppe als DSPiE zu benennen und in den Qua-lity Gates des Entwicklungsprozesses einzubinden. Der DSO ist über die Er-nennung zu unterrichten. Er meldet diese an C/ISP.</t>
  </si>
  <si>
    <t>23</t>
  </si>
  <si>
    <t>Der DSPiE benötigt Fachkenntnisse eines Datenschutzbeauftragten nach einem anerkannten Standard im lokalen Datenschutzrecht oder eine entsprechende ju-ristische Aus- oder Weiterbildung im gesetzlichen Datenschutz. Des Weiteren benötigt er fundierte Kenntn</t>
  </si>
  <si>
    <t>24</t>
  </si>
  <si>
    <t>Jeder GB sowie jede einem G unmittelbar zugeordnete BEGE, RG und TOGE hat die Rolle eines Product Security Officer (ProSO) einzurichten.</t>
  </si>
  <si>
    <t>25</t>
  </si>
  <si>
    <t>Der ProSO berät und unterstützt die Verantwortlichen bei der Festlegung geeig-neter Maßnahmen, um die Umsetzung der Anforderungen von Informationssi-cherheit in Produkten sicherzustellen.</t>
  </si>
  <si>
    <t>Im Folgenden werden Vorgaben für die Umsetzung der Anforderungen von In-formationssicherheit und Datenschutz in Produkten, die digitale Daten verarbei-ten, beschrieben.</t>
  </si>
  <si>
    <t>Sowohl für die Entwicklung von Produkten als auch für den gesamten Produktle-benszyklus muss die Bosch-Normenreihe N 103 SEC angewendet werden.</t>
  </si>
  <si>
    <t>Produkte haben dem Stand der Technik in der Informationssicherheit zu ent-sprechen und gesetzlichen sowie die Bosch-internen Regelungen zum Daten-schutz einzuhalten. Zusätzlich sind für Produkte die Entwicklungsprozesse auf Basis des mitgeltenden Dokument</t>
  </si>
  <si>
    <t>Eine frühzeitige Implementierung gesetzlicher und risikoadäquater sicherheitsre-levanter Anforderungen im Produkt ist im Rahmen der Umsetzung von „Security by Design/Data Protection by Design“ und „Data Protection by Default“ erforder-lich. Dies gilt jedo</t>
  </si>
  <si>
    <t>Von einer Person können mehrere Rollen übernommen werden, sofern die Fa-chexpertise für die Durchführung der Aufgabe bei demjenigen, der sie über-nimmt, zum Zeitpunkt der Übernahme vorliegt und nachgewiesen werden kann.</t>
  </si>
  <si>
    <t>Die Leitung der GE hat für den gesamten Produktlebenszyklus sicherzustellen, dass eine produktverantwortliche Stelle festgelegt ist.</t>
  </si>
  <si>
    <t>Bei GE-übergreifenden Produkten haben die Leitungen der beteiligten GEs zu definieren, welche Stelle produktverantwortliche Stelle ist.</t>
  </si>
  <si>
    <t>17</t>
  </si>
  <si>
    <t>Hinweis: Die Aufgabe der Sicherstellung der Informationssicherheit im Rahmen des „Security Engineering Process“ erfordert im jeweiligen Projekt Fachkenntnisse der Informationssicherheit.
Der Project Security Manager unterstützt als Teil des Projektteams b</t>
  </si>
  <si>
    <t>19</t>
  </si>
  <si>
    <t>Hinweis: Es wird empfohlen, die Expertise und Unterstützung derjenigen Personen, die die entsprechende Experten-Aufgabe in den Entwicklungsprojekten übernom-men haben, für den gesamten Produktlebenszyklus sicher zu stellen.
Diese Expertise kann z. B. durc</t>
  </si>
  <si>
    <t>Hinweis: Siehe Bosch EISA, Anhang E, Kapitel 14.2.1.</t>
  </si>
  <si>
    <t>26</t>
  </si>
  <si>
    <t>Hinweis: Eine Auflistung der aktuellen ProSO sind auf den BGN-Seiten von C/IDS-GP zu finden.
C/IDS-GP legt die Rollenbeschreibung und Schulung des ProSO fest. Die Zustän-digkeit des ProSO umfasst neben seinem Bereich auch zugehörige GE, RO, BEGE, RG und T</t>
  </si>
  <si>
    <t>Wurden bei der Entwickung Sicherheitsrichtlinien beachtet und erfolgte eine systematische Überprüfung auf Schwachstellen?</t>
  </si>
  <si>
    <t>A.14.2.8</t>
  </si>
  <si>
    <t>Während der Entwicklung von risikobehafteten Anwendungen müssen Schwachstellen durch die an der Entwicklung beteiligte Stellen identifiziert und behoben werden. Die zwischen CI und C/ISP abgestimmten Verfahren und Standards zur Schwachstellenidentifikatio</t>
  </si>
  <si>
    <t>Hinweis: Siehe Bosch EISA, Anhang E, Kapitel 14.2.8.</t>
  </si>
  <si>
    <t>Erfolgte vor der Inbetriebnahme eine Sicherheitsüberprüfung?</t>
  </si>
  <si>
    <t>A.15.1.1</t>
  </si>
  <si>
    <t>Bei Austausch von Informationen mit Lieferanten muss sichergestellt werden, dass der Lieferant die Informationen genauso schützt wie in dieser Richtlinie beschrieben. Dies muss mit dem Lieferanten schriftlich vereinbart werden.</t>
  </si>
  <si>
    <t>Bei Austausch von Informationen mit Lieferanten muss sichergestellt werden, dass der Lieferant die Informationen genauso schützt wie in dieser Richtlinie be-schrieben. Dies muss mit dem Lieferanten schriftlich vereinbart werden.</t>
  </si>
  <si>
    <t>Hinweis: Bei Lieferanten im BBM wird empfohlen das Sicherheitsniveau anhand ei-ner TISAX-Zertifizierung zu überprüfen. 
Beim Nachweis über Zertifikate und externe Prüfberichte wird empfohlen, den Prüf-bericht zum Zertifikat einzusehen und eine Stichproben</t>
  </si>
  <si>
    <t>Hinweis: Bei Lieferanten im BBM wird empfohlen das Sicherheitsniveau anhand einer TISAX-Zertifizierung zu überprüfen. 
Beim Nachweis über Zertifikate und externe Prüfberichte wird empfohlen, den Prüfbericht zum Zertifikat einzusehen und eine Stichprobenpr</t>
  </si>
  <si>
    <t>A.15.1.2</t>
  </si>
  <si>
    <t>Hinweis: Vertragliche Regelungen müssen auch für Subunternehmen gelten.</t>
  </si>
  <si>
    <t>A.15.1.3</t>
  </si>
  <si>
    <t>Hinweis: Relevante Regelung „Fremdvergabe von Arbeiten“ (CD 02702), nur gültig in Deutschland). Zusätzlich sind die durch GS festgelegten Verfahren und Regelungen zu beachten.</t>
  </si>
  <si>
    <t>A.16.1.1</t>
  </si>
  <si>
    <t>Die Aufgaben eines Computer Emergency Response Teams übernimmt für die Bosch-Gruppe das Bosch CERT. Es ist verantwortlich für die zeitnahe Bereitstellung von Informationen über Sicherheitsbedrohungen, das regelmäßige Berichten von relevanten Informationss</t>
  </si>
  <si>
    <t>Im Fall von Informationssicherheitsvorfällen mit hoher Tragweite werden bei Ergreifung von Maßnahmen das für den CI zuständige Geschäftsführungsmitglied, die BV und die DSO aller betroffenen Geschäftseinheiten sowie C/ISP und C/IDS informiert. Die Abschät</t>
  </si>
  <si>
    <t>Das Bosch CERT ist mit der erforderlichen Fachkunde, Zuverlässigkeit sowie den dafür notwendigen Arbeitsmitteln auszustatten. Das Maß der erforderlichen Fachkunde bestimmt sich durch die IT-Architektur der Bosch-Gruppe und durch die aktuelle Bedrohungslag</t>
  </si>
  <si>
    <t>Für Produkte ist das Bosch Product Security Incident Response Team (PSIRT)
 die zentrale Meldestelle für Informationssicherheitsvorfälle und Informationssicherheitsschwachstellen sowie
 die zentrale Feldbeobachtungsstelle für Informationssicherheit.</t>
  </si>
  <si>
    <t>Die GE muss sicherstellen, dass Informationssicherheitsvorfälle sowie bekannt gewordene IV-Sicherheitsschwachstellen  in ihren Produkten in systematischer Weise bearbeitet werden, d.h. es muss die Notwendigkeit von kurzfristig zu ergreifenden Maßnahmen, v</t>
  </si>
  <si>
    <t>A.16.1.2</t>
  </si>
  <si>
    <t>Im Falle von Informationssicherheitsvorfällen und Informationssicherheitsschwachstellen in Produkten hat durch die Produktverantwortliche Stelle oder durch diejenige Stelle, durch die ein solcher Informationssicherheitsvorfall bemerkt wurde, eine Meldung</t>
  </si>
  <si>
    <t>Hinweis: Das Bosch CERT ist unter cert@bosch.com zu erreichen.
Nach vorheriger Rücksprache mit Bosch CERT sind auch automatisierte Meldungen von Informationssicherheitsvorfällen sowie die Verwendung von alternativen Meldewegen möglich.
Die Meldung von Inf</t>
  </si>
  <si>
    <t>Hinweis: Das PSIRT ist unter psirt@bosch.com und unter http://psirt.bosch.com (auch für externe Researcher und Communities) zu erreichen.</t>
  </si>
  <si>
    <t>A.16.1.3</t>
  </si>
  <si>
    <t>Es gelten die in Kapitel A.16.1.1 und A.16.1.2 beschriebenen Verfahren.</t>
  </si>
  <si>
    <t>Hinweis: Abschnitt A.16.1. der C/IDS ZA 07900-001 ist zu beachten.</t>
  </si>
  <si>
    <t>Ist sichergestellt, dass Informationssicherheitsschwachstellen an das Bosch CERT gemeldet werden?</t>
  </si>
  <si>
    <t>Siehe Hinweisbox in Kapitel A.17.</t>
  </si>
  <si>
    <t>A.17.2.1</t>
  </si>
  <si>
    <t>A.18.2.3</t>
  </si>
  <si>
    <t>Soweit technische Vorgaben aus Regelungen von C/ISP vorliegen, werden diese gemäß den Vorgaben in Kapitel A.18.2.1 geprüft.</t>
  </si>
  <si>
    <t>Hinweis: Bei der Information von Sicherheitsüberprüfungen sind insbesondere auch Netz- und Firewall Betreiber zu berücksichtigen.</t>
  </si>
  <si>
    <t>Hinweis: Informationen über qualifizierte Stellen für die Durchführung von Sicherheitsüberprüfungen werden bei C/IDS bereitgestellt.
Siehe Bosch EISA, Anhang E, Kapitel 18.2.3.</t>
  </si>
  <si>
    <t>SSO</t>
  </si>
  <si>
    <t>Cloud</t>
  </si>
  <si>
    <t>Spalte1</t>
  </si>
  <si>
    <t>N</t>
  </si>
  <si>
    <t>Webserver</t>
  </si>
  <si>
    <t>Result</t>
  </si>
  <si>
    <t>SC0</t>
  </si>
  <si>
    <t>q</t>
  </si>
  <si>
    <t>Ist die Passwortverwaltung nach C/IDS ZA 07900-001, Kapitel 9.4 implementiert?</t>
  </si>
  <si>
    <t>Werden Systemressourcen (z.B. Speicherverbrauch usw.) überwacht?</t>
  </si>
  <si>
    <t>{QM} Werden die von CI bereitgestellten oder festgelegten Verfahren zur Sicherung von Informationen verwendet?</t>
  </si>
  <si>
    <t>Werden administrative Aktivitäten protokolliert, die Protokolle geschützt und regelmäßig überprüft?</t>
  </si>
  <si>
    <t>Wurden mit dem Dienstleister Non-Disclosure Agreements abgeschlossen?</t>
  </si>
  <si>
    <t>Sind die Sicherheitsanforderungen mit den Lieferanten vereinbart?</t>
  </si>
  <si>
    <t>Wurden die Sicherheitsanforderungen (von Bosch/dieser Zentralanweisung) in den Verträgen mit Lieferanten berücksichtigt?</t>
  </si>
  <si>
    <t>Yes</t>
  </si>
  <si>
    <t>No</t>
  </si>
  <si>
    <t>Erfolgt die Verwendung und Handhabung von Passwörtern ensprechend …?</t>
  </si>
  <si>
    <t>Language / Sprache</t>
  </si>
  <si>
    <t>Language</t>
  </si>
  <si>
    <t>Deutsch</t>
  </si>
  <si>
    <t>Checkpoint</t>
  </si>
  <si>
    <t>Prüfpunkt</t>
  </si>
  <si>
    <t>Regulation</t>
  </si>
  <si>
    <t>Section</t>
  </si>
  <si>
    <t>Hints for Check</t>
  </si>
  <si>
    <t>Hinweise für den Check</t>
  </si>
  <si>
    <t>Network</t>
  </si>
  <si>
    <t>Q</t>
  </si>
  <si>
    <t>Is there a central asset management database where the IT systems and the respective operators are documented?</t>
  </si>
  <si>
    <t>Is a central asset management database used for the inventory documentation?</t>
  </si>
  <si>
    <t>Is the operator of the IT system documented in the asset management database?</t>
  </si>
  <si>
    <t>Is strong authentication enforced and split tunneling prevented for remote VPN access to the BCN?</t>
  </si>
  <si>
    <t>Are incoming requests from the Internet or from partner networks authenticated following the principle of "Authenticate at the first Gate"?</t>
  </si>
  <si>
    <t>Are separate accounts used for privileged access?</t>
  </si>
  <si>
    <t>Are regular reviews of privileged accounts conducted?</t>
  </si>
  <si>
    <t>Can each privileged account be attributed to a unique person? (Hint: This is fulfilled if RB-PAM is used.) If not, is the usage of shared privileged accounts being documented and logged?</t>
  </si>
  <si>
    <t>Is the privileged account only used for privileged tasks?</t>
  </si>
  <si>
    <t>Is a password policy with the required complexity implemented?</t>
  </si>
  <si>
    <t>Are passwords cryptographically protected while stored?</t>
  </si>
  <si>
    <t>Is the PIN code authentication configured according to the C/IDS regulations?</t>
  </si>
  <si>
    <t>Is the feedback for the authentication obfuscated?</t>
  </si>
  <si>
    <t>Are error messages generic and do not provide information which element of the authentication is wrong?</t>
  </si>
  <si>
    <t>Is logon notification enabled?</t>
  </si>
  <si>
    <t>Is C-SC2 and C-SC3 data protected according to the Bosch regulations for encrypted communication?</t>
  </si>
  <si>
    <t>Is the network communication cryptographically protected?</t>
  </si>
  <si>
    <t>If cryptographic controls are implemented: Was it verified that they do not hinder the effectiveness of other IT security measures?</t>
  </si>
  <si>
    <t>Was the use case scenario evaluated and the result documented?</t>
  </si>
  <si>
    <t>If wildcard certificates are used: Are they handled according to the C/IDS requirements?</t>
  </si>
  <si>
    <t>If wildcard certificates are used: Are the lifetime regulations for wildcard certificates implemented according the C/IDS regulations?</t>
  </si>
  <si>
    <t>Are the used keys (e.g., Pre-Shared Keys), certificates and passwords changed on a regular basis?</t>
  </si>
  <si>
    <t>Is interactive access to the IT system terminated/disabled after the user being absent for a period of time?</t>
  </si>
  <si>
    <t>Are the operating system's mechanisms documented and established to ensure user authentication and authorization?</t>
  </si>
  <si>
    <t>Are mechanisms to protect resources implemented?</t>
  </si>
  <si>
    <t>Are the built-in security functionalities activated?</t>
  </si>
  <si>
    <t>Are not needed web server functionalities removed or disabled?</t>
  </si>
  <si>
    <t>Are mechanisms deployed to restrict the access for users and services to critical resources required for the operation of the web server?</t>
  </si>
  <si>
    <t>Is the log data ready to be provided to Bosch CERT?</t>
  </si>
  <si>
    <t>Are the C/IDS regulations for security patch management fulfilled?</t>
  </si>
  <si>
    <t>Are the security patches implemented without unnecessary delay?</t>
  </si>
  <si>
    <t>Are the sources of the installed software documented?</t>
  </si>
  <si>
    <t>Does the solution for application layer gateway allow for the accurate identification of the user?</t>
  </si>
  <si>
    <t>Is the access to the internet for the server limited based on its IP address and the destination URL?</t>
  </si>
  <si>
    <t>Are measures established to separate the internal Bosch Corporate Network from IT systems that cannot be fully trusted?</t>
  </si>
  <si>
    <t>Are the IT systems or resources in the DMZ and the BCN physically separated?</t>
  </si>
  <si>
    <t>If networks are operated by a third party: Are the networks separated from the the BCN?</t>
  </si>
  <si>
    <t>Are the central IT systems used for the management of the IT infrastructure hosted in a separate network zone?</t>
  </si>
  <si>
    <t>Is the host firewall enabled?</t>
  </si>
  <si>
    <t>Are network security monitoring systems placed at the Bosch network perimeter?</t>
  </si>
  <si>
    <t>Can the application layer protocol be detected independently of the layer 4 port number?</t>
  </si>
  <si>
    <t>Is incoming network communication at the Bosch network perimeter recorded?</t>
  </si>
  <si>
    <t>Is encrypted traffic decrypted at the Bosch perimeter where technically feasible?</t>
  </si>
  <si>
    <t>Are privileged incoming sessions at the Bosch network perimeter recorded?</t>
  </si>
  <si>
    <t>Are privileged incoming sessions at the Bosch network perimeter limited according the least functionality principle?</t>
  </si>
  <si>
    <t>Is a (Distributed) DoS protection implemented at the Bosch network perimeter?</t>
  </si>
  <si>
    <t>Was a penetration test performed?</t>
  </si>
  <si>
    <t>If the IT system is internet-facing or processing SC-3 data: Was a penetration test performed?</t>
  </si>
  <si>
    <t>Was the penetration test performed by an independent party?</t>
  </si>
  <si>
    <t>Were the critical and major findings of the penetration test fixed within a reasonable period of time and according to their prioritization?</t>
  </si>
  <si>
    <t>Is there an annual self-check?</t>
  </si>
  <si>
    <t>A.08.1</t>
  </si>
  <si>
    <t>A.12.1</t>
  </si>
  <si>
    <t>A.13.1.1</t>
  </si>
  <si>
    <t>A.13.1</t>
  </si>
  <si>
    <t>A.16.1.4</t>
  </si>
  <si>
    <t>A.18.2</t>
  </si>
  <si>
    <t>Gibt es eine zentrale Asset-Management-Datenbank, in der die IT-Systeme und die jeweiligen Betreiber dokumentiert sind?</t>
  </si>
  <si>
    <t>Is strong authentication for access to IT systems and applications with business data from public networks (e.g., the Internet) enforced?</t>
  </si>
  <si>
    <t>Erfolgt der Zugang aus öffentlichen Netzen (z.B. dem Internet) auf IT-Systeme und Anwendungen mit Geschäftsunterlagen mittels starker Authentisierung?</t>
  </si>
  <si>
    <t>Is there a concept for handling privileged or administrative accounts and is it implemented?</t>
  </si>
  <si>
    <t>Gibt es ein Konzept für die Handhabung von privilegierten bzw. administrativen Konten und wird es umgesetzt?</t>
  </si>
  <si>
    <t>Are account names and IDs managed according to C/IDS regulations?</t>
  </si>
  <si>
    <t>Ist die Netzwerkkommunikation kryptographisch geschützt?</t>
  </si>
  <si>
    <t>Do the cryptographic algorithms and key lengths of the IT system comply with the C/IDS regulations?</t>
  </si>
  <si>
    <t>Wurde das Anwendungsszenario bewertet und das Ergebnis dokumentiert?</t>
  </si>
  <si>
    <t>Are the used (wildcard) certificates protected according to C/IDS regulations and is their use documented?</t>
  </si>
  <si>
    <t>Werden die verwendeten (Wildcard-) Zertifikate gemäß der C/IDS-Vorgaben geschützt und ist ihre Verwendung dokumentiert?</t>
  </si>
  <si>
    <t>Wenn Wildcard-Zertifikate verwendet werden: Werden sie gemäß den C/IDS Regelungen gehandhabt?</t>
  </si>
  <si>
    <t>Werden die verwendeten Schlüssel (z.B. Pre-Shared Keys) sowie die verwendeten Zertifikate regelmäßig ausgetauscht?</t>
  </si>
  <si>
    <t>Werden die verwendeten Schlüssel (z.B. Pre-Shared Keys), Zertifikate und Kennwörter regelmäßig geändert?</t>
  </si>
  <si>
    <t>Is the interactive access to the IT system disabled or terminated in case of user absence?</t>
  </si>
  <si>
    <t>Wird der interaktive Zugriff auf das IT-System deaktiviert oder beendet falls der Nutzer abwesend ist?</t>
  </si>
  <si>
    <t>Does a hardening concept exist and are the corresponding requirements fulfilled?</t>
  </si>
  <si>
    <t>Existiert ein Härtungskonzept und werden die zugehörigen Vorgaben erfüllt?</t>
  </si>
  <si>
    <t>Does a hardening concept exist for the server's operating system and are the corresponding requirements fulfilled?</t>
  </si>
  <si>
    <t>Existiert ein Härtungskonzept für das Server-Betriebssystem und werden die zugehörigen Vorgaben erfüllt?</t>
  </si>
  <si>
    <t>Does a hardening concept exist for the webserver and are the corresponding requirements fulfilled?</t>
  </si>
  <si>
    <t>Existiert ein Härtungskonzept für den Webserver und werden die zugehörigen Vorgaben erfüllt?</t>
  </si>
  <si>
    <t>Is the protection against malware (virus protection) ensured according to C/IDS regulations or is the IT system isolated via network separation measures (e.g. ITM regulations)?</t>
  </si>
  <si>
    <t>Ist der Schutz vor Schadsoftware (Virenschutz) gemäß C/IDS Vorgaben sichergestellt oder ist das IT-System über Netztrennungsmaßnahmen (z.B. ITM-Vorgaben) isoliert?</t>
  </si>
  <si>
    <t>Is the logging and monitoring of security-relevant events of the IT system implemented ?</t>
  </si>
  <si>
    <t>Ist die Protokollierung und Überwachung von sicherheitsrelevanten Ereignissen des IT-Systems implementiert?</t>
  </si>
  <si>
    <t>Does a network segregation concept exist and is it implemented?</t>
  </si>
  <si>
    <t>Ist die Host Firewall aktiviert?</t>
  </si>
  <si>
    <t>Sind am Bosch Netzwerk-Perimeter Netzwerksicherheitsüberwachungsmechanismen etabliert?</t>
  </si>
  <si>
    <t>Ist ein (verteilter) DoS Schutz am Bosch Netzwerk Perimeter implementiert?</t>
  </si>
  <si>
    <t>Is it ensured that information security incidents are reported to the Bosch CERT?</t>
  </si>
  <si>
    <t>Ist sichergestellt, dass Informationssicherheitsvorfälle an das Bosch CERT gemeldet werden?</t>
  </si>
  <si>
    <t>Wurde ein Penetrationstest durchgeführt?</t>
  </si>
  <si>
    <t>Findet ein jährlicher Selbst-Check statt?</t>
  </si>
  <si>
    <t>Responsibilities and cooperation obligations assigned between the cloud provider and cloud customer, together with interfaces for reporting security incidents and faults, must be defined according to the cloud model (Infrastructure-, Platform- or Software-as-a-Service), documented (e.g. in an operating concept), assigned and communicated to all affected parties (cloud provider, cloud customer).</t>
  </si>
  <si>
    <t>The cloud provider must document the information security responsibilities of the cloud customer when using the cloud service and communicate these to the cloud customer.</t>
  </si>
  <si>
    <t xml:space="preserve">Der Cloud-Anbieter muss die Informationssicherheitsverantwortlichkeiten des Cloud-Kunden bei der Nutzung des Cloud-Dienstes dokumentieren und dem Cloud-Kunden kommunizieren. </t>
  </si>
  <si>
    <t>The cloud customer must familiarize itself with its information security responsibilities before using cloud services and implement these within its organization.</t>
  </si>
  <si>
    <t xml:space="preserve">Der Cloud-Kunde muss sich vor der Nutzung von Cloud-Diensten über seine Informationssicherheitsverantwortlichkeiten informieren und diese innerhalb seiner Organisation umsetzen. </t>
  </si>
  <si>
    <t>At the end of the cloud service contract, cloud customer data in the cloud environment of the cloud provider must be fully and irretrievably deleted or returned where necessary. This must be contractually agreed.</t>
  </si>
  <si>
    <t xml:space="preserve">Daten des Cloud-Kunden, die sich in der Cloud-Umgebung des Cloud-Anbieters befinden, müssen bei der Beendigung des Cloud-Service-Vertrages durch den Cloud-Anbieter vollständig und nicht wiederherstellbar gelöscht bzw. bei Bedarf zurückgegeben werden. Dies ist vertraglich zu vereinbaren. </t>
  </si>
  <si>
    <t>Before using cloud services, the cloud customer must request a documented description from the cloud provider regarding the deletion and removal of data. The cloud provider must provide this documentation.</t>
  </si>
  <si>
    <t>Der Cloud-Kunde muss hierzu vor der Nutzung von Cloud-Diensten eine dokumentierte Beschreibung beim Cloud-Anbieter anfordern. Der Cloud-Anbieter muss dem Cloud-Kunden diese zur Verfügung stellen.</t>
  </si>
  <si>
    <t>The security requirements of the IT systems are derived from the security classes of the information being processed according to Section 1.</t>
  </si>
  <si>
    <t>Operators disclose (e.g. spec sheet, SLA) which security class the respective IT system can be used for.</t>
  </si>
  <si>
    <t>Unencrypted hard disks can alternatively be irretrievably erased or demagnetized.</t>
  </si>
  <si>
    <t>Disposal must be carried out by the responsible department, e.g. by using the services of FCM or a suitable external service provider.</t>
  </si>
  <si>
    <t>Die Entsorgung muss durch die verantwortliche Abteilung z.B. durch Nutzung der Dienstleistung von FCM oder eines geeigneten externen Dienstleisters erfolgen.</t>
  </si>
  <si>
    <t>Access may only be granted to the information processing facilities (IT systems, applications, IT rooms, etc.) which are necessary for the execution of the own tasks and functions ("need-to-use" principle).</t>
  </si>
  <si>
    <t>Access to IT systems is provided for Bosch digital identities (dBI) via provided authentication attributes. Authentication attributes for access control to IT systems must ensure correct proof of identity.</t>
  </si>
  <si>
    <t xml:space="preserve">Der Zugang zu IT-Systemen erfolgt für digitale Bosch-Identitäten (dBI) über bereitgestellte Authentisierungsmerkmale. Authentisierungsmerkmale zur Zugangssteuerung auf IT-Systeme müssen einen korrekten Identitätsnachweis gewährleisten. </t>
  </si>
  <si>
    <t>Access from public networks to IT systems and applications with business records must have strong authentication.</t>
  </si>
  <si>
    <t xml:space="preserve">Der Zugang aus öffentlichen Netzen auf IT-Systeme und Anwendungen mit Geschäftsunterlagen muss durch eine starke Authentisierung erfolgen. </t>
  </si>
  <si>
    <t>The access of standalone workstations via public networks to the BDN (standalone connections) must be carried out by using strong authentication.</t>
  </si>
  <si>
    <t xml:space="preserve">Der Zugang von Einzelarbeitsplätzen über öffentliche Netze an das BDN (Einzelplatzanbindungen) muss mittels starker Authentisierung erfolgen. </t>
  </si>
  <si>
    <t>Standalone connections to the BCN are only permitted via IT end devices approved by the network operator. When using other IT end devices, the communication links must be restricted using appropriate and requirement-driven network protection measures. CI specifies the possible connection types (e.g. communication protocols) after consultation with C/ISP.</t>
  </si>
  <si>
    <t xml:space="preserve">Einzelplatzanbindungen an das BCN sind nur über vom Netzbetreiber freigegebene IT-Endgeräte möglich. Bei Nutzung anderer IT-Endgeräte müssen die Kommunikationsverbindungen über angemessene und bedarfsgesteuerte Netzwerkschutzmaßnahmen eingeschränkt werden. CI legt hierfür die möglichen Verbindungsarten (z. B. Kommunikationsprotokolle) nach Rücksprache mit C/ISP fest. </t>
  </si>
  <si>
    <t>When standalone connections are used by persons who are not associates of the Bosch Group, activity may be recorded.</t>
  </si>
  <si>
    <t xml:space="preserve">Bei Verwendung von Einzelplatzanbindungen durch Personen, die nicht Mitarbeiter der Bosch-Gruppe sind, erfolgt eine teilweise Aufzeichnung der Aktivitäten. </t>
  </si>
  <si>
    <t>Permanent connections of external networks to the BDN (network connections) are only possible for networks whose IT systems have an appropriate level of security within the meaning of this central directive. The connection must be restricted by appropriate and demand-driven network protection measures. CI determines the possible connection types after consultation with C/ISP.</t>
  </si>
  <si>
    <t xml:space="preserve">Dauerhafte Anbindungen von fremden Netzwerken an das BDN (Netzwerkanbindungen) sind nur möglich für Netzwerke, deren IT-Systeme über ein angemessenes Sicherheitsniveau im Sinne dieser ZA verfügen. Die Anbindung muss über angemessene und bedarfsgesteuerte Netzwerkschutzmaßnahmen eingeschränkt werden. CI legt hierfür die möglichen Anbindungsarten nach Rücksprache mit C/ISP fest. </t>
  </si>
  <si>
    <t>Networks for which the RB/GF 105 and this corporate directive apply, in which IT operations are provided or approved by CI, and access to the Internet is based exclusively on the Internet access provided by CI, can be connected to BCN with reduced network protection measures (transparent).</t>
  </si>
  <si>
    <t xml:space="preserve">Netzwerke, bei denen die RB/GF 105 und diese ZA gelten, der Betrieb der IT durch CI erfolgt oder vom CI freigegeben wurde und der Zugriff auf das Internet ausschließlich über die von CI bereitgestellten Internet-Zugänge erfolgt, können mit verminderten Netzwerkschutzmaßnahmen (transparent) an das BCN angebunden werden. </t>
  </si>
  <si>
    <t>Access from the BCN to the internet is based exclusively on the internet access provided by CI.</t>
  </si>
  <si>
    <t xml:space="preserve">Der Zugriff vom BCN auf das Internet erfolgt ausschließlich über die von CI bereitgestellten Internet-Zugänge. </t>
  </si>
  <si>
    <t>The network operator may only operate a network connection when compliance with all relevant regulations has been confirmed by Connection Management and the DSO has been involved in accordance with Section A.13.1.1.</t>
  </si>
  <si>
    <t xml:space="preserve">Der Netzbetreiber darf eine Netzwerkanbindung erst dann schalten, wenn durch das Connection Management die Einhaltung aller relevanten Regelungen bestätigt und der DSO gemäß Kapitel A.13.1.1 eingebunden wurde. </t>
  </si>
  <si>
    <t>For all inbound network connections, confirmation of the connection by Connection Management is required every 12 months.</t>
  </si>
  <si>
    <t xml:space="preserve">Für alle eingehenden Netzwerkanbindungen ist alle 12 Monate die Bestätigung der Anbindung durch das Connection Management erforderlich. </t>
  </si>
  <si>
    <t>For IT integration projects and carve-outs, the CI department responsible for mergers and acquisitions can define temporary connection types with independent definition of roles and approval channels. The period of use for such connections may not exceed 18 months in the case of IT integration projects or 6 months in the case of carve-outs.</t>
  </si>
  <si>
    <t xml:space="preserve">Für IT-Integrationsprojekte und Carve Outs kann der bei CI für Merger und Akquisitionen zuständige Bereich temporäre Anbindungsarten mit eigenständigen Rollendefinitionen und Genehmigungswegen definieren. Die Nutzungsdauer derartiger Anbindungen darf im Falle von IT-Integrationsprojekten 18 Monate, im Falle von Carve Outs 6 Monate, nicht überschreiten. </t>
  </si>
  <si>
    <t>The remote maintenance concept agreed with C/ISP and CI by the domain administrator must be implemented for each domain.</t>
  </si>
  <si>
    <t xml:space="preserve">Für die jeweilige Domäne sind die durch den Domänenverantwortlichen mit C/ISP und CI abgestimmten Fernwartungskonzepte einzusetzen. </t>
  </si>
  <si>
    <t>During the initial definition and transfer of an authentication feature (e.g. initial password assignment for new creation or password reset), a reliable identification of the person to whom the authentication feature is transferred must be carried out. The identification can be dispensed with if only data of security class 0 is accessed by the authentication feature.</t>
  </si>
  <si>
    <t xml:space="preserve">Bei der initialen Festlegung und Übergabe eines Authentisierungsmerkmals (z. B. Initialpasswortvergabe bei Neuanlage oder Passwortrücksetzung) muss eine zuverlässige Identifikation der Person an der das Authentisierungsmerkmal übergeben wird durchgeführt werden. Auf die Identifikation kann verzichtet werden, falls durch das Authentisierungsmerkmal ausschließlich auf Daten der Schutzklasse 0 zugegriffen wird. </t>
  </si>
  <si>
    <t>The operator defines the password delivery procedure for the IT system for which he is responsible. Passwords sent by e-mail must be encrypted in accordance with the specifications in Section A.10.</t>
  </si>
  <si>
    <t xml:space="preserve">Der Betreiber legt die Passwortausgabeverfahren für das von ihm verantwortete IT-System fest. Passwortzusendungen per E-Mail sind zu verschlüsseln gemäß Vorgaben aus Kapitel A.10. </t>
  </si>
  <si>
    <t>Administrators may not compromise the Confidentiality and Integrity of IT systems and the processed data. Inspection of user data (e.g. reading e-mails or files) is only allowed for the following purposes:
 Protection of the IT infrastructure (including servers and end devices; for Germany see KBV 10.44 “Collection and evaluation of electronic data”)
 Storage and evaluation of electronic data in the event of security incidents that affect the IT infrastructure, e.g. virus attack, attacks on Bosch IT systems, unauthorized data loss, optimization and improvement of Bosch IT systems
 Analysis and correction of errors and technical faults in Bosch IT systems
 Determining the costs of resources used for the purposes of internal reallocation of IT costs and evaluations for statistical purposes in anonymized form
 Storage of electronic data for the purposes of evaluation in the event of violations of the compliance requirement or in the case of legal proceedings, official orders, or legal defense, where Bosch has an obligation or legitimate interest with respect to the evaluation of business data (including pre-trial discovery)
 Access to electronic data when an associate cannot be reached, taking into account the applicable legal and other operational requirements and where inspection is required for the performance of duties.</t>
  </si>
  <si>
    <t>This inspection must be kept as limited as possible. Information obtained as a result of this process must be treated as strictly confidential. Other persons may only be involved when absolutely necessary. Personal data needs to be processed according to Section A.18.1.4.</t>
  </si>
  <si>
    <t xml:space="preserve">Diese Einsichtnahme ist hierbei so eingeschränkt wie möglich zu halten. Die durch diesen Vorgang bekannt gewordenen Informationen sind streng vertraulich zu behandeln. Weitere Personen sind nur dann einzubeziehen, wenn dies unbedingt erforderlich ist. Bei personenbezogenen Daten ist gemäß Kapitel A.18.1.4 vorzugehen. </t>
  </si>
  <si>
    <t>Passwords are secret authentication information. If user accounts and passwords are delivered together, either a temporary password (see below) must be used or the user account must be deactivated until immediately before the first log-on.</t>
  </si>
  <si>
    <t xml:space="preserve">Passwörter sind geheime Authentisierungsinformationen. Werden Benutzerkennungen und Passwörter gemeinsam ausgeliefert, so ist entweder ein temporäres Passwort (siehe unten) zu verwenden oder die Benutzerkennung ist bis unmittelbar vor der Erstanmeldung zu deaktivieren. </t>
  </si>
  <si>
    <t>A password may only be changed by authorized persons. A user is an authorized person for his own user accounts. Administrators and operators may only change passwords for the user accounts that they support. They use a temporary password for this purpose. They must verify the identity of the requesting user. The temporary password must be changed after first log-on by the user. Temporary passwords must be generated randomly per user and use case.</t>
  </si>
  <si>
    <t xml:space="preserve">Die Änderung eines Passworts darf nur durch berechtigte Personen erfolgen. Ein Nutzer ist eine berechtigte Person für seine eigenen Benutzerkennungen. Administratoren und Betreiber dürfen Passwortänderungen für die von ihnen betreuten Benutzerkennungen durchführen. Dabei setzen sie ein temporäres Passwort. Sie haben sich davor von der Identität des anfragenden Benutzers zu überzeugen. Das temporäre Passwort ist nach der Erstanmeldung durch den Benutzer zu ändern. Temporäre Passwörter sind je Benutzer und Anwendungsfall zufällig zu erzeugen. </t>
  </si>
  <si>
    <t xml:space="preserve">
In the case of automatic password changes by IT systems, the Confidentiality of the password must be ensured. When the “Forgot password” function is used, the user must change the password immediately after first log-on.</t>
  </si>
  <si>
    <t>For risky applications, the use of strong passwords must be ensured using appropriate technical procedures (e.g. password blacklist). When implementing this provision, the requirements outlined in Section A.9.4.2 must be observed. For read-only access to exclusively C-SC0 or C-SC1 data, you can deviate from this rule. If it is not possible to implement the required technical measures (e.g. password black list), the operator must carry out a supplementary risk assessment in accordance with Section 1, taking into account all master of data of the respective application and the responsible DSO.</t>
  </si>
  <si>
    <t xml:space="preserve">Bei risikobehafteten Anwendungen ist die Verwendung von starken Passwörtern durch geeignete technische Verfahren (z. B. Passwort Black-List) zu gewährleisten. Bei der Umsetzung dieser Vorgabe müssen die Anforderungen gemäß Kapitel A.9.4.2 beachtet werden. Für rein lesende Zugriffe auf ausschließlich C-SC0 oder C-SC1 Daten kann hiervon abgewichen werden. Ist eine Umsetzung der geforderten technischen Maßnahmen (z.B. Passwort Black-List) nicht möglich, so ist durch den Betreiber eine ergänzende Risikobetrachtung gemäß Kapitel 1 unter Einbeziehung aller Herrn der Daten der jeweiligen Anwendung und des zuständigen DSOs durchzuführen. </t>
  </si>
  <si>
    <t>Access to IT systems and applications with data of security class C-SC1 data must be restricted by authentication using one of the attributes described in Section A.9.1.1.</t>
  </si>
  <si>
    <t xml:space="preserve">Der Zugang zu IT-Systemen und Anwendungen mit Daten der Schutzklasse C-SC1 muss durch eine Authentisierung mittels eines der in Kapitel A.9.1.1 beschriebenen Merkmale beschränkt werden. </t>
  </si>
  <si>
    <t>Access to IT systems and applications with data of security class C-SC2 must be restricted by authentication using the "knowledge" attribute.</t>
  </si>
  <si>
    <t xml:space="preserve">Der Zugang zu IT-Systemen und Anwendungen mit Daten der Schutzklasse C-SC2 muss durch eine Authentisierung durch das Merkmal „Wissen“ beschränkt werden. </t>
  </si>
  <si>
    <t>Access to IT systems and applications with data of security class C-SC3 must be restricted by Bosch Single Sign-On or strong authentication.</t>
  </si>
  <si>
    <t>Authentication information must be protected during storage and transmission.</t>
  </si>
  <si>
    <t>Only authorized persons may have access to the stored authentication information.</t>
  </si>
  <si>
    <t xml:space="preserve">Auf die gespeicherten Authentisierungsinformationen dürfen nur berechtigte Personen Zugriff haben. </t>
  </si>
  <si>
    <t>When using a central log-on for different systems (Single Sign-On), a central authentication system with high availability and high integrity as well as tamper-resistant transfer of successful authentication are required. The systems suited for Single Sign-On at Bosch are defined by C/IDS.</t>
  </si>
  <si>
    <t xml:space="preserve">Bei Nutzung einer zentralen Anmeldung für verschiedene Systeme (Single Sign-On) sind ein zentrales Authentisierungssystem mit hoher Verfügbarkeit und hoher Integrität sowie eine manipulationssichere Übernahme einer erfolgreichen Authentisierung erforderlich. Die geeigneten Systeme für Single Sign-On bei Bosch werden durch C/IDS festgelegt. </t>
  </si>
  <si>
    <t>Successful authentication only remains valid as long as it is actively used by the authenticated user. Log-on to the same IT system by another user must not lead to a transfer of successful authentication for the previous user. The use of auto log-on must be avoided.</t>
  </si>
  <si>
    <t xml:space="preserve">Eine erfolgreiche Authentisierung darf nur solange Gültigkeit besitzen, wie der authentisierte Benutzer diese aktiv nutzt. Eine Anmeldung eines anderen Benutzers am selben IT-System darf nicht zu einer Übernahme der erfolgreichen Authentisierung des vorherigen Benutzers führen. Die Verwendung von Auto-Logon ist zu vermeiden. </t>
  </si>
  <si>
    <t>The cloud provider must separate the data of cloud customers securely and strictly on jointly used, virtual, and physical resources (e.g. memory, database) on the basis of a documented concept to reasonably guarantee the Confidentiality (C), Integrity (I), Availability (A) of the stored data.</t>
  </si>
  <si>
    <t xml:space="preserve">Der Cloud-Anbieter muss die Daten der Cloud-Kunden auf gemeinsam genutzten, virtuellen und physischen Ressourcen (z. B. Arbeitsspeicher, Datenbank) gemäß einem dokumentierten Konzept sicher und strikt trennen, um die Vertraulichkeit, die Integrität und die Verfügbarkeit der gespeicherten Daten zu gewährleisten. </t>
  </si>
  <si>
    <t>Using the documented concept, the cloud customer must assess the conditions of the cloud service before using the service. If the cloud customer is unable to perform an assessment (e.g. due to a complex implementation), the evidence can be obtained from audit results of expert third parties.</t>
  </si>
  <si>
    <t xml:space="preserve">Der Cloud-Kunde muss sich vor der Nutzung des Cloud-Dienstes anhand des dokumentierten Konzepts davon überzeugen, dass die Daten der Cloud-Kunden sicher und strikt getrennt werden. Soweit eine Beurteilung durch den Cloud-Kunden nicht möglich sein sollte (z. B. aufgrund einer komplexen Implementierung), kann der Nachweis auch über Prüfungsergebnisse sachverständiger Dritter erfolgen. </t>
  </si>
  <si>
    <t>This verification must be repeated in accordance with the guidelines applicable to the use case (e.g. for data protection requirements).</t>
  </si>
  <si>
    <t xml:space="preserve">Eine Wiederholung dieser Überprüfung ist gemäß der für den Anwendungsfall gültigen Richtlinien (z. B. bei Datenschutzanforderungen) durchzuführen. </t>
  </si>
  <si>
    <t>When configuring virtual environments, the cloud customer and cloud provider must ensure that the security measures required according to the security class are implemented (Section 1). The special regulations on responsibilities for cloud services in Section A.6.3.1 must be followed.</t>
  </si>
  <si>
    <t xml:space="preserve">Bei der Konfiguration von virtuellen Umgebungen müssen Cloud-Kunde und Cloud-Anbieter sicherstellen, dass die entsprechend der Schutzklasse der Daten erforderlichen Sicherheitsmaßnahmen umgesetzt sind (Kapitel 1). Hierbei sind die besonderen Regelungen zu Verantwortlichkeiten bei Cloud-Diensten in Kapitel A.6.3.1 zu berücksichtigen. </t>
  </si>
  <si>
    <t>Data of security class C-SC2 and C-SC3 must be encrypted for transport via data networks (including telecommunication equipment) and for storage on IT end devices and portable storage devices.</t>
  </si>
  <si>
    <t xml:space="preserve">Daten der Schutzklassen C-SC2 und C-SC3 müssen beim Transport über Datennetze (inkl. TK-Anlagen) und bei der Speicherung auf IT-Endgeräten und mobilen Datenträgern verschlüsselt werden. </t>
  </si>
  <si>
    <t>Data with security class C-SC3 must always be encrypted for storage.</t>
  </si>
  <si>
    <t xml:space="preserve">Daten der Schutzklasse C-SC3 müssen immer bei der Speicherung verschlüsselt werden. </t>
  </si>
  <si>
    <t>In addition, when using external services (such as cloud services), data of security class C-SC2 and C-SC3 must be encrypted for storage. For data of security class C-SC3 the cryptographic key material must be generated and managed by Bosch.</t>
  </si>
  <si>
    <t xml:space="preserve">Zusätzlich müssen bei der Nutzung externer IT-Dienstleistungen (z.B. Cloud-Dienste) Daten der Schutzklasse C-SC2 und C-SC3 bei der Speicherung verschlüsselt werden. Hierbei muss für Daten der Schutzklasse C-SC3 das Schlüsselmaterial durch Bosch erzeugt und verwaltet werden. </t>
  </si>
  <si>
    <t>If external IT services are used without contractual agreement (e.g. freely accessible cloud services), data of security class C-SC1, C-SC2 and C-SC3 must also be encrypted before transmission to the service provider.</t>
  </si>
  <si>
    <t>If implementation of the required cryptographic controls is not possible, the Master of Data must conduct an additional risk assessment according to Section 1 with the involvement of the operators of the involved IT systems and the responsible DSO.</t>
  </si>
  <si>
    <t xml:space="preserve">Ist eine Umsetzung der geforderten kryptographischen Maßnahmen nicht möglich, so ist durch den Herrn der Daten eine ergänzende Risikobetrachtung gemäß Kapitel 1 unter Einbeziehung der Betreiber der beteiligten IT-Systeme und des zuständigen DSOs durchzuführen. </t>
  </si>
  <si>
    <t>The use of cryptographic controls must not hinder the effectiveness of other IT security measures.</t>
  </si>
  <si>
    <t xml:space="preserve">Der Einsatz kryptographischer Maßnahmen darf andere IT-Schutzmaßnahmen in ihrer Wirkung nicht beeinträchtigen. </t>
  </si>
  <si>
    <t>Note: Measures to prevent security incidents may require forensic examination of the network traffic, e.g. in order to detect and prevent attacks on the information systems. At the same time, the encryption of network traffic should prevent unauthorized access to information. Both measures negatively affect each other. The use of encryption should therefore be coordinated with measures for attack detection in order to be able to achieve both security objectives.
Section A.10.1.1. of the C/IDS CD “IT System Security” (CD 07900-001) must be observed.</t>
  </si>
  <si>
    <t>Hinweis: Maßnahmen zur Vorbeugung von Sicherheitsvorfällen erfordern ggf. die forensische Untersuchung des Netzwerkverkehrs, z. B. um Angriffe auf die Informationssysteme zu erkennen und zu unterbinden. Gleichzeitig soll die Verschlüsselung von Netzwerkverkehr den unberechtigten Zugriff auf Informationen verhindern. Beide Maßnahmen beeinträchtigen sich gegenseitig. Der Einsatz der Verschlüsselung muss deshalb mit den Maßnahmen zur Angriffserkennung abgestimmt werden, um die Erreichung beider Schutzziele zu ermöglichen.</t>
  </si>
  <si>
    <t>The cryptographic processes, algorithms, applications as well as standards agreed and approved between C/IDS and C/ISP must be implemented.</t>
  </si>
  <si>
    <t xml:space="preserve">Die zwischen C/IDS und C/ISP abgestimmten und freigegebenen kryptographischen Verfahren, Algorithmen, Anwendungen sowie Standards sind einzusetzen. </t>
  </si>
  <si>
    <t>If encryption is used for data archiving, it must be ensured that the data can be made readable if required. The responsible for the IT system must ensure that the key material required for encryption is stored securely and that internationally recognized cryptographic algorithms are used for archiving. Alternative measures must be implemented for proprietary solutions.</t>
  </si>
  <si>
    <t>Kommt bei der Datenarchivierung Verschlüsselung zum Einsatz, so ist sicherzustellen, dass die Daten im Bedarfsfall lesbar gemacht werden können. Hierzu ist durch den IT-System Verantwortlichen sicherzustellen, dass das für die Entschlüsselung notwendige Schlüsselmaterial sicher aufbewahrt wird und dass bei der Archivierung international anerkannte kryptographische Algorithmen verwendet werden. Bei herstellerspezifischen Lösungen sind alternative Maßnahmen umzusetzen.</t>
  </si>
  <si>
    <t>Certification services for production IT systems must be obtained through the Bosch public key certification body, the RB TrustCenter.</t>
  </si>
  <si>
    <t xml:space="preserve">Zertifikatsdienstleistungen für produktive IT-Systeme sind über die Public Key Zertifizierungsstelle von Bosch, dem RB-TrustCenter, zu beziehen. </t>
  </si>
  <si>
    <t>If it is necessary to have key management performed by other entities, the client must guarantee a security level comparable with that of the RB TrustCenter, in particular,
„ it must be ensured that the generation of key material takes place in a secure environment
„ the recoverability of the key material in the event of loss must be guaranteed
„ access to key material by administrators must be limited to the required minimum
„ the security requirements must be contractually agreed.</t>
  </si>
  <si>
    <t>The private key of a certificate must be kept confidential.</t>
  </si>
  <si>
    <t xml:space="preserve">Der private Schlüssel eines Zertifikats ist geheim zu halten. </t>
  </si>
  <si>
    <t>Secret keys as well as the private keys of the public key cryptography must be protected against unauthorized access and interception by suitable means.</t>
  </si>
  <si>
    <t xml:space="preserve">Geheime Schlüssel sowie die privaten Schlüssel der Public Key Kryptographie sind mit geeigneten Maßnahmen gegen unberechtigten Zugriff und Ausspähung zu schützen. </t>
  </si>
  <si>
    <t>Keys that are no longer required must be deleted or destroyed in a secure manner.</t>
  </si>
  <si>
    <t xml:space="preserve">Nicht mehr benötigte Schlüssel sind auf sichere Art zu löschen bzw. zu vernichten. </t>
  </si>
  <si>
    <t>The operator of an IT system specifies whether the IT system must be set up in a suitable IT room in order to ensure the Confidentiality (C), Integrity (I), and Availability (A) of the data.</t>
  </si>
  <si>
    <t xml:space="preserve">Der Betreiber eines IT-Systems legt fest, ob das IT-System zur Sicherstellung der Vertraulichkeit (C), Integrität (I) und Verfügbarkeit (A) der Daten in einem dafür geeigneten IT-Raum aufgestellt werden muss. </t>
  </si>
  <si>
    <t>Servers must always be set up in suitable IT rooms. If it is necessary to set up servers outside of IT rooms (e.g. cache server for software distribution, independent availability of production lines), this must be documented along with alternative security measures (e.g. locked control cabinet) by the server operator (e.g. in the operating concept, in the ITM location concept).</t>
  </si>
  <si>
    <t xml:space="preserve">Server sind stets in geeigneten IT-Räumen aufzustellen. Falls die Notwendigkeit besteht, Server außerhalb von IT-Räumen aufzustellen (z. B. Cache-Server für Software-Verteilung, autarke Verfügbarkeit von Fertigungslinien), so ist dies inklusive alternativer Schutzmaßnahmen (z. B. verschlossener Schaltschrank) durch den Serverbetreiber zu dokumentieren (z. B. im Betriebskonzept, im ITM-Standortkonzept). </t>
  </si>
  <si>
    <t>The operator must make documentation of the relevant operating procedures (e.g. user manual) for IT systems available to all.</t>
  </si>
  <si>
    <t xml:space="preserve">Eine Dokumentation der relevanten Bedienabläufe (z. B. Anwenderhandbuch) für IT-Systeme ist durch den Betreiber allen Nutzern zugänglich zu machen. </t>
  </si>
  <si>
    <t>The operator of an IT system is responsible for the implementation and continuous monitoring of the security standards defined here.</t>
  </si>
  <si>
    <t>Der Betreiber eines IT-Systems ist verantwortlich für die Umsetzung und fortlaufende Überwachung der hier festgelegten Sicherheitsstandards.</t>
  </si>
  <si>
    <t>Operators must also comply with the domain-specific documentation requirements.</t>
  </si>
  <si>
    <t xml:space="preserve">Ferner haben Betreiber die domänenspezifischen Dokumentationsvorschriften zu befolgen. </t>
  </si>
  <si>
    <t>For servers and risky applications, the operator must also create a current operating manual. Servers and risky applications may only be operated when a responsible operator has been specified in each case.</t>
  </si>
  <si>
    <t xml:space="preserve">Bei Servern und risikobehafteten Anwendungen muss zudem durch den Betreiber ein aktuelles Betriebshandbuch erstellt und fortlaufend gepflegt werden. Server und risikobehaftete Anwendungen dürfen nur betrieben werden, wenn jeweils ein verantwortlicher Betreiber festgelegt ist. </t>
  </si>
  <si>
    <t>The delegation of rights and obligations is permitted.</t>
  </si>
  <si>
    <t xml:space="preserve">Eine Delegation von Rechten und Pflichten ist erlaubt. </t>
  </si>
  <si>
    <t>For risky applications, development and test applications must be separated from production applications. For applications without security class 3 data (A-SC, C-SC or I-SC) which are not accessible via the Internet, the operator may deviate by performing a supplementary risk assessment in accordance with Section 1, involving all master of data of the respective application and the responsible DSO.</t>
  </si>
  <si>
    <t xml:space="preserve">Für risikobehaftete Anwendungen müssen Entwicklungs- und Testanwendungen von Produktivanwendungen getrennt werden. Für Anwendungen ohne Schutzklasse 3 Daten (A-SC, C-SC oder I-SC), die nicht über das Internet erreichbar sind, kann durch den Betreiber, mittels einer ergänzenden Risikobetrachtung gemäß Kapitel 1 unter Einbeziehung aller Herrn der Daten der jeweiligen Anwendung und des zuständigen DSOs, abgewichen werden. </t>
  </si>
  <si>
    <t>Where cloud services are used, the cloud customer must identify critical cloud operations in which an error can lead to irreversible damage to assets (e.g. deletion of virtualized IT systems such as servers, data storage devices and networks, termination of cloud services). The cloud provider must assist in this regard.</t>
  </si>
  <si>
    <t xml:space="preserve">Bei der Nutzung von Cloud-Diensten muss der Cloud-Kunde kritische Cloud-Operationen identifizieren, bei denen ein Fehler zu unwiderruflichen Schäden von Assets führen kann (z. B. Löschen von virtualisierten IT-Systemen wie Servern, Datenspeichern und Netzwerken, Kündigung von Cloud-Diensten). Der Cloud-Anbieter muss hierbei unterstützen. </t>
  </si>
  <si>
    <t>The cloud customer must document these operations in an operating manual for the cloud service.</t>
  </si>
  <si>
    <t>IT systems must be protected against malware. The measures defined by C/IDS must be observed. For IT systems that are operated solely in network zones (pursuant to Section A.13.1.3) secured using network protection measures, comparable malware protection is recommended.</t>
  </si>
  <si>
    <t xml:space="preserve">IT-Systeme sind gegen Schadsoftware zu schützen. Die durch C/IDS festgelegten Maßnahmen sind einzuhalten. Für IT-Systeme, welche ausschließlich in Netzwerkzonen (gemäß Kapitel A.13.1.3) betrieben werden, die über Netzwerkschutzmaßnahmen abgesichert sind, wird ein vergleichbarer Schutz gegen Schadsoftware empfohlen. </t>
  </si>
  <si>
    <t>For risky applications, the operator must set up event logging and monitoring in accordance with CI specifications in order to be able to trace malfunctions and misuse.</t>
  </si>
  <si>
    <t>Für risikobehaftete Anwendungen ist durch den Betreiber eine Ereignisprotokollierung und -überwachung gemäß C/IDS-Vorgaben einzurichten, um Fehlfunktionen und missbräuchliche Verwendungen nachweisen zu können.</t>
  </si>
  <si>
    <t>The cloud customer must request information from the cloud provider about the available cloud service monitoring functions. The cloud customer must use the monitoring functions required for seamless operation of the cloud service, and implement additional monitoring functions where necessary.</t>
  </si>
  <si>
    <t>Der Cloud-Kunde muss beim Cloud-Anbieter Informationen über die verfügbaren Cloud-Service-Monitoring-Funktionen anfordern. Die zum reibungslosen Betrieb des Cloud-Dienstes notwendigen Monitoring-Funktionen sind durch den Cloud-Kunden zu nutzen und soweit erforderlich zusätzliche Monitoring-Funktionen zu implementieren.)</t>
  </si>
  <si>
    <t>The cloud provider must provide and document cloud service monitoring functions, and communicate these to the cloud customer.</t>
  </si>
  <si>
    <t>Software and apps may only be installed from trustworthy sources, e.g. the respective manufacturer, internal RB sources, or official app stores.</t>
  </si>
  <si>
    <t>Operators are responsible for the secure operation and use of IT systems.</t>
  </si>
  <si>
    <t xml:space="preserve">Betreiber sind dafür verantwortlich, dass IT-Systeme sicher betrieben und verwendet werden können. </t>
  </si>
  <si>
    <t>The network operator/telecommunications operator is responsible for the planning, implementation and continuous monitoring of the security concept on the basis of this central directive. If establishment of the connection to the BCN takes place, it is performed exclusively by CI. To minimize risk, connections to the Internet must be configured in accordance with C/IDS specifications.</t>
  </si>
  <si>
    <t xml:space="preserve">Der Netzbetreiber/TK-Betreiber ist verantwortlich für die Planung, Umsetzung und fortlaufende Überwachung des Sicherheitskonzepts gemäß dieser ZA. Sofern die Anbindung an das BCN erfolgt, wird diese Anbindung ausschließlich durch CI durchgeführt. Die Konfiguration von Anbindungen an das Internet muss zur Risikominimierung gemäß Vorgaben von C/IDS erfolgen. </t>
  </si>
  <si>
    <t>The network operator/telecommunications operator must define and apply risk-based rules for network/telecommunications administration rights and ensure that they undergo continuous review. For telecommunication equipment the corresponding Section A.11 on IT rooms must be observed.</t>
  </si>
  <si>
    <t xml:space="preserve">Der Netzbetreiber/TK-Betreiber hat risikobasierte Regeln für Netzwerk-/TK-Administrationsrechte festzulegen, anzuwenden und für deren fortlaufende Überprüfung zu sorgen. Für TK-Anlagen ist das entsprechende Kapitel A.11 zu IT-Räumen zu beachten. </t>
  </si>
  <si>
    <t>Connection Management clarifies the connection requirements (all ISP, PSO, and CI issues), execution of the necessary measures for the connection, provision of the required budget (one-time costs as well as running costs), initial application, extension, expansion (with respect to bandwidth or new connections), discontinuation of an individual connection point or of the entire connection, as well as documentation of the connections.</t>
  </si>
  <si>
    <t>Das Connection Management klärt die Anforderungen an die Anbindung (alle ISP-, PSO- und CI-Themen), die Abarbeitung der für die Anbindung notwendigen Maßnahmen, die Bereitstellung des notwendigen Budgets (Einmalkosten sowie laufende Kosten), die Erstbeantragung, die Verlängerung, die Erweiterung (hin-sichtlich Bandbreite oder neue Anbindungen), die Abkündigung einer Anbindung oder der gesamten Anbindung, sowie die Dokumentation der Anbindungen.</t>
  </si>
  <si>
    <t>In the case of connections pertaining to an RB location (including leased properties), Connection Management is specified by the Operating Unit (GE) to which the location is assigned. For other connections (e.g. connections for external partners, new locations), Connection Management is specified by the first GE that requires the connection.</t>
  </si>
  <si>
    <t>Für Anbindungen, die einen RB-Standort (inkl. Mietobjekte) betreffen, legt die Geschäftseinheit (GE), welcher der Standort zugeordnet ist, das Connection Management fest. Für andere Anbindungen (z. B. Fremdfirmenanbindungen, neue Standorte) legt diejenige GE, welche die Anbindung als erstes benötigt, das Connection Management fest.</t>
  </si>
  <si>
    <t>In the case of mergers and acquisitions, the Connection Managements role may temporarily (maximum 18 months after closing) be assumed by the department responsible for IT integration.</t>
  </si>
  <si>
    <t xml:space="preserve">Bei Mergern und Akquisitionen ist es zulässig, dass die Rolle des Connection Managements temporär (maximal 18 Monate nach Closing) durch diejenige Stelle wahrgenommen wird, die die IT-Integration verantwortet.  </t>
  </si>
  <si>
    <t>Connection Management and the network operator cannot be the same person. Exceptions require the prior agreement with C/ISP.</t>
  </si>
  <si>
    <t xml:space="preserve">Das Connection Management und der Netzbetreiber dürfen nicht dieselbe Person sein. Ausnahmen bedürfen der vorherigen Absprache mit C/ISP. </t>
  </si>
  <si>
    <t>The DSO advises Connection Management about matters relating to the connection and the definition of measures regarding ISP-relevant issues. He ensures that the minimum IT security requirements (e.g. up-to-date virus protection, up-to-date patches on the IT systems, no separate Internet connection for locations connected to the BCN) are met. The DSO can specify additional mandatory requirements for each connection. In the case of connections pertaining to a RB location (including leased properties), the DSO responsible for the respective location must be consulted.</t>
  </si>
  <si>
    <t xml:space="preserve">Der DSO berät das Connection Management in Fragen der Anbindung und der Maßnahmendefinition zu ISP-relevanten Themen. Er überzeugt sich davon, dass die Mindestanforderungen an die IT-Sicherheit (z. B. aktueller Virenschutz, aktueller Patchstand auf den IT-Systemen, keine eigene Internetanbindung bei Anbindungen an das BCN) eingehalten sind. Je Anbindung kann der DSO zusätzliche Anforderungen als verbindlich festlegen. Für Anbindungen, die einen RB Standort (inkl. Mietobjekte) betreffen, ist der für den jeweiligen Standort zuständige DSO einzubinden. </t>
  </si>
  <si>
    <t>For other connections, the respective GB/DSO or RO/DSO whose GE is the first to require the connection must be consulted. In the case of mergers and acquisitions, the DSO role may, in agreement with C/ISP, be assumed by other associates of the Bosch Group.</t>
  </si>
  <si>
    <t xml:space="preserve">Für andere Anbindungen ist der jeweilige GB/DSO oder RO/DSO einzubinden, dessen GE die Anbindung als erstes benötigt. Bei Mergern und Akquisitionen kann die Rolle des DSO, nach Absprache mit C/ISP, durch andere Mitarbeiter der Bosch-Gruppe wahrgenommen werden. </t>
  </si>
  <si>
    <t>Only network components approved by the responsible network operator may be connected to a network of the Bosch Group. For the BCN, approval is by CI. For other networks approval is by the responsible network operator.</t>
  </si>
  <si>
    <t>Es dürfen nur vom verantwortlichen Netzbetreiber freigegebene Netzkomponenten an ein Netzwerk der Bosch-Gruppe angeschlossen werden. Für das BCN erfolgt die Freigabe durch CI. Für andere Netzwerke erfolgt die Freigabe durch den jeweils verantwortlichen Netzbetreiber.</t>
  </si>
  <si>
    <t>Network connections without physical access protection must be protected against eavesdropping and unauthorized access by the operator for confidentiality reasons.</t>
  </si>
  <si>
    <t>Netzwerkanbindungen ohne räumlichen Zutrittsschutz sind durch den Betreiber aus Vertraulichkeitsgründen gegen Abhören und unautorisierten Zugang zu sichern.</t>
  </si>
  <si>
    <t>For connections to the BCN, state-of-the-art encryption and access protection methods are required.</t>
  </si>
  <si>
    <t>The interception of networks is prohibited for confidentiality reasons. Fault diagnosis by the persons authorized by the network operator/tele-communications operator is permitted. For troubleshooting, e.g. in develop-ment, recording of the communication of the own end device is permitted. Recordings must be deleted immediately once they are no longer needed. Further usage scenarios are to be agreed with C/ISP.</t>
  </si>
  <si>
    <t>The network operator must terminate the connection as soon as the connection management reports that the connection is no longer required. Furthermore, he must terminate the connection if the Connection Management does not extend it and an escalation of the network operator to the responsible executive management does not lead to a valid extension within one month.</t>
  </si>
  <si>
    <t xml:space="preserve">Der Netzbetreiber muss die Anbindung beenden sobald das Connection Management meldet, dass die Anbindung nicht mehr benötigt wird. Ferner muss er die Anbindung beenden falls das Connection Management diese nicht verlängert und eine Eskalation des Netzbetreibers an die zuständige Leitung nicht innerhalb eines Monats zu einer gültigen Verlängerung führt. </t>
  </si>
  <si>
    <t>Communication restrictions in place may not be bypassed by connecting an IT system to two networks.</t>
  </si>
  <si>
    <t xml:space="preserve">Vorhandene Kommunikationsbeschränkungen dürfen durch den Anschluss eines IT-Systems an zwei Netzwerke nicht umgangen werden. </t>
  </si>
  <si>
    <t>For IT systems operated by external service providers on behalf of the Bosch Group, the ordering customer must ensure that proof of correct implementation of this central directive is provided by the external service provider.</t>
  </si>
  <si>
    <t xml:space="preserve">Für IT-Systeme, die im Auftrag der Bosch-Gruppe durch externe Dienstleister betrieben werden, muss der Auftraggeber sicherstellen, dass durch den externen Dienstleister eine sinngemäße Umsetzung dieser ZA nachgewiesen wird. </t>
  </si>
  <si>
    <t>The implementation of this central directive can be checked by audits. The customer must agree contractually with the service provider about the right of audits.</t>
  </si>
  <si>
    <t xml:space="preserve">Die sinngemäße Umsetzung dieser ZA kann anhand von Audits überprüft werden. Das Recht auf Auditierung ist durch den Auftraggeber vertraglich mit dem Dienstleister zu vereinbaren. </t>
  </si>
  <si>
    <t>The correct implementation of this central directive can be confirmed using generally recognized certificates. The certificate must be issued for the commissioned service and must not have expired. External hosting services for internet presences can only be contracted with preferred suppliers specified by GS.</t>
  </si>
  <si>
    <t xml:space="preserve">Die sinngemäße Umsetzung dieser ZA kann anhand allgemein anerkannter Zertifikate bestätigt werden. Das Zertifikat muss für die beauftragte Dienstleistung ausgestellt und darf nicht abgelaufen sein. Der externe Betrieb von Internetauftritten ist ausschließlich durch die von GS festgelegten Vorzugslieferanten möglich. </t>
  </si>
  <si>
    <t>In the case of work on IT systems (e.g. maintenance, repair, development) by external companies, the manager must ensure that Confidentiality, Integrity and Availability are not violated. Corresponding contractual arrangements must be made. Access rights (physical and logical) for associates of these external companies must be restricted to what is necessary.</t>
  </si>
  <si>
    <t>Bei Arbeiten (z. B. Wartung, Reparatur, Entwicklung) an IT-Systemen der Bosch-Gruppe durch Fremdfirmen ist durch die Führungskraft dafür zu sorgen, dass Vertraulichkeit, Verfügbarkeit und Integrität nicht verletzt werden. Entsprechende vertragliche Regelungen sind zu treffen. Zutritts- und Zugriffsrechte für Mitarbeiter dieser Fremdfirmen sind auf das erforderliche Maß zu beschränken.</t>
  </si>
  <si>
    <t>All operators of an IT system must assist the Bosch CERT in the definition and implementation of proactive measures as well as in the handling of Information security incidents for these IT systems.</t>
  </si>
  <si>
    <t xml:space="preserve">Alle Betreiber eines IT-Systems müssen das Bosch CERT bei der Definition und Umsetzung proaktiver Maßnahmen sowie bei der Behandlung von Informationssicherheitsvorfällen für diese IT-Systeme unterstützen. </t>
  </si>
  <si>
    <t>Operators must also guarantee that they are informed about threats and weaknesses for the IT systems for which they are responsible in a timely manner, that they forward this information to the Bosch CERT without delay and that they eliminate the weak points as quickly as possible.</t>
  </si>
  <si>
    <t xml:space="preserve">Zusätzlich haben Betreiber zu gewährleisten, dass sie zeitnah über Bedrohungen und Schwachstellen für die von ihnen verantworteten IT-Systeme informiert sind, dass sie diese Informationen unverzüglich an das Bosch CERT weiterleiten und die Schwachstellen schnellstmöglich beseitigen . </t>
  </si>
  <si>
    <t>The operators are responsible for receiving Bosch CERT Advisories and for the timely implementation of the required measures. At least one e-mail address, which is read each working day, must be added to the Bosch CERT e-mail distribution list for this purpose. If a timely implementation is not possible, the operator must provide an implementation plan to the Bosch CERT.</t>
  </si>
  <si>
    <t xml:space="preserve">Den Betreibern obliegt die Verantwortung für den Empfang von Bosch CERT Advisories und die fristgerechte Umsetzung der geforderten Maßnahmen. Hierzu ist mindestens eine E-Mail-Adresse, die arbeitstäglich gelesen wird, in die E-Mail Verteiler vom Bosch CERT aufzunehmen. Ist eine fristgerechte Umsetzung nicht möglich, muss der Betreiber dem Bosch CERT einen Implementierungsplan zur Verfügung stellen.  </t>
  </si>
  <si>
    <t>Bosch CERT Advisories may only be forwarded outside the Bosch Group if this is necessary to implement the required measures. Responsibility for implementation of the measures remains with the requesting entity.</t>
  </si>
  <si>
    <t xml:space="preserve">Eine Weitergabe von Bosch CERT Advisories außerhalb der Bosch-Gruppe ist nur zulässig, wenn dies zur Umsetzung der geforderten Maßnahmen notwendig ist. Die Verantwortung für die Umsetzung der Maßnahmen verbleibt bei der beauftragenden Stelle. </t>
  </si>
  <si>
    <t>Every associate is obliged to report Information security incidents to the Bosch CERT immediately. The obligation to report to other entities (e.g. for compliance) is not affected.</t>
  </si>
  <si>
    <t>The Bosch CERT and the operators must be informed of a security review in advance, if it cannot be ruled out that these may lead to significant disruptions of the operating processes. For IT systems operated by third parties, the customer must ensure a contractual consent to security reviews.</t>
  </si>
  <si>
    <t xml:space="preserve">Das Bosch CERT sowie die Betreiber müssen über eine Sicherheitsüberprüfung vorab informiert werden, falls nicht ausgeschlossen werden kann, dass diese zu erheblichen Störungen der Betriebsabläufe führen können. Bei extern betriebenen IT-Systemen muss durch den Auftraggeber sichergestellt werden, dass eine vertragliche Zustimmung zur Durchführung von Sicherheitsüberprüfungen vorliegt. </t>
  </si>
  <si>
    <t>Following a security review, the operator or the customer of the security review must submit the complete result report to the Bosch CERT, C/IDS, and the DSO of the reviewed unit. In the event of legal restrictions or a scope of audit outside this Central Directive, the corresponding abbreviated results report must be submitted.</t>
  </si>
  <si>
    <t xml:space="preserve">Nach einer Sicherheitsüberprüfung ist durch den Betreiber oder den Auftraggeber der Sicherheitsüberprüfung der vollständige Ergebnisbericht unaufgefordert dem Bosch CERT, C/IDS und dem zuständigen DSO vorzulegen. Bei rechtlichen Einschränkungen oder eines Prüfumfanges außerhalb dieser Zentralanweisung ist der entsprechend gekürzte Ergebnisbericht vorzulegen. </t>
  </si>
  <si>
    <t>For risky applications, the operator defines the type, scope, and repetition intervals of security reviews and documents these in the operating manual. For applications that process data of security classes A-SC3, C-SC3, or I-SC3, and for internet presences, a qualified entity must perform security reviews regularly (at least every 36 months, for internet presences at least every two months) or following technological and architectural changes. In derogation from this, the application owner appointed in accordance with C/SB CD “Access and Identity Management” can specify shorter repetition intervals.</t>
  </si>
  <si>
    <t>Bei risikobehafteten Anwendungen legt der Betreiber Art, Umfang, Wiederholungsintervalle von Sicherheitsüberprüfungen fest und dokumentiert diese im Betriebshandbuch. Bei Anwendungen, welche Daten der Schutzklassen A-SC3, C-SC3 oder I-SC3 verarbeiten und bei Internetauftritten müssen regelmäßig Sicherheitsüberprüfungen durch eine qualifizierte Stelle durchgeführt werden. Dies muss jeweils nach Technologie- und Architekturänderungen geschehen sowie mindestens alle 36 Monate, bei Internetauftritten mindestens alle zwei Monate. Abweichend hiervon kann der gemäß C/SB ZA „Access und Identity Management“ benannte Application Owner kürzere Wiederholungsintervalle festlegen.</t>
  </si>
  <si>
    <t>The Bosch CERT can also request and perform security reviews for IT systems.</t>
  </si>
  <si>
    <t xml:space="preserve">Zusätzlich kann das Bosch CERT Sicherheitsüberprüfungen für IT-Systeme anfordern und durchführen. </t>
  </si>
  <si>
    <t>(01)</t>
  </si>
  <si>
    <t>(02)</t>
  </si>
  <si>
    <t>(03)</t>
  </si>
  <si>
    <t>(04)</t>
  </si>
  <si>
    <t>(05)</t>
  </si>
  <si>
    <t>(06)</t>
  </si>
  <si>
    <t>(10)</t>
  </si>
  <si>
    <t>(07)</t>
  </si>
  <si>
    <t>(08)</t>
  </si>
  <si>
    <t>(09)</t>
  </si>
  <si>
    <t>Reference</t>
  </si>
  <si>
    <t>Question</t>
  </si>
  <si>
    <t>SSO?</t>
  </si>
  <si>
    <t>Cloud?</t>
  </si>
  <si>
    <t>Type?</t>
  </si>
  <si>
    <t>OK</t>
  </si>
  <si>
    <t>Not OK</t>
  </si>
  <si>
    <t>unanswered</t>
  </si>
  <si>
    <t>Not applicable</t>
  </si>
  <si>
    <t>Are employees aware of their responsibilities with regard to information security and data protection and have they taken part in appropriate training and awareness campaigns?</t>
  </si>
  <si>
    <t>Is the information to be processed and the IT systems involved in information processing known and documented?</t>
  </si>
  <si>
    <t>Is a responsible person (master of the data) defined for the information which is to be processed?</t>
  </si>
  <si>
    <t>Does the cloud customer know how the data can be removed/deleted from the cloud solution after the cloud service has ended?</t>
  </si>
  <si>
    <t>Is the information to be processed classified in terms of confidentiality, integrity and availability?</t>
  </si>
  <si>
    <t>Does a disposal concept exist for media (e.g. hard disks) and is it implemented?</t>
  </si>
  <si>
    <t>Is an authorization management concept available and implemented?</t>
  </si>
  <si>
    <t>Does strong authentication provide access from public networks (e.g. internet) to IT systems and applications with business records?</t>
  </si>
  <si>
    <t>Are unique user IDs (Bosch digital identities, dBI) used for user access to IT systems?</t>
  </si>
  <si>
    <t>Does a password management concept exist and is it implemented?</t>
  </si>
  <si>
    <t>Does the manager carry out the annual verification of user access rights?</t>
  </si>
  <si>
    <t>Is access to information and information systems in accordance with the authentication procedures specified?</t>
  </si>
  <si>
    <t>Is authentication information protected during storage and transmission?</t>
  </si>
  <si>
    <t>Is password management implemented in accordance with C/IDS ZA 07900-001, chapter 9.4?</t>
  </si>
  <si>
    <t>Are cloud customers' cloud ressources and data strictly separated from other cloud customers in the cloud solution?</t>
  </si>
  <si>
    <t>Are the virtual machines in the cloud computing environment configured in a secure way (hardening)?</t>
  </si>
  <si>
    <t>Is the data stored and/or transmitted in encrypted form?</t>
  </si>
  <si>
    <t>Is the server located in an IT room?</t>
  </si>
  <si>
    <t>Does a disposal concept exist for media (e.g. hard disk) and is it implemented prior to disposal and/or re-usage of media?</t>
  </si>
  <si>
    <t>Are development and test environments separated from productive environments?</t>
  </si>
  <si>
    <t>Is the cloud customer aware of the critical operation procedures (e.g. deletion of virtual servers) and are these functions documented (e.g. in an operational concept)?</t>
  </si>
  <si>
    <t>{QM} Are the procedures provided or established by CI used to backup information?</t>
  </si>
  <si>
    <t>Is the logging and monitoring of security-relevant events implemented on the IT system?</t>
  </si>
  <si>
    <t>Are administrative activities logged, logs protected and regularly reviewed?</t>
  </si>
  <si>
    <t>Are clocks of information processing systems synchronized in accordance with C/IDS ZA 07900-001, chapter 12.4?</t>
  </si>
  <si>
    <t>Are the monitoring functions of the cloud solution used to detect security related events?</t>
  </si>
  <si>
    <t>Does a hardening concept exist for IT systems with high and very high protection requirements?</t>
  </si>
  <si>
    <t>Are network protection mechanisms in place like firewalls, IDS/IPS systems, DDoS protection etc.?</t>
  </si>
  <si>
    <t>Does a network separation concept exist and is it implemented?</t>
  </si>
  <si>
    <t>Are the security-relevant requirements (based on the type and security class of the information) taken into account when planning new or extending existing information systems?</t>
  </si>
  <si>
    <t>Have security guidelines been observed during development and have there been a systematic check for vulnerabilities?</t>
  </si>
  <si>
    <t>Did a security check take place before going live?</t>
  </si>
  <si>
    <t>Are security requirements defined in supplier agreements (e.g. contracts) and agreed by the supplier?</t>
  </si>
  <si>
    <t>Is it ensured that information security weaknesses are reported to the Bosch CERT?</t>
  </si>
  <si>
    <t>Ergebnis / Result</t>
  </si>
  <si>
    <t>Jeder Mitarbeiter ist verpflichtet, Informationssicherheitsvorfälle unverzüglich an das Bosch CERT zu melden. Die Pflicht zur Meldung an andere Stellen (z. B. bei Compliance) bleibt hiervon unberührt.</t>
  </si>
  <si>
    <t>Has the operator disclosed for which protection classes the IT system can be used?</t>
  </si>
  <si>
    <t>WebServer</t>
  </si>
  <si>
    <t>(11)</t>
  </si>
  <si>
    <t>Wird das Sicherheitskonzept für das Netzwerk umgesetzt und fortlaufend überprüft?</t>
  </si>
  <si>
    <t>Is the security concept for the network implemented and continuously reviewed?</t>
  </si>
  <si>
    <t>Administratoren dürfen die Vertraulichkeit und Integrität der IT-Systeme und der darin verarbeiteten Daten nicht gefährden. Dabei ist die Einsichtnahme in Nutzerdaten (z. B. Lesen von E-Mails oder Dateien) nur erlaubt zum Zweck:des Schutzes der IT-Infrastruktur (einschließlich Server und Endgeräte; für Deutschland siehe KBV: 10.44 Erfassung und Auswertung von elektronischen Daten)der Sicherung und Auswertung von elektronischen Daten bei Sicherheitsvorfällen, die die IT-Infrastruktur betreffen, z. B. Virenbefall, Eindringen in die IT-Systeme von Bosch, unberechtigter Abfluss von Daten, Optimierung und Verbesserung der IT-Systeme von Boschder Analyse und Korrektur von Fehlern und technischen Störungen der IT-Systeme von Boschder Ermittlung der Kosten verbrauchter Ressourcen zwecks interner Weiterbelastung von IT-Kosten und Auswertungen zu statistischen Zwecken in anonymisierter Formder Sicherung von elektronischen Daten zum Zweck der Auswertung bei Verstößen gegen das Compliance-Gebot oder bei Gerichtsverfahren, bei behördlichen Anordnungen oder zur Rechtsverteidigung, soweit eine Verpflichtung oder ein berechtigtes Interesse von Bosch zur Auswertung von Unternehmensdaten besteht (einschließlich sog. Pre-Trial Discovery)des Zugriffs auf elektronische Daten bei Nichterreichbarkeit eines Mitarbeiters unter Beachtung der jeweils geltenden gesetzlichen und sonstigen betrieblichen Vorgaben und sofern die Einsichtnahme zur Aufgabenerfüllung erforderlich ist.</t>
  </si>
  <si>
    <t xml:space="preserve">Besteht die Notwendigkeit, die Schlüsselverwaltung von anderen Stellen durchführen zu lassen, so ist ein mit dem RB-TrustCenter vergleichbares Sicherheitsniveau durch den Auftraggeber zu gewährleisten, insbesondereist darauf zu achten, dass die Erzeugung von Schlüsselmaterial in sicherer Umgebung stattfindetist die Wiederherstellbarkeit des Schlüsselmaterials bei Verlust zu gewährleistenist der Zugriff von Administratoren auf das Schlüsselmaterial auf das notwendige Minimum zu beschränkensind die Sicherheitsanforderungen vertraglich zu vereinbaren. </t>
  </si>
  <si>
    <t>Aus Gründen der Vertraulichkeit ist das Abhören von Netzen verboten. Die Fehlerdiagnose durch vom Netzbetreiber/TK-Betreiber autorisierte Personen ist zulässig. Zusätzlich ist für die Fehlersuche, z. B. in der Entwicklung, die Aufzeichnung der Kommunikation des eigenen Endgerätes zulässig. Aufzeichnungen sind unmittelbar nach Ende des Nutzungsbedarfs zu löschen. Weitere Nutzungsszenarien sind mit C/ISP abzustimmen.</t>
  </si>
  <si>
    <t>Are the IT systems involved in information processing regularly checked for compliance with security requirements? Is there a yearly selfcheck?</t>
  </si>
  <si>
    <t>Is the protection against malware (virus protection) according to C/IDS specifications ensured or is the system isolated via network separation measures (e.g. ITM specifications)?</t>
  </si>
  <si>
    <t>Erfolgt der Zugang aus öffentlichen Netzen (z.B. dem Internet) auf IT-Systeme und Anwendungen mit Geschäftsunterlagen mittels starker Authentisierung</t>
  </si>
  <si>
    <t>Wird die Softwareinstallation aus dokumentierten und vertrauenswürdigen Quellen vorgenommen?</t>
  </si>
  <si>
    <t>Is the software installation performed from documented and trustworthy sources?</t>
  </si>
  <si>
    <t>Werden die Authentisierungsinformationen (z.B. Passwörter) gemäß den Vorgaben verwaltet?</t>
  </si>
  <si>
    <t>(e.g. name in LeanIX or CMDB)</t>
  </si>
  <si>
    <t>Date</t>
  </si>
  <si>
    <t>OK with Hints</t>
  </si>
  <si>
    <t>Minor non-conformity</t>
  </si>
  <si>
    <t>Major non-conformity</t>
  </si>
  <si>
    <t>Manager</t>
  </si>
  <si>
    <t>ISP-Auditor</t>
  </si>
  <si>
    <t>Not answered</t>
  </si>
  <si>
    <t>Die Netzwerkschutzmaßnahmen sind gemäß den domänenspezifischen Rege-lungen regelmäßig zu überprüfen.</t>
  </si>
  <si>
    <t>Wird eine zentrale Asset-Management-Datenbank für die Dokumentation der Inventarisierung verwendet?</t>
  </si>
  <si>
    <t>Ist der Betreiber des IT-Systems in der Asset-Management-Datenbank dokumentiert?</t>
  </si>
  <si>
    <t>Does the decomissioning process for the IT system include the necessary steps for protecting, destroying or revoking the data and authentication secrets stored on the IT system?</t>
  </si>
  <si>
    <t>Is strong authentication for access from the Internet to Bosch business data enforced?</t>
  </si>
  <si>
    <t>Ist der Zugriff aus dem Internet auf Bosch-Geschäftsdaten für Bosch-Mitarbeiter auf von CI verwaltete IT-Endgeräte beschränkt?</t>
  </si>
  <si>
    <t>Is access from the Internet to Bosch business data for Bosch employees limited to IT end devices managed by CI?</t>
  </si>
  <si>
    <t>Wird eine starke Authentifizierung für den Zugriff vom Internet auf die Bosch-Mitarbeiterdienste erzwungen?</t>
  </si>
  <si>
    <t>Is strong authentication for access from the Internet to Bosch employee services enforced?</t>
  </si>
  <si>
    <t>Is strong authentication for access from the Internet to Bosch business data for external service providers enforced?</t>
  </si>
  <si>
    <t>Ist der Zugriff auf Bosch-Netzwerke nach den Vorschriften von C/IDS implementiert?</t>
  </si>
  <si>
    <t>Is the access to Bosch networks implemented according to the regulations of C/IDS?</t>
  </si>
  <si>
    <t>Werden die über WLAN mit dem BCN verbundenen IT-Systeme durch den CI bereitgestellt und verwaltet?</t>
  </si>
  <si>
    <t>Are the IT systems connected to the BCN via WLAN provided and managed by CI?</t>
  </si>
  <si>
    <t>Wird beim Remote-VPN-Zugriff auf das BCN eine starke Authentifizierung erzwungen und Split-Tunneling verhindert?</t>
  </si>
  <si>
    <t>Werden eingehende Anfragen aus dem Internet oder aus Partnernetzwerken nach dem Prinzip "Authenticate at the first Gate" authentifiziert?</t>
  </si>
  <si>
    <t>Entsprechen die Kriterien für die Zuweisung privilegierter Konten dem Least Privilege Prinzip?</t>
  </si>
  <si>
    <t>Do the criteria for assigning privileged accounts comply with the Least Privilege principle?</t>
  </si>
  <si>
    <t>Werden separate Konten für den privilegierten Zugriff verwendet?</t>
  </si>
  <si>
    <t>Finden regelmäßige Überprüfungen der privilegierten Konten statt?</t>
  </si>
  <si>
    <t>Berücksichtigt die Verwaltung von privilegierten Konten deren rechtzeitige Löschung, wenn sie nicht mehr benötigt werden?</t>
  </si>
  <si>
    <t>Does the management of privileged accounts consider their timely deletion if no longer needed?</t>
  </si>
  <si>
    <t>Kann jedes privilegierte Konto einer bestimmten Person zugeordnet werden? (Hinweis: Dies ist erfüllt, wenn RB-PAM verwendet wird.) Wenn nicht, wird die Verwendung von gemeinsam verwendeten privilegierten Konten dokumentiert und protokolliert?</t>
  </si>
  <si>
    <t>Wird auf jedem IT-System ein individuelles Passwort für jedes einzelne privilegierte Konto verwendet?</t>
  </si>
  <si>
    <t>Is an individual passwords used for each single privileged account on every IT systems?</t>
  </si>
  <si>
    <t>Wird das privilegierte Konto nur für privilegierte Aufgaben verwendet?</t>
  </si>
  <si>
    <t>Ist ein Prozess etabliert und implementiert, um zu gewährleisten, dass in der DMZ und ESZ separate Kontonamen/UIDs verwendet werden?</t>
  </si>
  <si>
    <t>Is a process established and implemented for guaranteeing that separate account names/UIDs are used in the DMZ and ESZ?</t>
  </si>
  <si>
    <t>Werden Pseudonyme für Benutzerkonten in der DMZ (Security Layer 1) oder ESZ (Security Layer 2) verwendet?</t>
  </si>
  <si>
    <t>Are pseudonyms used for user accounts in the DMZ (Security layer 1) or ESZ (Security layer 2)?</t>
  </si>
  <si>
    <t>Wird RB-PAM verwendet, wenn die interaktive Anmeldung für geteilte und technische Konten aktiviert ist?</t>
  </si>
  <si>
    <t>Is RB-PAM used if interactive login is enabled for shared and technical accounts?</t>
  </si>
  <si>
    <t>Ist eine Passwortrichtlinie mit der erforderlichen Komplexität implementiert?</t>
  </si>
  <si>
    <t>Was the default vendor password changed?</t>
  </si>
  <si>
    <t>Sind Passwörter während der Übertragung kryptographisch geschützt?</t>
  </si>
  <si>
    <t>Are passwords cryptographically protected while in transport?</t>
  </si>
  <si>
    <t>Sind Passwörter während der Speicherung kryptographisch geschützt?</t>
  </si>
  <si>
    <t>Ist ein Passwortänderungsintervall von mindestens 180 Tagen konfiguriert?</t>
  </si>
  <si>
    <t>Is a password change interval of at least 180 days configured?</t>
  </si>
  <si>
    <t>Ist eine Passwort-Historie implementiert?</t>
  </si>
  <si>
    <t>Is a password history implemented?</t>
  </si>
  <si>
    <t>Ist die PIN-Code-Authentifizierung gemäß den C/IDS-Vorschriften konfiguriert?</t>
  </si>
  <si>
    <t>Wird die Authentifizierung erzwungen?</t>
  </si>
  <si>
    <t>Is authentication enforced?</t>
  </si>
  <si>
    <t>Ist die Rückmeldung für die Authentifizierung verschleiert?</t>
  </si>
  <si>
    <t>Sind Fehlermeldungen generisch und geben keine Auskunft darüber, welches Element der Authentifizierung falsch ist?</t>
  </si>
  <si>
    <t>Sind Mechanismen implementiert, um die Anzahl der erfolglosen Anmeldeversuche zu begrenzen?</t>
  </si>
  <si>
    <t>Are mechanisms implemented to limit the number of unsuccessful logon attempts?</t>
  </si>
  <si>
    <t>Ist die Anmeldebenachrichtigung aktiviert?</t>
  </si>
  <si>
    <t>Wenn die Authentifizierung mit Kryptografie mit öffentlichem Schlüssel erfolgt: Sind die Anforderungen zum Schutz und zum Ändern der privaten Schlüssel erfüllt?</t>
  </si>
  <si>
    <t>If authentication is done with public key cryptography: Are the requirements for protecting and rotating the private keys fulfilled?</t>
  </si>
  <si>
    <t>Werden die verwendeten PIN-Codes nur für eine starke Authentifizierung oder als Authentifizierungsmethode, wenn keine andere Authentifizierungsmethode verfügbar ist, verwendet?</t>
  </si>
  <si>
    <t>Are the used PIN codes only used for strong authentication, or as authentication method if no other authentication method is available?</t>
  </si>
  <si>
    <t>Sind C-SC2 und C-SC3-Daten gemäß den Bosch Vorgaben für die verschlüsselte Kommunikation geschützt?</t>
  </si>
  <si>
    <t>Werden die TLS / DTLS Vorgaben von C/IDS eingehalten? [Mögliche weitere Fragen: Entspricht der TLS- / DTLS-Endpunkt allen Anforderungen aus dem Abschnitt "TLS / DTLS-Protokollversionen" gemäß dem "Best-in-Class"- oder dem Interoperabilitäts-Anwendungsfall-Szenario? Entspricht der TLS- / DTLS-Endpunkt einem "Best-in-Class"- oder einem Interoperabilitäts-Anwendungsfall? Welche TLS- / DTLS-Versionen wurden bereitgestellt? Entspricht der TLS- / DTLS-Endpunkt im Hinblick auf das ermittelte Anwendungsfall-Szenario allen Anforderungen aus dem Abschnitt "TLS / DTLS Cipher Suites"? Welche Kombination von Cipher-Suite-Sets aus dem Abschnitt "TLS-Bereitstellungsszenarien" in "TLS / DTLS-Cipher-Suites" wurde bereitgestellt?]</t>
  </si>
  <si>
    <t>Are the TLS / DTLS requirements from C/IDS fulfilled? [Additional detailed Questions: Does the TLS / DTLS endpoint comply to all requirements from the "TLS / DTLS Protocol Versions" section according to the best-in-class or the interoperability use case scenario? Does the TLS / DTLS endpoint correspond to a best-in-class or to an interoperability use case scenario? Which TLS / DTLS versions have been deployed? With regard to the determined use case scenario, does the TLS / DTLS endpoint comply to all requirements from the "TLS / DTLS Cipher Suites" section? Which combination of cipher suite sets from the "TLS Deployment Scenarios" section in "TLS / DTLS Cipher Suites" has been deployed?]</t>
  </si>
  <si>
    <t>Ist die TLS-Parameterprotokollierung nach Möglichkeit aktiviert?</t>
  </si>
  <si>
    <t>Is TLS parameter logging enabled if possible?</t>
  </si>
  <si>
    <t>Ist die Fernverwaltungskommunikation durch eine authentifizierte Verschlüsselung geschützt?</t>
  </si>
  <si>
    <t>Is the remote administration communication protected by an authenticated encryption?</t>
  </si>
  <si>
    <t>Werden C-SC3 klassifizierten Daten verschlüsselt übertragen und gespeichert?</t>
  </si>
  <si>
    <t>Is C-SC3 classified data transmitted and stored encrypted?</t>
  </si>
  <si>
    <t>Wenn kryptographische Maßnahmen implementiert sind: Wurde sichergestellt, dass sie die Wirksamkeit anderer IT-Sicherheitsmaßnahmen nicht beeinträchtigen?</t>
  </si>
  <si>
    <t>Wenn kryptografische Hash-Algorithmen verwendet werden, entsprechen sie den C/IDS Vorschriften?</t>
  </si>
  <si>
    <t>If cryptographic hash algorithms are used, do they comply with the C/IDS regulations?</t>
  </si>
  <si>
    <t>Wenn Message Authentication Codes (MACs) verwendet werden, entsprechen die verwendeten Varianten den C/IDS Vorschriften?</t>
  </si>
  <si>
    <t>In case Message Authentication Codes (MACs) are used, do the used variants comply with the C/IDS regulations?</t>
  </si>
  <si>
    <t>Wenn asymmetrische kryprographische Algorithmen verwendet werden, entsprechen die verwendeten Varianten den C/IDS Vorschriften?</t>
  </si>
  <si>
    <t>In case asymmetric cryprographic algorithms are used, do the used variants comply with the C/IDS regulations?</t>
  </si>
  <si>
    <t>Wenn symmetrische (authentifizierte) Verschlüsselungsalgorithmen verwendet werden, entsprechen die verwendeten Varianten den C/IDS Vorschriften?</t>
  </si>
  <si>
    <t>In case symmetric (authenticated) encryption algorithms are used, do the used variants comply with the C/IDS regulations?</t>
  </si>
  <si>
    <t>Falls Passwörtern verwendet werden müssen, entsprechen die Passwort-Hashing-Algorithmen und die Parameter den C/IDS-Vorschriften?</t>
  </si>
  <si>
    <t>In case the use of passwords is required, do the password hashing algorithm and parameter comply with the C/IDS regulations?</t>
  </si>
  <si>
    <t>Wenn Wildcard-Zertifikate verwendet werden: Sind die Laufzeitbestimmungen für Wildcard-Zertifikate gemäß C/IDS Vorschriften umgesetzt?</t>
  </si>
  <si>
    <t>Wenn selbstsignierte Zertifikate verwendet werden: Werden sie nur auf Nicht-Produktiv-Systemen verwendet?</t>
  </si>
  <si>
    <t>If self-signed certificates are used: Are they only used on non-productive systems?</t>
  </si>
  <si>
    <t>Entspricht der implementierte Schlüssel-/Zertifikatsspeicher den C/IDS-Anforderungen?</t>
  </si>
  <si>
    <t>Does the implemented key/certificate store comply with the C/IDS regulations?</t>
  </si>
  <si>
    <t>Wird der interaktive Zugriff auf das IT-System nach einer längeren Abwesenheit des Benutzers beendet/deaktiviert?</t>
  </si>
  <si>
    <t>Wird die Sitzungssperre bis zur nächsten Benutzer-Authentifizierung aufrechterhalten?</t>
  </si>
  <si>
    <t>Is the session lock retained until valid user authentication is performed?</t>
  </si>
  <si>
    <t>Ist die Funktionalität des IT-Systems auf den legitimen Zweck beschränkt?</t>
  </si>
  <si>
    <t>Is the functionality of the IT system limited to the legitimate purpose?</t>
  </si>
  <si>
    <t>Are all built-in security functionalities either activated or documented, if they were deactivated?</t>
  </si>
  <si>
    <t>Sind die Mechanismen des Betriebssystems dokumentiert und etabliert, um die Benutzerauthentifizierung und -autorisierung sicherzustellen?</t>
  </si>
  <si>
    <t>Sind Mechanismen zum Schutz der Ressourcen implementiert?</t>
  </si>
  <si>
    <t>Sind die eingebauten Sicherheitsfunktionen des IT-Systems aktiviert?</t>
  </si>
  <si>
    <t>Are the built-in security functionalities of the IT system activated?</t>
  </si>
  <si>
    <t>Sind Speicherschutzmechanismen im Betriebssystem aktiviert?</t>
  </si>
  <si>
    <t>Are memory protection mechanisms in the operating system enabled?</t>
  </si>
  <si>
    <t>Sind die vorhandenen Sicherheitsfunktionen aktiviert?</t>
  </si>
  <si>
    <t>Wurden nicht benötigte Webserver-Funktionalitäten entfernt oder deaktiviert?</t>
  </si>
  <si>
    <t>Werden Mechanismen eingesetzt, die den Zugriff von Benutzern und Diensten auf kritische Ressourcen verhindern, die für den Betrieb des Webservers erforderlich sind?</t>
  </si>
  <si>
    <t>Werden Ressourcenschutzbeschränkungen angewendet?</t>
  </si>
  <si>
    <t>Are resource protection restrictions applied?</t>
  </si>
  <si>
    <t>Wird die Webserver-Konfiguration auf bekannte Schwachstellen hin überprüft und kontrolliert?</t>
  </si>
  <si>
    <t>Is the web server configuration reviewed and checked for common weaknesses?</t>
  </si>
  <si>
    <t>Ist die Anzahl der offenen Netzwerkports auf das notwendige Minimum reduziert?</t>
  </si>
  <si>
    <t>Is the number of open network ports reduced to the minimum necessary?</t>
  </si>
  <si>
    <t>Wurden nicht benötigen Diensten, Anwendungen oder Netzwerk-Protokolle entfernt oder deaktiviert?</t>
  </si>
  <si>
    <t>Are unnecessary Services, Applications or Network Protocols removed or disabled?</t>
  </si>
  <si>
    <t>Wird eine Lösung zum Schutz vor Schadsoftware eingesetzt?</t>
  </si>
  <si>
    <t>Is a malware protection solution in place?</t>
  </si>
  <si>
    <t>Ist die verwendete Lösung zum Schutz vor Malware vom Bosch Central Malware Protection Team freigegeben?</t>
  </si>
  <si>
    <t>Is the used malware protection solution approved by the Bosch Central Malware Protection team?</t>
  </si>
  <si>
    <t>Wird die verwendete Lösung zum Schutz vor Malware zentral verwaltet?</t>
  </si>
  <si>
    <t>Is the malware protection solution centrally managed?</t>
  </si>
  <si>
    <t>Werden die Sicherheitsereignisse der Lösung zum Schutz vor Malware zentral protokolliert?</t>
  </si>
  <si>
    <t>Are the security events of the malware protection solution centrally logged?</t>
  </si>
  <si>
    <t>Werden die Lösung zum Schutz vor Malware zeitnah und automatisch aktualisiert?</t>
  </si>
  <si>
    <t>Are the malware protection mechanisms timely and automatically updated?</t>
  </si>
  <si>
    <t>Werden regelmäßig Vollständige und Echtzeit-Scans durchgeführt?</t>
  </si>
  <si>
    <t>Are periodic full scans, and real-time scans conducted?</t>
  </si>
  <si>
    <t>Wenn es Scan-Ausnahmen gibt: Entsprechen die Scan-Ausnahmen der angegebenen Regelung?</t>
  </si>
  <si>
    <t>If scan exceptions exist: Do the scan exceptions meet the stated regulations?</t>
  </si>
  <si>
    <t>In case of a malware incident, is the malicious code blocked/quarantined?</t>
  </si>
  <si>
    <t>Werden die Protokolleinträge zu sicherheitsrelevanten Ereignissen an einen zentralen Protokollserver übertragen?</t>
  </si>
  <si>
    <t>Are the security event log records transferred to a central log server?</t>
  </si>
  <si>
    <t>Sind die Protokolleinträge zu sicherheitsrelevanten Ereignissen vor Manipulation, Löschung und unbefugter Offenlegung geschützt?</t>
  </si>
  <si>
    <t>Are the security event log records protected from manipulation, deletion and unauthorized disclosure?</t>
  </si>
  <si>
    <t>Ist sichergestellt, dass die Kapazität der Protokolldatenspeicherung für sicherheitsrelevante Ereignisse ausreicht?</t>
  </si>
  <si>
    <t>Is it ensured that the required security event log data storage capacity is sufficient?</t>
  </si>
  <si>
    <t>Ist die Aufbewahrungszeit der Protokolldaten entsprechend der erforderlichen Zeit konfiguriert?</t>
  </si>
  <si>
    <t>Is the log data retention time configured according to the required time?</t>
  </si>
  <si>
    <t>Sind die relevanten Informationen im Security Event Log gespeichert?</t>
  </si>
  <si>
    <t>Is the relevant information stored in the security event log?</t>
  </si>
  <si>
    <t>Wird beim Protokollieren von Ereignissen entweder UTC verwendet oder ist die Zeitzone im Security Event Log enthalten?</t>
  </si>
  <si>
    <t>Is UTC used or the timezone included in the security event log while logging events?</t>
  </si>
  <si>
    <t>Sind die Uhren mit einer vertrauenswürdigen Zeitquelle synchronisiert oder ist die Verwendung einer externen Zeitquelle dokumentiert?</t>
  </si>
  <si>
    <t>Are the clocks synchronised with a trusted time sources or is the use of an external time source documented?</t>
  </si>
  <si>
    <t>Können die Protokolldaten dem Bosch CERT zur Verfügung gestellt werden?</t>
  </si>
  <si>
    <t>Sind die C/IDS-Vorschriften für das Security Patch Management erfüllt?</t>
  </si>
  <si>
    <t>Ist sichergestellt, dass der Betreiber rechtzeitig über relevante Security-Patch-Informationen informiert wird?</t>
  </si>
  <si>
    <t>Is it ensured that the operator is informed about relevant security patch information in time?</t>
  </si>
  <si>
    <t>Werden die Sicherheitspatches ohne unnötige Verzögerung implementiert?</t>
  </si>
  <si>
    <t>Wird das Bosch CERT über Sicherheitspatches informiert, die nicht innerhalb des dokumentierten Zeitrahmens installiert werden können?</t>
  </si>
  <si>
    <t>Is Bosch CERT informed about security patches that can not be installed within the documented time frame?</t>
  </si>
  <si>
    <t>Stammt die installierte Software aus einer vertrauenswürdigen Quelle und ist die Quelle dokumentiert?</t>
  </si>
  <si>
    <t>Does the installed software originate from a trustworthy source and is the source documented?</t>
  </si>
  <si>
    <t>Sind die Quellen der installierten Software vertrauenswürdig?</t>
  </si>
  <si>
    <t>Are the sources of the installed software trustworthy?</t>
  </si>
  <si>
    <t>Sind die Quellen der installierten Software dokumentiert?</t>
  </si>
  <si>
    <t>Wird die ausgehende Netzwerkkommunikation durch einen sog. Applikation Layer Gateway Mechanismus kontrollieren?</t>
  </si>
  <si>
    <t>Is the outbound network communication controlled by an application layer gateway mechanism?</t>
  </si>
  <si>
    <t>Ist die Verwendung eines Application Layer Gateways für den Internetzugang implementiert?</t>
  </si>
  <si>
    <t>Is the use of an application layer gateway implemented to access the internet?</t>
  </si>
  <si>
    <t>Ermöglicht die Lösung des Application Layer Gateways die genaue Identifizierung des Benutzers?</t>
  </si>
  <si>
    <t>Ist der Internetzugang für den Server eingeschränkt auf seine IP-Adresse und die Ziel-URL?</t>
  </si>
  <si>
    <t>Werden Anfragen an nicht autorisierte Ressourcen blockiert?</t>
  </si>
  <si>
    <t>Are requests to unautorized resources blocked?</t>
  </si>
  <si>
    <t>Enthalten die Protokollsätze die Informationen über den anfragenden Benutzer und die Ziel-URL?</t>
  </si>
  <si>
    <t>Do the log records contain the information about the requesting user and the destination URL?</t>
  </si>
  <si>
    <t>Sind Maßnahmen getroffen worden, um nicht voll vertrauenswürdige IT-Systeme vom internen Bosch Corporate Network zu trennen?</t>
  </si>
  <si>
    <t>Sind die IT-Systeme oder Ressourcen in der DMZ und dem BCN physikalisch getrennt?</t>
  </si>
  <si>
    <t>Wenn die Netze von einer dritten Partei betrieben werden: Sind die Netzwerke vom BCN getrennt?</t>
  </si>
  <si>
    <t>Werden die zentralen IT-Systeme für das Management der IT-Infrastruktur in einer separaten Netzwerkzone betrieben?</t>
  </si>
  <si>
    <t>Sind unsichere IT-Systeme vom BCN getrennt?</t>
  </si>
  <si>
    <t>Are insecure IT systems separated from the BCN?</t>
  </si>
  <si>
    <t>Entspricht die Verkehrsflussrichtlinie des IT-Systems den bestehenden Regelungen?</t>
  </si>
  <si>
    <t>Does the traffic flow policy of the IT system comply with the existing regulations?</t>
  </si>
  <si>
    <t>Ist die Host-Firewall nach der "Deny - All Inbound"-Vorgabe mit einem Whitelisting-Ansatz konfiguriert?</t>
  </si>
  <si>
    <t>Is the host firewall configured according to a "Deny - All Inbound" policy using a whitelisting approach?</t>
  </si>
  <si>
    <t>Kann das verwendete Protokoll auf der Anwendungsschicht unabhängig von der Portnummer der Schicht 4 erkannt werden?</t>
  </si>
  <si>
    <t>Sind Network Intrusion Detection Systeme (NIDS) am Bosch-Netzwerkperimeter platziert und leiten sie Alarme an das BCDC weiter?</t>
  </si>
  <si>
    <t>Are Network Intrusion Detection Systems (NIDS) placed at the Bosch network perimeter and do they forward alerts to the BCDC?</t>
  </si>
  <si>
    <t>Wird die eingehende Netzwerkkommunikation am Bosch-Netzwerk-Perimeter aufgezeichnet?</t>
  </si>
  <si>
    <t>Wird der verschlüsselte Datentransfer am Bosch-Perimeter entschlüsselt, wo dies technisch möglich ist?</t>
  </si>
  <si>
    <t>Werden eingehende privilegierte Sitzungen am Bosch-Netzwerk-Perimeter aufgezeichnet?</t>
  </si>
  <si>
    <t>Werden eingehende privilegierte Sitzungen am Bosch-Netzwerkperimeter nach dem Prinzip der geringsten Funktionalität eingeschränkt?</t>
  </si>
  <si>
    <t>Ist ein DDoS-Schutz am Bosch Netzwerk Perimeter implementiert?</t>
  </si>
  <si>
    <t>Is a DDoS protection implemented at the Bosch network perimeter?</t>
  </si>
  <si>
    <t>Gibt es eine Schnittstelle zwischen dem Bosch CERT und den Aktivitäten der Notfall- und Kontinuitätsplanung des IT-Systems?</t>
  </si>
  <si>
    <t>Is there an interface between Bosch CERT and the contingency and continuity planning activities of the IT System?</t>
  </si>
  <si>
    <t>Gibt es einen benannten und dokumentierten Single Point of Contact der Business Unit für das Incident Management des IT-Systems?</t>
  </si>
  <si>
    <t>Is there a nominated and documented single point of contact from the business unit for incident management of the IT system?</t>
  </si>
  <si>
    <t>Werden Informationssicherheitsvorfälle angemessen und zeitnah an Bosch CERT gemeldet?</t>
  </si>
  <si>
    <t>Are information security incidents reported in appropriate and timely manner to Bosch CERT?</t>
  </si>
  <si>
    <t>Ist sich der Betreiber seiner Meldepflicht für Vorfälle der Informationssicherheit bewusst?</t>
  </si>
  <si>
    <t>Is the operator aware of his obligation to report information security incidents?</t>
  </si>
  <si>
    <t>Unterstützt der Betreiber das Bosch CERT während des gesamten Incident Response Lebenszyklus des IT-Systems?</t>
  </si>
  <si>
    <t>Werden die Erkenntnisse aus einem Vorfall der Informationssicherheit für das IT-System berücksichtigt?</t>
  </si>
  <si>
    <t>Are lessons learned from an information security incident considered for the IT system?</t>
  </si>
  <si>
    <t>Wenn das IT-System internetfähig ist oder SC-3-Daten verarbeitet: Wurde ein Penetrationstest durchgeführt?</t>
  </si>
  <si>
    <t>Werden regelmäßig Penetrationstests basierend auf dem Risiko des IT-Systems durchgeführt?</t>
  </si>
  <si>
    <t>Are penetration tests regularly conducted according to the risk of the IT system?</t>
  </si>
  <si>
    <t>Wurde der Penetrationstest von einer unabhängigen Partei durchgeführt?</t>
  </si>
  <si>
    <t>Wurde das Ergebnis des Penetrationstests dokumentiert und wurde der Bericht des Penetrationstests an das Bosch CERT und C/IDS gesendet?</t>
  </si>
  <si>
    <t>Was the result of the penetration test documented and was the penetration test report send to Bosch CERT and C/IDS?</t>
  </si>
  <si>
    <t>Wurden die kritischen und wesentlichen Feststellungen des Penetrationstests innerhalb eines angemessenen Zeitraums und entsprechend ihrer Priorisierung behoben?</t>
  </si>
  <si>
    <t>CD 07900 (C/IDS)</t>
  </si>
  <si>
    <t>CD 02900 (C/ISP)</t>
  </si>
  <si>
    <t>Please note that clicking OK will delete all data in the checklist!</t>
  </si>
  <si>
    <t xml:space="preserve">Signatures: </t>
  </si>
  <si>
    <t>At least once per year, IT systems operators verify compliance with the regulations defined in this central directive using the Further Applicable Document “Operator Self-Check” (CD 02900-021). The verification can also be carried out within the scope of an "Extended ISP Audit".</t>
  </si>
  <si>
    <t>Betreiber von IT-Systemen überprüfen mindestens jährlich die Einhaltung der in dieser ZA festgelegten Regelungen und Maßnahmen für IT-Systeme anhand des Mitgeltenden Dokumentes „Betreiber Selbstcheck“ (CD 02900-021). Die Überprüfung kann auch im Rahmen eines „Extended ISP Audits“ erfolgen.</t>
  </si>
  <si>
    <r>
      <t xml:space="preserve">Scoping </t>
    </r>
    <r>
      <rPr>
        <sz val="16"/>
        <rFont val="Calibri"/>
        <family val="2"/>
        <scheme val="minor"/>
      </rPr>
      <t>(</t>
    </r>
    <r>
      <rPr>
        <u/>
        <sz val="16"/>
        <color rgb="FF00B0F0"/>
        <rFont val="Calibri"/>
        <family val="2"/>
        <scheme val="minor"/>
      </rPr>
      <t>click here for further information and FAQ</t>
    </r>
    <r>
      <rPr>
        <sz val="16"/>
        <rFont val="Calibri"/>
        <family val="2"/>
        <scheme val="minor"/>
      </rPr>
      <t>)</t>
    </r>
  </si>
  <si>
    <t>Operator self check V1.1</t>
  </si>
  <si>
    <t>Comment</t>
  </si>
  <si>
    <t>Only</t>
  </si>
  <si>
    <t>Com. Application</t>
  </si>
  <si>
    <t>A.8.1. [1]</t>
  </si>
  <si>
    <t>Asset Management</t>
  </si>
  <si>
    <t>Verwaltung von Werten (Assets)</t>
  </si>
  <si>
    <t>A.8.1. [1] (1)</t>
  </si>
  <si>
    <t>Inventory of Assets</t>
  </si>
  <si>
    <t>Inventarisierung von Werten (Assets)</t>
  </si>
  <si>
    <t>A.8.1. [1] (2)</t>
  </si>
  <si>
    <t>Ownership of Assets</t>
  </si>
  <si>
    <t>Zuständigkeit für Werte (Assets)</t>
  </si>
  <si>
    <t>Beinhaltet der Prozess für die Außerbetriebnahme des IT-Systems die notwendigen Schritte zum Schutz, zur Zerstörung oder zum Widerruf der im IT-System gespeicherten Daten und Authentifizierungsgeheimnisse?</t>
  </si>
  <si>
    <t>A.8.1. [1] (3)</t>
  </si>
  <si>
    <t>Asset Decommissioning</t>
  </si>
  <si>
    <t>Außerbetriebnahme von Werten (Assets)</t>
  </si>
  <si>
    <t>A.9.1. [3]</t>
  </si>
  <si>
    <t>Identification and Authentication Policy for Access to Bosch Business Data from the Internet</t>
  </si>
  <si>
    <t>Richtlinie zur Identifikation und Authentifizierung für Zugriff auf Geschäftsunterlagen aus dem Internet</t>
  </si>
  <si>
    <t>Wird eine starke Authentifizierung für den Zugriff auf Bosch Geschäftsunterlagen aus dem Internet erzwungen?</t>
  </si>
  <si>
    <t>A.9.1. [3] (1)</t>
  </si>
  <si>
    <t>Access to Bosch Business Data from the Internet with Strong Authentication</t>
  </si>
  <si>
    <t>Zugriff auf Bosch Geschäftsunterlagen aus dem Internet mit starker Authentisierung</t>
  </si>
  <si>
    <t>A.9.1. [3] (2)</t>
  </si>
  <si>
    <t>Access to Bosch Business Data from the Internet for Bosch Employees Workplaces</t>
  </si>
  <si>
    <t>Zugriff auf Bosch Geschäftsunterlagen aus dem Internet für Bosch Mitarbeiter Arbeitsplätze</t>
  </si>
  <si>
    <t>A.9.1. [3] (3)</t>
  </si>
  <si>
    <t>Access from the Internet for Bosch Employee Communication and Employee Services</t>
  </si>
  <si>
    <t>Zugriff aus dem Internet für Mitarbeiter-Kommunikation und Mitarbeiter-Services</t>
  </si>
  <si>
    <t>Wird eine starke Authentifizierung für den Zugriff aus dem Internet auf Bosch-Geschäftsunterlagen für externe Dienstleister erzwungen?</t>
  </si>
  <si>
    <t>A.9.1. [3] (4)</t>
  </si>
  <si>
    <t>Access to Business Data from the Internet for External Service Providers</t>
  </si>
  <si>
    <t>Zugriff auf Bosch Geschäftsunterlagen aus dem Internet für externe Dienstleister</t>
  </si>
  <si>
    <t>A.9.1. [4]</t>
  </si>
  <si>
    <t>Access to Networks</t>
  </si>
  <si>
    <t>Zugriff auf Netze</t>
  </si>
  <si>
    <t>A.9.1. [4] (1)</t>
  </si>
  <si>
    <t>Authentication for Access to the Bosch Corporate Network via WLAN</t>
  </si>
  <si>
    <t>Authentisierung für WLAN Zugang zum Bosch Corporate Network</t>
  </si>
  <si>
    <t>A.9.1. [4] (2)</t>
  </si>
  <si>
    <t>Authentication for Standalone VPN Remote Access to the Bosch Corporate Network</t>
  </si>
  <si>
    <t>Authentisierung für Einzelplatz-VPN-Verbindungen ins Bosch Corporate Network</t>
  </si>
  <si>
    <t>A.9.1. [4] (3)</t>
  </si>
  <si>
    <t>Authentication at the First Gate</t>
  </si>
  <si>
    <t>Authentisierung am ersten Eingangstor</t>
  </si>
  <si>
    <t>A.9.2. [1]</t>
  </si>
  <si>
    <t>Management of User Identities</t>
  </si>
  <si>
    <t>Verwaltung von Benutzer-Identitäten</t>
  </si>
  <si>
    <t>Sind die Benutzerkonten zu einer eindeutigen Person oder eindeutigen verantwortlichen Stelle zugeordnet?</t>
  </si>
  <si>
    <t>Are the accounts traceable to a unique person or a unique responsible unit?</t>
  </si>
  <si>
    <t>A.9.2. [1] (1)</t>
  </si>
  <si>
    <t>Central User Management</t>
  </si>
  <si>
    <t>Zentrale Verwaltung von Benutzern</t>
  </si>
  <si>
    <t>Is the Bosch Corporate Directory (BCD; also known as "Bosch Single Sign-On") used for the authentication of Bosch employees and employees of external service providers?</t>
  </si>
  <si>
    <t>A.9.2. [1] (2)</t>
  </si>
  <si>
    <t>Usage of the Bosch Corporate Directory (Bosch Single Sign-On)</t>
  </si>
  <si>
    <t>Nutzung von Bosch Corporate Directory (Bosch Single Sign-On)</t>
  </si>
  <si>
    <t>Wird CIAM für die Authentisierung von B2C und B2B Kunden eingesetzt?</t>
  </si>
  <si>
    <t>Is CIAM used for the authentication of B2C and B2B customers?</t>
  </si>
  <si>
    <t>A.9.2. [1] (3)</t>
  </si>
  <si>
    <t>Usage of Customer Identity and Access Management (CIAM)</t>
  </si>
  <si>
    <t>Nutzung von Customer Identity und Access Management (CIAM)</t>
  </si>
  <si>
    <t>Sind die C/IDS-Anforderungen für gemeinsam genutzte und technische Konten erfüllt?</t>
  </si>
  <si>
    <t>Are the C/IDS regulations for shared and technical accounts fulfilled?</t>
  </si>
  <si>
    <t>A.9.2. [1] (4)</t>
  </si>
  <si>
    <t>Restrictions for Shared and Technical Accounts</t>
  </si>
  <si>
    <t>Beschränkungen für gemeinsam benutzte und technische Konten</t>
  </si>
  <si>
    <t>A.9.2. [2]</t>
  </si>
  <si>
    <t>Restriction and Control of Privileged Accounts</t>
  </si>
  <si>
    <t>Beschränkung und Überprüfung von privilegierten Konten</t>
  </si>
  <si>
    <t>A.9.2. [2] (1)</t>
  </si>
  <si>
    <t>Assignment of Privileged Access</t>
  </si>
  <si>
    <t>Zuweisung von privilegiertem Zugriff</t>
  </si>
  <si>
    <t>A.9.2. [2] (2)</t>
  </si>
  <si>
    <t>Separate Account for Privileged Access</t>
  </si>
  <si>
    <t>Separate Konten für privilegierten Zugriff</t>
  </si>
  <si>
    <t>A.9.2. [2] (3)</t>
  </si>
  <si>
    <t>Review of Privileged Accounts</t>
  </si>
  <si>
    <t>Überprüfung von privilegierten Konten</t>
  </si>
  <si>
    <t>A.9.2. [2] (4)</t>
  </si>
  <si>
    <t>Deletion of Privileged Roles and Temporary Privileges</t>
  </si>
  <si>
    <t>Löschung von privilegierten Rollen und temporären Privilegien</t>
  </si>
  <si>
    <t>A.9.2. [2] (5)</t>
  </si>
  <si>
    <t>Restrictions on the Use of Shared Privileged Accounts</t>
  </si>
  <si>
    <t>Beschränkungen bei der Verwendung von gemeinsam benutzten privilegierten Konten</t>
  </si>
  <si>
    <t>A.9.2. [2] (6)</t>
  </si>
  <si>
    <t>Restrictions on Reusing Privileged Account Passwords on Different IT Systems</t>
  </si>
  <si>
    <t>Einschränkungen bei der Wiederverwendung von Passwörtern privilegierter Konten auf verschiedenen IT-Systemen</t>
  </si>
  <si>
    <t>A.9.2. [2] (7)</t>
  </si>
  <si>
    <t>Using Privileged Accounts</t>
  </si>
  <si>
    <t>Benutzung privilegierter Konten</t>
  </si>
  <si>
    <t>A.9.2. [4]</t>
  </si>
  <si>
    <t>Accounts in the DMZ and ESZ</t>
  </si>
  <si>
    <t>Konten in der DMZ und ESZ</t>
  </si>
  <si>
    <t>A.9.2. [4] (1)</t>
  </si>
  <si>
    <t>Personal Accounts in the DMZ and ESZ</t>
  </si>
  <si>
    <t>Persönliche Konten in der DMZ und ESZ</t>
  </si>
  <si>
    <t>A.9.2. [4] (2)</t>
  </si>
  <si>
    <t>Pseudonymous Account Names in the DMZ and ESZ</t>
  </si>
  <si>
    <t>Pseudonymisierte Kontennamen in der DMZ und ESZ</t>
  </si>
  <si>
    <t>A.9.2. [4] (3)</t>
  </si>
  <si>
    <t>Shared and Technical Accounts in the DMZ and ESZ</t>
  </si>
  <si>
    <t>Gemeinsam benutzte Konten und technische Konten in der DMZ und ESZ</t>
  </si>
  <si>
    <t>Wird ein zentrales Identity Management System (IdM), welches von CI zur Verfügung gestellt wird, für das ordnungsgemäße Management von Zugriffsrechten verwendet?</t>
  </si>
  <si>
    <t>Is a central Identity Management system (IdM) provided by CI used for the compliant management of access rights?</t>
  </si>
  <si>
    <t>A.9.2. [6]</t>
  </si>
  <si>
    <t>Management of Access Rights</t>
  </si>
  <si>
    <t>Management von Zugriffsrechten</t>
  </si>
  <si>
    <t>A.9.2. [6] (1)</t>
  </si>
  <si>
    <t>Verwaltung von Zugriffsberechtigungen</t>
  </si>
  <si>
    <t>A.9.3. [1]</t>
  </si>
  <si>
    <t>Management of Authentication Secrets</t>
  </si>
  <si>
    <t>Verwaltung von Authentifizierungsgeheimnissen</t>
  </si>
  <si>
    <t>A.9.3. [1] (1)</t>
  </si>
  <si>
    <t>Password Rules</t>
  </si>
  <si>
    <t>Passwort-Regeln</t>
  </si>
  <si>
    <t>Wurde das Standardpasswort des Herstellers geändert?</t>
  </si>
  <si>
    <t>A.9.3. [1] (2)</t>
  </si>
  <si>
    <t>Changing Default Passwords</t>
  </si>
  <si>
    <t>Wechsel von Standard-Passwörtern</t>
  </si>
  <si>
    <t>A.9.3. [1] (3)</t>
  </si>
  <si>
    <t>Cryptographic Protection of Passwords during Transport</t>
  </si>
  <si>
    <t>Kryptografischer Schutz von Passwörtern während des Transports</t>
  </si>
  <si>
    <t>A.9.3. [1] (4)</t>
  </si>
  <si>
    <t>Cryptographic Protection of Passwords during Storage</t>
  </si>
  <si>
    <t>Kryptographischer Schutz von Passwörtern während der Speicherung</t>
  </si>
  <si>
    <t>A.9.3. [1] (6)</t>
  </si>
  <si>
    <t>Password Lifetime</t>
  </si>
  <si>
    <t>Passwort-Lebensdauer</t>
  </si>
  <si>
    <t>A.9.3. [1] (7)</t>
  </si>
  <si>
    <t>Password History</t>
  </si>
  <si>
    <t>Passwort-Historie</t>
  </si>
  <si>
    <t>A.9.3. [1] (8)</t>
  </si>
  <si>
    <t>PIN Code Rules</t>
  </si>
  <si>
    <t>Regeln für PIN-Codes</t>
  </si>
  <si>
    <t>Ist die Passwortlebensdauer für technische Konten gemäß den Vorgaben konfiguriert?</t>
  </si>
  <si>
    <t>Is the password lifetime for technical accounts configured according to the regulations?</t>
  </si>
  <si>
    <t>A.9.3. [1] (9)</t>
  </si>
  <si>
    <t>Password Lifetime for Technical Accounts</t>
  </si>
  <si>
    <t>Passwortlebensdauer für technische Konten</t>
  </si>
  <si>
    <t>Ist eine Passwortrichtlinie für Bosch Kundenkonten mit der erforderlichen Komplexität implementiert?</t>
  </si>
  <si>
    <t>Is a password policy for Bosch customer accounts with the required complexity implemented?</t>
  </si>
  <si>
    <t>A.9.3. [1] (10)</t>
  </si>
  <si>
    <t>Password Rules for Bosch Customer Accounts</t>
  </si>
  <si>
    <t>Passwort-Regeln für Bosch Kundenkonten</t>
  </si>
  <si>
    <t>Werden die C/IDS-Vorgaben für eine sichere Authentifizierung eingehalten?</t>
  </si>
  <si>
    <t>A.9.4. [1]</t>
  </si>
  <si>
    <t>Authentication Methods</t>
  </si>
  <si>
    <t>Authentifizierungsmethoden</t>
  </si>
  <si>
    <t>A.9.4. [1] (1)</t>
  </si>
  <si>
    <t>User Authentication</t>
  </si>
  <si>
    <t>Benutzer-Authentifizierung</t>
  </si>
  <si>
    <t>A.9.4. [1] (2)</t>
  </si>
  <si>
    <t>Authenticator Feedback</t>
  </si>
  <si>
    <t>Rückmeldung über Anmeldeversuche</t>
  </si>
  <si>
    <t>A.9.4. [1] (3)</t>
  </si>
  <si>
    <t>Error Handling</t>
  </si>
  <si>
    <t>Fehlerbehandlung</t>
  </si>
  <si>
    <t>A.9.4. [1] (4)</t>
  </si>
  <si>
    <t>Unsuccessful Logon Attempts</t>
  </si>
  <si>
    <t>Fehlgeschlagene Anmeldeversuche</t>
  </si>
  <si>
    <t>A.9.4. [1] (5)</t>
  </si>
  <si>
    <t>Previous Logon (Access) Notification</t>
  </si>
  <si>
    <t>Benachrichtigung über vorherige Anmeldeversuche</t>
  </si>
  <si>
    <t>Findet die Anmeldung auf dem IT-System automatisch statt (Single Sign-On), ohne dass der Benutzer seinen Benutzernamen und Passwort erneut eingeben muss? Sind die C/IDS-Anforderungen für solche Single Sign-On Authentifizierungen (token-basierte Authentifizierung) erfüllt?</t>
  </si>
  <si>
    <t>Is the login to the IT system done in an automated way (Single Sign-On) without prompting the user for his user name and password? Are the C/IDS requirements for such a Single Sign-On authentication (token-based authentication) fulfilled?</t>
  </si>
  <si>
    <t>A.9.4. [1] (6)</t>
  </si>
  <si>
    <t>Token-based Authentication</t>
  </si>
  <si>
    <t>Token-basierte Authentifizierung</t>
  </si>
  <si>
    <t>A.9.4. [1] (7)</t>
  </si>
  <si>
    <t>Authentication with Public Key Cryptography</t>
  </si>
  <si>
    <t>Authentifizierung mit Public-Key-Kryptografie</t>
  </si>
  <si>
    <t>A.9.4. [1] (8)</t>
  </si>
  <si>
    <t>Authentication with PIN Code</t>
  </si>
  <si>
    <t>Authentifizierung mit PIN-Code</t>
  </si>
  <si>
    <t>A.10.1.1. [1]</t>
  </si>
  <si>
    <t>Encrypted and Authenticated Communication</t>
  </si>
  <si>
    <t>Verschlüsselte und Authentifizierte Kommunikation</t>
  </si>
  <si>
    <t>A.10.1.1. [1] (1)</t>
  </si>
  <si>
    <t>Protection of C-SC2 or C-SC3 Data During Transmission</t>
  </si>
  <si>
    <t>Schutz von C-SC2- oder C-SC3-Daten während der Übertragung</t>
  </si>
  <si>
    <t>A.10.1.1. [1] (2)</t>
  </si>
  <si>
    <t>Protected communication over MANs, WANs, WLANs, VPNs or Cloud Data Networks</t>
  </si>
  <si>
    <t>Geschützte Kommunikation über MANs, WANs, WLANs, VPNs oder Cloud-Datennetze</t>
  </si>
  <si>
    <t>A.10.1.1. [1] (3)</t>
  </si>
  <si>
    <t>Secure Usage of TLS and DTLS</t>
  </si>
  <si>
    <t>Sichere Verwendung von TLS und DTLS</t>
  </si>
  <si>
    <t>A.10.1.1. [1] (4)</t>
  </si>
  <si>
    <t>TLS Parameter Logging</t>
  </si>
  <si>
    <t>Protokollierung der TLS-Parameter</t>
  </si>
  <si>
    <t>A.10.1.1. [1] (5)</t>
  </si>
  <si>
    <t>Protected Communication for Remote Administration</t>
  </si>
  <si>
    <t>Schutz der Kommunikation für die Fernverwaltung</t>
  </si>
  <si>
    <t>A.10.1.1. [2]</t>
  </si>
  <si>
    <t>Encryption and Signature of Data at Rest</t>
  </si>
  <si>
    <t>Verschlüsselung und Signatur von gespeicherten Daten</t>
  </si>
  <si>
    <t>A.10.1.1. [2] (2)</t>
  </si>
  <si>
    <t>Data Encryption</t>
  </si>
  <si>
    <t>Datenverschlüsselung</t>
  </si>
  <si>
    <t>A.10.1.1. [3]</t>
  </si>
  <si>
    <t>Cryptographic Algorithms and Key Lengths</t>
  </si>
  <si>
    <t>Kryptographische Algorithmen und Schlüssellängen</t>
  </si>
  <si>
    <t>A.10.1.1. [3] (1)</t>
  </si>
  <si>
    <t>Effectiveness of IT Security Measures</t>
  </si>
  <si>
    <t>Wirksamkeit von IT-Sicherheitsmaßnahmen</t>
  </si>
  <si>
    <t>A.10.1.1. [3] (2)</t>
  </si>
  <si>
    <t>Assessment of Interoperability vs. Best-In-Class</t>
  </si>
  <si>
    <t>Bewertung der Interoperabilität im Vergleich zu Best-In-Class</t>
  </si>
  <si>
    <t>A.10.1.1. [3] (3)</t>
  </si>
  <si>
    <t>Usage of Cryptographic Hash Algorithms</t>
  </si>
  <si>
    <t>Verwendung von kryptografischen Hash-Algorithmen</t>
  </si>
  <si>
    <t>A.10.1.1. [3] (4)</t>
  </si>
  <si>
    <t>Usage of Message Authentication Code (MAC) Algorithms</t>
  </si>
  <si>
    <t>Verwendung von Message Authentication Code (MAC) Algorithmen</t>
  </si>
  <si>
    <t>A.10.1.1. [3] (5)</t>
  </si>
  <si>
    <t>Usage of Asymmetric Algorithms</t>
  </si>
  <si>
    <t>Verwendung von asymmetrischen Algorithmen</t>
  </si>
  <si>
    <t>A.10.1.1. [3] (6)</t>
  </si>
  <si>
    <t>Usage of Symmetric Encryption Algorithms</t>
  </si>
  <si>
    <t>Verwendung von symmetrischen Verschlüsselungs-Algorithmen</t>
  </si>
  <si>
    <t>A.10.1.1. [3] (7)</t>
  </si>
  <si>
    <t>Usage of Password-based Key Derivation Functions</t>
  </si>
  <si>
    <t>Verwendung von Passwort-basierten Schlüsselableitungsfunktionen</t>
  </si>
  <si>
    <t>A.10.1.2. [6]</t>
  </si>
  <si>
    <t>Certificate Handling</t>
  </si>
  <si>
    <t>Handhabung von Zertifikaten</t>
  </si>
  <si>
    <t>A.10.1.2. [6] (1)</t>
  </si>
  <si>
    <t>Handling of Wildcard Certificates</t>
  </si>
  <si>
    <t>Handhabung von Wildcard-Zertifikaten</t>
  </si>
  <si>
    <t>A.10.1.2. [6] (2)</t>
  </si>
  <si>
    <t>Lifetime of Wildcard Certificates</t>
  </si>
  <si>
    <t>Laufzeit von Wildcard-Zertifikaten</t>
  </si>
  <si>
    <t>A.10.1.2. [6] (3)</t>
  </si>
  <si>
    <t>Handling of Self-Signed Certificates</t>
  </si>
  <si>
    <t>Handhabung von selbstsignierten Zertifikaten</t>
  </si>
  <si>
    <t>A.10.1.2. [7]</t>
  </si>
  <si>
    <t>Cryptographic Key Management</t>
  </si>
  <si>
    <t>Kryptografische Schlüsselverwaltung</t>
  </si>
  <si>
    <t>A.10.1.2. [7] (3)</t>
  </si>
  <si>
    <t>Standards for Token Storage</t>
  </si>
  <si>
    <t>Standards für die Token-Speicherung</t>
  </si>
  <si>
    <t>A.10.1.2. [7] (4)</t>
  </si>
  <si>
    <t>Standards for Pre-Shared Keys (PSK)</t>
  </si>
  <si>
    <t>Standards für Pre-Shared Keys (PSK)</t>
  </si>
  <si>
    <t>A.11.2. [1]</t>
  </si>
  <si>
    <t>Screen and Session Lock</t>
  </si>
  <si>
    <t>Bildschirm- und Session-Sperre</t>
  </si>
  <si>
    <t>A.11.2. [1] (1)</t>
  </si>
  <si>
    <t>Time Period</t>
  </si>
  <si>
    <t>Zeitraum</t>
  </si>
  <si>
    <t>A.11.2. [1] (2)</t>
  </si>
  <si>
    <t>Lock Retention</t>
  </si>
  <si>
    <t>Beibehaltung der Sperre</t>
  </si>
  <si>
    <t>A.12.1. [2]</t>
  </si>
  <si>
    <t>Principles of Secure Baseline Configuration</t>
  </si>
  <si>
    <t>Prinzipien der sicheren Basiskonfiguration</t>
  </si>
  <si>
    <t>A.12.1. [2] (2)</t>
  </si>
  <si>
    <t>Least Functionality</t>
  </si>
  <si>
    <t>Geringste Funktionalität</t>
  </si>
  <si>
    <t>Sind alle Standardsicherheitsfunktionalitäten entweder aktiviert oder dokumentiert, falls sie deaktivierten wurden?</t>
  </si>
  <si>
    <t>A.12.1. [2] (3)</t>
  </si>
  <si>
    <t>Built-in Security Functionalities</t>
  </si>
  <si>
    <t>Integrierte Sicherheitsfunktionalität</t>
  </si>
  <si>
    <t>A.12.1. [3]</t>
  </si>
  <si>
    <t>Secure Baseline Configuration of Servers</t>
  </si>
  <si>
    <t>Sichere Basiskonfiguration für Server</t>
  </si>
  <si>
    <t>A.12.1. [3] (1)</t>
  </si>
  <si>
    <t>Configuring Operating System User Access Control</t>
  </si>
  <si>
    <t>Konfiguration der Benutzer-Zugriffskontrolle des Betriebssystems</t>
  </si>
  <si>
    <t>A.12.1. [3] (2)</t>
  </si>
  <si>
    <t>Configuring of Resource Controls</t>
  </si>
  <si>
    <t>Konfiguration der Ressourcensteuerung</t>
  </si>
  <si>
    <t>A.12.1. [3] (3)</t>
  </si>
  <si>
    <t>A.12.1. [3] (4)</t>
  </si>
  <si>
    <t>Memory Protection in Operating Systems</t>
  </si>
  <si>
    <t>Speicherschutz in Betriebssystemen</t>
  </si>
  <si>
    <t>A.12.1. [4]</t>
  </si>
  <si>
    <t>Secure Baseline Configuration of Web Servers</t>
  </si>
  <si>
    <t>Sichere Basiskonfiguration von Webservern</t>
  </si>
  <si>
    <t>A.12.1. [4] (1)</t>
  </si>
  <si>
    <t>Vorhandene Sicherheitsfunktionalitäten</t>
  </si>
  <si>
    <t>A.12.1. [4] (2)</t>
  </si>
  <si>
    <t>Removal of Unnecessary Functionalities</t>
  </si>
  <si>
    <t>Entfernung unnötiger Funktionalitäten</t>
  </si>
  <si>
    <t>A.12.1. [4] (3)</t>
  </si>
  <si>
    <t>Web Server Access Restrictions</t>
  </si>
  <si>
    <t>Webserver Zugangsbeschränkungen</t>
  </si>
  <si>
    <t>A.12.1. [4] (4)</t>
  </si>
  <si>
    <t>Web Server Resource Protection</t>
  </si>
  <si>
    <t>Webserver Ressourcenschutz</t>
  </si>
  <si>
    <t>A.12.1. [4] (5)</t>
  </si>
  <si>
    <t>Avoidance of Common Configuration Weaknesses</t>
  </si>
  <si>
    <t>Vermeidung gängiger Konfigurationsschwächen</t>
  </si>
  <si>
    <t>A.12.1. [6]</t>
  </si>
  <si>
    <t>Minimale Funktionalität</t>
  </si>
  <si>
    <t>A.12.1. [6] (2)</t>
  </si>
  <si>
    <t>Reduce the Number of Open Network Ports</t>
  </si>
  <si>
    <t>Reduzierung der Anzahl der offenen Netzwerk-Ports</t>
  </si>
  <si>
    <t>A.12.1. [6] (3)</t>
  </si>
  <si>
    <t>Removing or Disabling Unnecessary Services, Applications or Network Protocols</t>
  </si>
  <si>
    <t>Entfernen oder Deaktivieren von nicht benötigen Diensten, Anwendungen oder Netzwerk-Protokollen</t>
  </si>
  <si>
    <t>A.12.1. [7]</t>
  </si>
  <si>
    <t>Secure Baseline Configuration of Commercial IT Applications</t>
  </si>
  <si>
    <t>Sichere Basiskonfiguration kaufmännischer IT Applikationen</t>
  </si>
  <si>
    <t>Sind die Zugriffsrechte auf dem IT-System auf den bestimmten Zweck beschränkt?</t>
  </si>
  <si>
    <t>Are the privileges of the IT system limited to the required purpose?</t>
  </si>
  <si>
    <t>A.12.1. [7] (1)</t>
  </si>
  <si>
    <t>Least Privilege</t>
  </si>
  <si>
    <t>Geringste Privilegien</t>
  </si>
  <si>
    <t>A.12.1. [7] (2)</t>
  </si>
  <si>
    <t>A.12.1. [7] (3)</t>
  </si>
  <si>
    <t>Sind alle Produktiv-, Entwicklungs- und Testsystem voneinander getrennt? Sind alle Prozesse mit Bezug zu Transporten, Systemmigrationen oder Systemänderungen dokumentiert, sicher implementiert und entsprechend kontrolliert?</t>
  </si>
  <si>
    <t>Are all production, development and test systems separated? Are all processes related to transports, system migrations or system changes documented, securely implemented and controlled?</t>
  </si>
  <si>
    <t>A.12.1. [7] (4)</t>
  </si>
  <si>
    <t>Changes and Transports</t>
  </si>
  <si>
    <t>Änderungen und Transporte</t>
  </si>
  <si>
    <t>Existieren ergänzende Sicherheitsanforderungen oder Prozessvorgaben seitens des Betreibers? Falls ja, sind diese entsprechend dokumentiert, aktuell und kontrolliert?</t>
  </si>
  <si>
    <t>Are there enhanced security or process requirements of the operator available? If yes, are they documented, up-to-date and reviewed?</t>
  </si>
  <si>
    <t>A.12.1. [7] (5)</t>
  </si>
  <si>
    <t>Enhanced Security Requirements</t>
  </si>
  <si>
    <t>Ergänzende Sicherheitsanforderungen</t>
  </si>
  <si>
    <t>A.12.2. [1]</t>
  </si>
  <si>
    <t>Malware Protection</t>
  </si>
  <si>
    <t>Schutz vor Schadsoftware</t>
  </si>
  <si>
    <t>A.12.2. [1] (1)</t>
  </si>
  <si>
    <t>Usage of Malware Protection Solutions</t>
  </si>
  <si>
    <t>Verwendung von Lösungen zum Schutz vor Schadsoftware</t>
  </si>
  <si>
    <t>A.12.2. [1] (2)</t>
  </si>
  <si>
    <t>Approved Malware Protection Solutions</t>
  </si>
  <si>
    <t>Zugelassene Lösungen zum Schutz vor Schadsoftware</t>
  </si>
  <si>
    <t>A.12.2. [1] (3)</t>
  </si>
  <si>
    <t>Central Management</t>
  </si>
  <si>
    <t>Zentrale Verwaltung</t>
  </si>
  <si>
    <t>A.12.2. [1] (4)</t>
  </si>
  <si>
    <t>Central Logging of Security Events</t>
  </si>
  <si>
    <t>Zentrale Speicherung von Sicherheitsereignissen</t>
  </si>
  <si>
    <t>A.12.2. [1] (5)</t>
  </si>
  <si>
    <t>Automatic Updates and Update Deployment</t>
  </si>
  <si>
    <t>Automatische Aktualisierung und Verteilung von Aktualisierungen</t>
  </si>
  <si>
    <t>A.12.2. [1] (6)</t>
  </si>
  <si>
    <t>Scan Methods</t>
  </si>
  <si>
    <t>Scan-Methoden</t>
  </si>
  <si>
    <t>A.12.2. [1] (7)</t>
  </si>
  <si>
    <t>Scan Exceptions</t>
  </si>
  <si>
    <t>Scan-Ausnahmen</t>
  </si>
  <si>
    <t>Wird im Falle eines Malware-Vorfalls der bösartige Code blockiert bzw. in Quarantäne verschoben?</t>
  </si>
  <si>
    <t>A.12.2. [1] (8)</t>
  </si>
  <si>
    <t>Malware Incident Handling</t>
  </si>
  <si>
    <t>Umgang mit Schadsoftware-Vorfällen</t>
  </si>
  <si>
    <t>A.12.4. [1]</t>
  </si>
  <si>
    <t>Security Event Logging</t>
  </si>
  <si>
    <t>Protokollierung von Sicherheitsereignissen</t>
  </si>
  <si>
    <t>A.12.4. [1] (1)</t>
  </si>
  <si>
    <t>Transfer Log Records to Central Log Server</t>
  </si>
  <si>
    <t>Übermittlung der Protokolleinträge an einen zentralen Protokoll-Server</t>
  </si>
  <si>
    <t>Besitzt der zentrale Protokollserver eine Schnittstelle zum SIEM des BCDC?</t>
  </si>
  <si>
    <t>Does the central log server provide an interface to the SIEM of the BCDC?</t>
  </si>
  <si>
    <t>A.12.4. [1] (2)</t>
  </si>
  <si>
    <t>Interface to the SIEM</t>
  </si>
  <si>
    <t>Schnittstelle zum SIEM</t>
  </si>
  <si>
    <t>A.12.4. [1] (3)</t>
  </si>
  <si>
    <t>Protection of Log Data</t>
  </si>
  <si>
    <t>Schutz der Protokolldaten</t>
  </si>
  <si>
    <t>A.12.4. [1] (4)</t>
  </si>
  <si>
    <t>Log Data Storage Capacity</t>
  </si>
  <si>
    <t>Kapazität für die Speicherung der Protokolleinträge</t>
  </si>
  <si>
    <t>A.12.4. [1] (5)</t>
  </si>
  <si>
    <t>Log Data Retention</t>
  </si>
  <si>
    <t>Aufbewahrungsdauer für Protokolleinträge</t>
  </si>
  <si>
    <t>A.12.4. [1] (6)</t>
  </si>
  <si>
    <t>Content of Log Records</t>
  </si>
  <si>
    <t>Inhalt der Protokoll-Einträge</t>
  </si>
  <si>
    <t>A.12.4. [1] (7)</t>
  </si>
  <si>
    <t>Timestamps</t>
  </si>
  <si>
    <t>Zeitstempel</t>
  </si>
  <si>
    <t>A.12.4. [1] (8)</t>
  </si>
  <si>
    <t>Clock Synchronization</t>
  </si>
  <si>
    <t>Uhrensynchronisation</t>
  </si>
  <si>
    <t>A.12.4. [1] (9)</t>
  </si>
  <si>
    <t>Incident Response</t>
  </si>
  <si>
    <t>Reaktion auf Sicherheitsvorfälle</t>
  </si>
  <si>
    <t>A.12.6.1. [1]</t>
  </si>
  <si>
    <t>Security Patch Management</t>
  </si>
  <si>
    <t>Sicherheits-Patch Management</t>
  </si>
  <si>
    <t>A.12.6.1. [1] (1)</t>
  </si>
  <si>
    <t>Availability of Security Patches</t>
  </si>
  <si>
    <t>Verfügbarkeit von Sicherheits-Patches</t>
  </si>
  <si>
    <t>A.12.6.1. [1] (2)</t>
  </si>
  <si>
    <t>Information about Relevant Security Patches</t>
  </si>
  <si>
    <t>Information über relevante Sicherheits-Patches</t>
  </si>
  <si>
    <t>A.12.6.1. [1] (3)</t>
  </si>
  <si>
    <t>Time Frame for Implementation</t>
  </si>
  <si>
    <t>Zeitraum für die Implementierung</t>
  </si>
  <si>
    <t>A.12.6.1. [1] (4)</t>
  </si>
  <si>
    <t>Non-Compliance</t>
  </si>
  <si>
    <t>Abweichungen</t>
  </si>
  <si>
    <t>A.12.6.2. [2]</t>
  </si>
  <si>
    <t>Software Installation</t>
  </si>
  <si>
    <t>Installation von Software</t>
  </si>
  <si>
    <t>A.12.6.2. [2] (2)</t>
  </si>
  <si>
    <t>Installation from Trustworthy Sources</t>
  </si>
  <si>
    <t>Installation aus vertrauenswürdigen Quellen</t>
  </si>
  <si>
    <t>A.12.6.2. [2] (3)</t>
  </si>
  <si>
    <t>Documentation of Installed Software</t>
  </si>
  <si>
    <t>Dokumentation der installierten Software</t>
  </si>
  <si>
    <t>A.13.1. [3]</t>
  </si>
  <si>
    <t>Internet Access via Application Layer Gateways</t>
  </si>
  <si>
    <t>Internet Zugang via Gateways auf der Anwendungsschicht</t>
  </si>
  <si>
    <t>A.13.1. [3] (1)</t>
  </si>
  <si>
    <t>Use of Application Layer Gateways</t>
  </si>
  <si>
    <t>Einsatz von Gateways auf der Anwendungsschicht</t>
  </si>
  <si>
    <t>A.13.1. [3] (2)</t>
  </si>
  <si>
    <t>User Identification and Authentication</t>
  </si>
  <si>
    <t>Identifikation und Authentisierung von Benutzern</t>
  </si>
  <si>
    <t>A.13.1. [3] (3)</t>
  </si>
  <si>
    <t>Proxy for Servers</t>
  </si>
  <si>
    <t>Proxy für Server</t>
  </si>
  <si>
    <t>A.13.1. [3] (4)</t>
  </si>
  <si>
    <t>Blocking of Requests to Unauthorized Resources</t>
  </si>
  <si>
    <t>Blockieren von Anfragen an unautorisierte Ressourcen</t>
  </si>
  <si>
    <t>A.13.1. [3] (5)</t>
  </si>
  <si>
    <t>Logging</t>
  </si>
  <si>
    <t>Protokollierung</t>
  </si>
  <si>
    <t>Werden die Regeln für den Internet-Zugriff mindestens alle 24 Monate geprüft, und werden unnötige Regeln entfernt?</t>
  </si>
  <si>
    <t>Are the rules for Internet access regularly reviewed - at least every 24 months - and unused rules removed??</t>
  </si>
  <si>
    <t>A.13.1. [3] (6)</t>
  </si>
  <si>
    <t>Internet Access Rule Lifecycle</t>
  </si>
  <si>
    <t>Lebenszyklus der Regeln für Zugriff auf das Internet</t>
  </si>
  <si>
    <t>A.13.1. [5]</t>
  </si>
  <si>
    <t>Segregation in Networks</t>
  </si>
  <si>
    <t>Trennung in Netzwerken</t>
  </si>
  <si>
    <t>A.13.1. [5] (1)</t>
  </si>
  <si>
    <t>Separation for Network Trust Boundaries</t>
  </si>
  <si>
    <t>Trennung bei Netzwerkvertrauensgrenzen</t>
  </si>
  <si>
    <t>A.13.1. [5] (2)</t>
  </si>
  <si>
    <t>Physical Separation between the DMZ, ESZ and the BCN</t>
  </si>
  <si>
    <t>Physische Trennung zwischen DMZ, ESZ und BCN</t>
  </si>
  <si>
    <t>Wenn die OE ihr eigenes Netzwerk betreibt: Ist die Kommunikation sowohl mit dem BCN als auch mit dem Internet jeweils durch eine Firewall getrennt?</t>
  </si>
  <si>
    <t>If the OE operates its own network: Is the communication with the BCN and with the internet separated by a firewall?</t>
  </si>
  <si>
    <t>A.13.1. [5] (3)</t>
  </si>
  <si>
    <t>Networks for OEs of the Bosch Group</t>
  </si>
  <si>
    <t>Netze von Organisationseinheiten der Bosch Gruppe</t>
  </si>
  <si>
    <t>A.13.1. [5] (4)</t>
  </si>
  <si>
    <t>Separation of Third Party Networks and Third Party Devices</t>
  </si>
  <si>
    <t>Trennung von Geräten und Netzen dritter Parteien</t>
  </si>
  <si>
    <t>Are critical IT systems (e.g., IT systems storing or processing C-SC3 or I-SC3 data, or IT systems for building automation) hosted in separate network zones?</t>
  </si>
  <si>
    <t>A.13.1. [5] (6)</t>
  </si>
  <si>
    <t>Separate Network Zones for Critical IT Systems and Critical Data</t>
  </si>
  <si>
    <t>Getrennte Netzwerkzonen für kritische IT-Systeme und kritische Daten</t>
  </si>
  <si>
    <t>A.13.1. [5] (7)</t>
  </si>
  <si>
    <t>Separate Network Zones for IT Management</t>
  </si>
  <si>
    <t>Getrennte Netzwerkzonen für IT Management</t>
  </si>
  <si>
    <t>A.13.1. [5] (8)</t>
  </si>
  <si>
    <t>Separate Network Zones for Insecure IT Systems</t>
  </si>
  <si>
    <t>Getrennte Netzwerkzonen für unsichere IT-Systeme</t>
  </si>
  <si>
    <t>A.13.1. [5] (9)</t>
  </si>
  <si>
    <t>Network Traffic Flow Policy</t>
  </si>
  <si>
    <t>Richtlinie für den Netzwerkverkehrsfluss</t>
  </si>
  <si>
    <t>Werden die Firewall-Regeln mindestens alle 24 Monate geprüft und unnötige Regeln entfernt?</t>
  </si>
  <si>
    <t>Are the firewall rules regularly reviewed (at least every 24 months) and unused firewall rules removed?</t>
  </si>
  <si>
    <t>A.13.1. [5] (10)</t>
  </si>
  <si>
    <t>Firewall Rule Lifecycle</t>
  </si>
  <si>
    <t>Lebenszyklus der Firewall-Regeln</t>
  </si>
  <si>
    <t>A.13.1. [8]</t>
  </si>
  <si>
    <t>Host Firewall</t>
  </si>
  <si>
    <t>A.13.1. [8] (1)</t>
  </si>
  <si>
    <t>Default Policy</t>
  </si>
  <si>
    <t>Standard-Richtlinie</t>
  </si>
  <si>
    <t>A.13.1. [12]</t>
  </si>
  <si>
    <t>Network Security Monitoring</t>
  </si>
  <si>
    <t>Überwachung der Netzsicherheit</t>
  </si>
  <si>
    <t>A.13.1. [12] (1)</t>
  </si>
  <si>
    <t>Inspection of Application Layer Traffic</t>
  </si>
  <si>
    <t>Inhaltsprüfung des Verkehrs auf der Anwendungsschicht</t>
  </si>
  <si>
    <t>A.13.1. [12] (2)</t>
  </si>
  <si>
    <t>Network Intrusion Detection System (NIDS)</t>
  </si>
  <si>
    <t>Netzwerk Intrusion Detection Systeme (NIDS)</t>
  </si>
  <si>
    <t>A.13.1. [12] (3)</t>
  </si>
  <si>
    <t>Full Packet Capture</t>
  </si>
  <si>
    <t>Vollständige Paketerfassung</t>
  </si>
  <si>
    <t>A.13.1. [12] (4)</t>
  </si>
  <si>
    <t>Processing encrypted traffic</t>
  </si>
  <si>
    <t>Verarbeitung von verschlüsseltem Verkehr</t>
  </si>
  <si>
    <t>A.13.1. [12] (5)</t>
  </si>
  <si>
    <t>Session Monitoring</t>
  </si>
  <si>
    <t>Sitzungsüberwachung</t>
  </si>
  <si>
    <t>A.13.1. [12] (6)</t>
  </si>
  <si>
    <t>Session Policy Enforcement</t>
  </si>
  <si>
    <t>Durchsetzung von Sitzungsrichtlinien</t>
  </si>
  <si>
    <t>A.13.1. [15]</t>
  </si>
  <si>
    <t>Denial of Service (DoS) Protection</t>
  </si>
  <si>
    <t>Schutz gegen Denial of Service (DoS) Angriffe</t>
  </si>
  <si>
    <t>A.13.1. [15] (1)</t>
  </si>
  <si>
    <t>A.13.2.1</t>
  </si>
  <si>
    <t>Gibt es eine zentrale Management-Datenbank, in der die Schnittstellen des IT-Systems dokumentiert sind?</t>
  </si>
  <si>
    <t>Is there a central management database where the interfaces of the IT system are documented?</t>
  </si>
  <si>
    <t>A.13.2. [3]</t>
  </si>
  <si>
    <t>Interface Management</t>
  </si>
  <si>
    <t>Verwaltung von Schnittstellen</t>
  </si>
  <si>
    <t>Gibt es eine zentrale Management-Datenbank, in der die Schnittstellen des IT-Systems und der Zweck (Beschreibung), Sender (Interface Provider), Empfänger (Interface Customer) und die übertragenen Datenobjekte dokumentiert sind?</t>
  </si>
  <si>
    <t>Is there a central management database where the interfaces of the IT system and the respective description (purpose), Interface Provider, Interface Consumers and transferred data objects are documented?</t>
  </si>
  <si>
    <t>A.13.2. [3] (1)</t>
  </si>
  <si>
    <t>Inventory of Interfaces</t>
  </si>
  <si>
    <t>Inventarisierung von Schnittstellen</t>
  </si>
  <si>
    <t>Ist der Verantwortliche für die Schnittstellen in der zentralen Management-Datenbank dokumentiert?</t>
  </si>
  <si>
    <t>Is the responsible of the interfaces documented in the central management database?</t>
  </si>
  <si>
    <t>A.13.2. [3] (2)</t>
  </si>
  <si>
    <t>Ownership of Interfaces</t>
  </si>
  <si>
    <t>Zuständigkeit für Schnittstellen</t>
  </si>
  <si>
    <t>Beinhaltet der Prozess für die Außerbetriebnahme der Schnittstellen die notwendigen Schritte zum Schutz, zur Zerstörung oder zum Widerruf der Schnittstellen sowie der im IT-System gespeicherten Daten und Authentifizierungsgeheimnisse und wird die Außerbetriebnahme der Schnittstellen entsprechend dokumentiert?</t>
  </si>
  <si>
    <t>Does the decomissioning process for the interfaces include the necessary steps for protecting, destroying or revoking the communication channel and authentication secrets stored on the IT system as well as the documentation of the interface deletion?</t>
  </si>
  <si>
    <t>A.13.2. [3] (3)</t>
  </si>
  <si>
    <t>Interface Decommissioning</t>
  </si>
  <si>
    <t>Außerbetriebnahme von Schnittstellen</t>
  </si>
  <si>
    <t>A.16.1. [1]</t>
  </si>
  <si>
    <t>Incident Preparation</t>
  </si>
  <si>
    <t>Vorbereitende Maßnahmen für Sicherheitsvorfälle</t>
  </si>
  <si>
    <t>Wurde der Cyber Security Incident Response Plan (IRP) im Falle eines Informationssicherheitsvorfalles eingehalten?</t>
  </si>
  <si>
    <t>Has the Cyber Security Incident Response Plan (IRP) been followed in case of an information security incident?</t>
  </si>
  <si>
    <t>A.16.1. [1] (1)</t>
  </si>
  <si>
    <t>Information Security Incident Response Plan</t>
  </si>
  <si>
    <t>Reaktionsplan für Informationssicherheitsvorfälle</t>
  </si>
  <si>
    <t>A.16.1. [1] (2)</t>
  </si>
  <si>
    <t>Preparation Activities</t>
  </si>
  <si>
    <t>Aktivitäten zu Vorbereitung</t>
  </si>
  <si>
    <t>A.16.1. [1] (3)</t>
  </si>
  <si>
    <t>Single Point of Contact</t>
  </si>
  <si>
    <t>Zentraler Ansprechpartner</t>
  </si>
  <si>
    <t>A.16.1. [2]</t>
  </si>
  <si>
    <t>Incident Reporting</t>
  </si>
  <si>
    <t>Meldung von Sicherheitsvorfällen</t>
  </si>
  <si>
    <t>A.16.1. [2] (1)</t>
  </si>
  <si>
    <t>A.16.1. [2] (2)</t>
  </si>
  <si>
    <t>Obligation to Report to Third Parties</t>
  </si>
  <si>
    <t>Meldepflicht gegenüber Dritten</t>
  </si>
  <si>
    <t>A.16.1. [3]</t>
  </si>
  <si>
    <t>Does the operator assist Bosch CERT during the complete incident response lifecycle of the IT system?</t>
  </si>
  <si>
    <t>A.16.1. [3] (1)</t>
  </si>
  <si>
    <t>Support to Bosch CERT</t>
  </si>
  <si>
    <t>Unterstützung des Bosch CERT</t>
  </si>
  <si>
    <t>Wurden im Falle einer festgestellten Kompromitierung des IT-Systems alle weiteren am IT-System durchgeführten Schritte mit dem Bosch CERT abgestimmt?</t>
  </si>
  <si>
    <t>Were all performed actions on the IT aligned with Bosch CERT in case of a confirmed compromise of the IT system?</t>
  </si>
  <si>
    <t>A.16.1. [3] (2)</t>
  </si>
  <si>
    <t>Behaviour for Suspected or Confirmed Compromise</t>
  </si>
  <si>
    <t>Verhalten bei einer vermuteten oder bestätigten Kompromittierung</t>
  </si>
  <si>
    <t>A.16.1. [4]</t>
  </si>
  <si>
    <t>Lessons Learned from Information Security Incidents</t>
  </si>
  <si>
    <t>Aus Sicherheitsvorfällen gewonnene Erkenntnisse</t>
  </si>
  <si>
    <t>A.16.1. [4] (1)</t>
  </si>
  <si>
    <t>Lessons Learned Integration</t>
  </si>
  <si>
    <t>Integration gewonnener Erkenntnisse</t>
  </si>
  <si>
    <t>A.18.2. [1]</t>
  </si>
  <si>
    <t>Penetration Testing</t>
  </si>
  <si>
    <t>Penetrationstests</t>
  </si>
  <si>
    <t>A.18.2. [1] (1)</t>
  </si>
  <si>
    <t>Initial Penetration Tests</t>
  </si>
  <si>
    <t>Initiale Penetrationstests</t>
  </si>
  <si>
    <t>A.18.2. [1] (2)</t>
  </si>
  <si>
    <t>Penetration Testing Frequency</t>
  </si>
  <si>
    <t>Häufigkeit von Penetrationstests</t>
  </si>
  <si>
    <t>A.18.2. [1] (3)</t>
  </si>
  <si>
    <t>Independent Penetration Agent or Team</t>
  </si>
  <si>
    <t>Unabhängiger Penetrationstester oder -Team</t>
  </si>
  <si>
    <t>A.18.2. [1] (4)</t>
  </si>
  <si>
    <t>Penetration Testing Results</t>
  </si>
  <si>
    <t>Ergebnisse der Penetrationstests</t>
  </si>
  <si>
    <t>A.18.2. [1] (5)</t>
  </si>
  <si>
    <t>Remediation</t>
  </si>
  <si>
    <t>Behebung</t>
  </si>
  <si>
    <t>A.18.2. [3]</t>
  </si>
  <si>
    <t>Technical Compliance Review</t>
  </si>
  <si>
    <t>Technische Konformitätsprüfung</t>
  </si>
  <si>
    <t>A.18.2. [3] (1)</t>
  </si>
  <si>
    <t>Compliance Verification</t>
  </si>
  <si>
    <t>Konformitätsprüfung</t>
  </si>
  <si>
    <t>Ergebnis</t>
  </si>
  <si>
    <r>
      <t xml:space="preserve">Checklist for self-check </t>
    </r>
    <r>
      <rPr>
        <sz val="16"/>
        <rFont val="Calibri"/>
        <family val="2"/>
        <scheme val="minor"/>
      </rPr>
      <t/>
    </r>
  </si>
  <si>
    <t>(click here for further information and FAQ)</t>
  </si>
  <si>
    <r>
      <t xml:space="preserve">Checklist for Extended ISP-Audit </t>
    </r>
    <r>
      <rPr>
        <sz val="16"/>
        <rFont val="Calibri"/>
        <family val="2"/>
        <scheme val="minor"/>
      </rPr>
      <t/>
    </r>
  </si>
  <si>
    <t>Hat der Betreiber offengelegt, für welche Schutzklassen das IT-System eingesetzt werden kann?</t>
  </si>
  <si>
    <t>Werden für Benutzerzugänge zu IT-Systemen eindeutige Benutzerkennungen (digitale Bosch-Identitäten, dBI) verwendet?</t>
  </si>
  <si>
    <t>Sind die IT-Systeme entsprechend den Anforderungen an die Verfügbarkeit der Daten konzipiert?</t>
  </si>
  <si>
    <t>Werden die an der Informationsverarbeitung beteiligten IT-Systeme regelmäßig auf Einhaltung der Sicherheitsvorgaben überprüft? Findet ein jährlicher Selbstcheck statt?</t>
  </si>
  <si>
    <t>Existiert ein Härtungskonzept und werden die zugehörigen C/ISP und C/IDS-Vorgaben erfüllt?</t>
  </si>
  <si>
    <t>Sind dem Cloud-Kunden die kritischen Cloud-Funktionen (z.B. Löschen von virtuellen Servern)  bekannt und sind diese dokumentiert?</t>
  </si>
  <si>
    <t>Falls das System durch externe Dienstleister betrieben wird: Wurde die Umsetzung der Sicherheitsanforderungen bei dem Dienstleister geprüft (z.B. anhand von Audits oder Nachweis durch Zertifizierungen)?</t>
  </si>
  <si>
    <t>If the system is operated by external service providers: Has the implementation of the security requirements been checked at the service provider (e.g. by means of audits or certification)?</t>
  </si>
  <si>
    <t xml:space="preserve">Zwischen Cloud-Anbieter und Cloud-Kunden müssen zugeordnete Verantwortlichkeiten, Mitwirkungspflichten sowie die Schnittstellen zum Melden von Sicherheitsvorfällen und Störungen in Abhängigkeit des Cloud-Modells (Infrastructure-, Plattform- oder Software-as-a-Service) definiert, dokumentiert (z. B. in einem Betriebskonzept), zugewiesen und an alle betroffenen Parteien (Cloud-Anbieter, Cloud-Kunde) kommuniziert werden. </t>
  </si>
  <si>
    <t>English</t>
  </si>
  <si>
    <t>Existiert ein aktuelles Betriebshandbuch in dem sicherheitsrelevante Betriebsprozesse (Systembeschreibung, Schnittstellen, Verantwortlichkeiten, installierten Software, Systemaktualisierung Patchmanagement, Berechtigunsmanagement AIM) beschrieben sind?</t>
  </si>
  <si>
    <t>Does a current operating manual exist where security-relevant operating processes (System description, interfaces, responsibilities,  installed software, system update - patch management, authorization management - e.g. reference to AIM documentation, backup and recovery procedures, emergency procedures) are documented?</t>
  </si>
  <si>
    <t>Is the cloud customer aware about its security responsibilities when using the cloud service (e.g., for secure configuration and operation of the cloud solution)?</t>
  </si>
  <si>
    <t>Werden Zertifikatsdienstleistungen für die Verschlüsselung in produktiven IT-Systemen über RB-TrustCenter bezogen?</t>
  </si>
  <si>
    <t>Wird Bosch Single Sign-On für die Authentisierung von Bosch-Mitarbeitern und (falls vorhanden) CIAM für die Authentisierung von Kunden verwendet?</t>
  </si>
  <si>
    <t>Is Bosch Single Sign-On used for the authentication of Bosch employees and (if available) CIAM for the authentication of customers?</t>
  </si>
  <si>
    <t>Wird das Bosch Corporate Directory (auch unter "Bosch Single Sign-On" bekannt) für die Authentifizierung von Bosch-Mitarbeitern und Mitarbeitern von externen Dienstleistern verwendet?</t>
  </si>
  <si>
    <t>Werden die Konten-Namen und IDs gemäß der C/IDS-Vorgaben verwaltet?</t>
  </si>
  <si>
    <t>Wird ein zentral von CI zur Verfügung gestelltes Identity Management System (IdM) für das ordnungsgemäße Management von Zugriffsrechten verwendet?</t>
  </si>
  <si>
    <t>Are the authentication secrets (e.g., passwords) managed according to the regulations?</t>
  </si>
  <si>
    <t>Are the C/IDS requirements for secure authentication fulfilled?</t>
  </si>
  <si>
    <t>Entsprechen die vom IT-System verwendeten kryptographischen Algorithmen und Schlüssellängen den C/IDS-Vorgaben?</t>
  </si>
  <si>
    <t>Are the used keys (e.g., pre-shared keys) and certificates changed on a regular basis?</t>
  </si>
  <si>
    <t>Werden kritische IT-Systeme (z.B. IT-Systeme, die C-SC3- oder I-SC3-Daten speichern oder verarbeiten, oder IT-Systeme zur Gebäude-Automation) in separaten Netzwerkzonen betrieben?</t>
  </si>
  <si>
    <t>Werden Sicherheitslücken gemäß Bosch-Vorgaben und Fristen behoben (z.B. durch das Einspielen von Patches und Systemupdates) oder ist das System über Netztrennungsmaßnahmen (z.B. ITM-Vorgaben) isoliert?</t>
  </si>
  <si>
    <t>Are security vulnerabilities resolved according to Bosch regulations and deadlines (e.g. by applying patches and system updates), or is the system isolated via network segregation measures (e.g. ITM specifications)?</t>
  </si>
  <si>
    <t>Ist der Empfang von CERT-Sicherheitshinweisen sichergestellt?</t>
  </si>
  <si>
    <t>Is it ensured that CERT Advisories are received?</t>
  </si>
  <si>
    <t>Is an adequate response to CERT advisories and security incidents ensured?</t>
  </si>
  <si>
    <t>Ist eine angemessene Reaktion auf CERT-Sicherheitshinweise und Sicherheitsvorfälle sichergestellt?</t>
  </si>
  <si>
    <t>Ist eine angemessene Reaktion auf CERT-Sicherheitshinweise und Sicherheitsvorfällen sichergestellt?</t>
  </si>
  <si>
    <t>Ist der Empfang von CERT-Sicherheitshinweisen und eine angemessene Reaktion darauf sichergestellt?</t>
  </si>
  <si>
    <t>Is an adequate response to Bosch CERT advisories and security incidents ensured?</t>
  </si>
  <si>
    <t>Is it ensured that CERT advisories are received and that an appropriate reaction is taken?</t>
  </si>
  <si>
    <t>Are certificate services for encryption in productive IT systems obtained via RB-TrustCenter?</t>
  </si>
  <si>
    <r>
      <t>Inventarisierung von Werten (Assets)</t>
    </r>
    <r>
      <rPr>
        <sz val="10"/>
        <color theme="1"/>
        <rFont val="Arial"/>
        <family val="2"/>
      </rPr>
      <t>: Das IT-System muss in einer zentralen Asset-Datenbank dokumentiert und inventarisiert werden. Hinweisbox: "Ein Beispiel für eine solche zentrale Datenbank ist die CI CMDB, die Daten über Server, Webserver, virtuelle Maschinen und Hypervisors beinhaltet. LeanIX ist die zentrale Datenbank zur Dokumentation für Anwendungen und SYDOCU für SAP Systeme."</t>
    </r>
  </si>
  <si>
    <r>
      <t>Inventory of Assets</t>
    </r>
    <r>
      <rPr>
        <sz val="10"/>
        <color theme="1"/>
        <rFont val="Arial"/>
        <family val="2"/>
      </rPr>
      <t>: The IT system must be documented and inventoried in a central asset database. Information-Box: "An example of such a central database is the CI CMDB where data about servers, web servers, virtual machines, and hypervisors is stored. LeanIX is the central database to document applications and SYDOCU for SAP systems."</t>
    </r>
  </si>
  <si>
    <r>
      <t>Zuständigkeit für Werte (Assets)</t>
    </r>
    <r>
      <rPr>
        <sz val="10"/>
        <color theme="1"/>
        <rFont val="Arial"/>
        <family val="2"/>
      </rPr>
      <t>: Der Betreiber des IT-Systems muss identifiziert und dokumentiert werden.</t>
    </r>
  </si>
  <si>
    <r>
      <t>Ownership of Assets</t>
    </r>
    <r>
      <rPr>
        <sz val="10"/>
        <color theme="1"/>
        <rFont val="Arial"/>
        <family val="2"/>
      </rPr>
      <t>: The operator of the IT system must be identified and documented.</t>
    </r>
  </si>
  <si>
    <r>
      <t>Außerbetriebnahme von Werten (Assets)</t>
    </r>
    <r>
      <rPr>
        <sz val="10"/>
        <color theme="1"/>
        <rFont val="Arial"/>
        <family val="2"/>
      </rPr>
      <t>: IT-Systeme müssen sicher außer Betrieb genommen werden. Dies beinhaltet die Vernichtung von Daten und Authentisierungsgeheimnissen (oder weiteren kryptographischen Geheimnissen), die auf dem Dateisystem oder in der Hardware gespeichert sind. Falls Authentisierungsgeheimnisse nicht vernichtet werden können, muss sichergestellt werden, dass der Zugang mit diesen Authentisierungsgeheimnissen nicht mehr möglich ist, z.B. durch Widerruf der jeweiligen Token oder Zertifikate.</t>
    </r>
  </si>
  <si>
    <r>
      <t>Asset Decommissioning</t>
    </r>
    <r>
      <rPr>
        <sz val="10"/>
        <color theme="1"/>
        <rFont val="Arial"/>
        <family val="2"/>
      </rPr>
      <t>: IT systems must be decommissioned securely. This includes the destruction of data and authentication secrets (or other cryptographic secrets) stored on the file system or in hardware. If it cannot be ensured that authentication secrets can be securely destroyed, it must be ensured that access with these authentication secrets is revoked, e.g., by revoking the respective tokens or certificates.</t>
    </r>
  </si>
  <si>
    <r>
      <t>Zugriff auf Bosch Geschäftsunterlagen aus dem Internet mit starker Authentisierung</t>
    </r>
    <r>
      <rPr>
        <sz val="10"/>
        <color theme="1"/>
        <rFont val="Arial"/>
        <family val="2"/>
      </rPr>
      <t>: Für den Zugriff auf Bosch Geschäftsunterlagen aus dem Internet für Bosch-Mitarbeiter und Mitarbeiter von externen Dienstleistern ist eine starke Authentifizierung erforderlich. Die starke Authentisierung muss gegen den zentral vom CI bereitgestellten Verzeichnisdienst (Bosch Single Sign-On) erfolgen. Die Lösung für die Verteilung und Validierung des zweiten Authentisierungsfaktors muss durch die CI IT-Sicherheitsabteilung zur Verfügung gestellt werden, die für Identifikation und Authentisierung zuständig ist. Hinweisbox: "Die im CI zuständige Abteilung für IT Sicherheit bietet Lösungen, abgestimmt mit C/IDS, für Authentisierung in Cloud Umgebungen mit Bosch Single Sign-On, z.B. SAML, OAuth oder OpenID Connect. Die im CI zuständige Abteilung für IT Sicherheit bietet Lösungen, abgestimmt mit C/IDS, für den zweiten Authentisierungsfaktor, z.B. Soft-/Hard-token, Telefonanruf, TPM-basierte Zertifikate für IT-Endgeräte."</t>
    </r>
  </si>
  <si>
    <r>
      <t>Access to Bosch Business Data from the Internet with Strong Authentication</t>
    </r>
    <r>
      <rPr>
        <sz val="10"/>
        <color theme="1"/>
        <rFont val="Arial"/>
        <family val="2"/>
      </rPr>
      <t>: Access to Bosch business data from the Internet for Bosch employees and employees from external services providers must be granted only upon successful strong authentication. The strong authentication must be based on the central user directory provided by CI (Bosch Single Sign-On). The solution for the enrollment and the validation of the second authentication factor must be provided by the CI IT Security department responsible for identification and authentication. Information-Box: "The CI IT Security department provides solutions agreed with C/IDS for authenticating to cloud services using Bosch Single Sign-On, e.g., using SAML, OAuth or OpenID Connect. The CI IT Security department provides solutions agreed with C/IDS for the second authentication factor, e.g., soft-/hard-token, phone calls, or TPM-based IT end device certificates."</t>
    </r>
  </si>
  <si>
    <r>
      <t>Zugriff aus dem Internet für Mitarbeiter-Kommunikation und Mitarbeiter-Services</t>
    </r>
    <r>
      <rPr>
        <sz val="10"/>
        <color theme="1"/>
        <rFont val="Arial"/>
        <family val="2"/>
      </rPr>
      <t>: Für Dienste zur Verbesserung der digitalen Kommunikation zwischen Bosch als Arbeitgeber und Bosch-Mitarbeitern ist die Nutzung von privaten mobilen Geräten erlaubt, z.B. für Gehaltsabrechnungen, Sozialversicherung oder HR Dienste. Für diese digitale Kommunikation gelten die folgenden Anforderungen: - Die Lösungen dürfen nicht als Arbeitsplatz Endgeräte eingesetzt werden, um den Zugriff auf Bosch Geschäftsunterlagen zu erlauben. - Es gelten die Anforderungen aus (1) für starke Authentisierung. - Eine Datenspeicherung auf dem privaten IT-Endgerät ist zu vermeiden. Das private IT-Endgerät kann zum Lesen oder Bearbeiten der Daten verwendet werden. Die Datenspeicherung erfolgt bei Bosch oder Bosch kontrollierten Cloud Diensten. - Die Lösung muss mit C/IDS und C/ISP abgestimmt werden.</t>
    </r>
  </si>
  <si>
    <r>
      <t>Access from the Internet for Bosch Employee Communication and Employee Services</t>
    </r>
    <r>
      <rPr>
        <sz val="10"/>
        <color theme="1"/>
        <rFont val="Arial"/>
        <family val="2"/>
      </rPr>
      <t>: For services improving the digital communication between Bosch as employer and Bosch employees the usage of private mobile devices is allowed, e.g., for payrolls, social insurance, or HR services. For this digital communication, the following requirements apply: - The solution must not be used as a workplace end device to allow for access to Bosch business data. - The requirements in (1) for strong authentication apply. - The solution must prevent the storage of the data on the private IT end device. The private IT end device may be used for reading or editing the data. The storage must take place at Bosch or Bosch managed cloud services. - The solution must be agreed with C/IDS and C/ISP.</t>
    </r>
  </si>
  <si>
    <r>
      <t>Zugriff auf Bosch Geschäftsunterlagen aus dem Internet für externe Dienstleister</t>
    </r>
    <r>
      <rPr>
        <sz val="10"/>
        <color theme="1"/>
        <rFont val="Arial"/>
        <family val="2"/>
      </rPr>
      <t>: Der Zugriff auf Bosch Geschäftsunterlagen aus dem Internet für Mitarbeiter von externen Dienstleistern ist für IT-Endgeräte, die nicht durch Bosch verwaltet werden, zulässig. Es gelten die Anforderungen aus (1) für eine starke Authentisierung. Hinweisbox: "Externe Dienstleister verfügen i.d.R. nicht über ein durch Bosch verwaltetes IT-Endgerät. Die Speicherung der Bosch Geschäftsunterlagen auf dem fremden IT-Endgerät sollte auf das notwendige Mindestmaß reduziert werden. Es gelten die Bosch Richtlinien für Auftragsdatenverarbeitung z.B. aus CD 02900 "Informationssicherheit und Datenschutz"."</t>
    </r>
  </si>
  <si>
    <r>
      <t>Access to Business Data from the Internet for External Service Providers</t>
    </r>
    <r>
      <rPr>
        <sz val="10"/>
        <color theme="1"/>
        <rFont val="Arial"/>
        <family val="2"/>
      </rPr>
      <t>: Access to Bosch business data from the Internet for employees from external service providers can be granted with IT end devices not managed by Bosch. The requirements for strong authentication from (1) apply. Information-Box: "External service providers often do not have access to a Bosch managed IT end device. The storage of the Bosch business data on the IT end device not managed by Bosch shall be limited to the minimum necessary. The Bosch regulations for contract data processing, e.g., from CD 02900 "Information Security and Data Protection" must be adhered."</t>
    </r>
  </si>
  <si>
    <r>
      <t>Authentisierung für WLAN Zugang zum Bosch Corporate Network</t>
    </r>
    <r>
      <rPr>
        <sz val="10"/>
        <color theme="1"/>
        <rFont val="Arial"/>
        <family val="2"/>
      </rPr>
      <t>: - Der transparente Zugang zum BCN via WLAN ist nur für von CI bereitgestellte und verwaltete Endgeräte erlaubt. - Die Endgeräte müssen via EAP-TLS authentisiert werden. Der private Schlüssel des Zertifikats des Endgeräts für die EAP-TLS Authentisierung muss durch Hardware geschützt werden, z.B. mit einem TPM. - Offene WLANs ohne Authentisierung dürfen nicht ans BCN angeschlossen werden. - WLANs, die unsichere Geräte beinhalten, dürfen nicht ans BCN angeschlossen werden. Siehe auch A.13.1. [5] (8) Getrennte Netzwerkzonen für unsichere IT-Systeme.</t>
    </r>
  </si>
  <si>
    <r>
      <t>Authentication for Access to the Bosch Corporate Network via WLAN</t>
    </r>
    <r>
      <rPr>
        <sz val="10"/>
        <color theme="1"/>
        <rFont val="Arial"/>
        <family val="2"/>
      </rPr>
      <t>: - Transparent access to the BCN via WLAN must be allowed only if the end device is provided and managed by CI. - The end device must be authenticated with EAP-TLS. The private key of the device certificate for the EAP-TLS authentication must be protected in hardware, e.g., with a TPM. - Open WLANs without authentication must not be connected to the BCN. - WLANs containing insecure devices must not be connected to the BCN. See also A.13.1. [5] (8) Separate Network Zones for Insecure IT Systems.</t>
    </r>
  </si>
  <si>
    <r>
      <t>Authentisierung für Einzelplatz-VPN-Verbindungen ins Bosch Corporate Network</t>
    </r>
    <r>
      <rPr>
        <sz val="10"/>
        <color theme="1"/>
        <rFont val="Arial"/>
        <family val="2"/>
      </rPr>
      <t>: Einzelplatz-VPN-Verbindungen ins BCN dürfen nur nach einer erfolgreichen starken Authentisierung erfolgen: - Der Benutzer muss seinen Bosch Single Sign-On Benutzernamen und Passwort eingeben. - Die Lösung für die Verteilung und Validierung des zweiten Authentisierungsfaktors muss von CI zur Verfügung gestellt werden. Nach einer erfolgreichen Authentisierung wird ein verschlüsselter und integritätsgeschützter Tunnel zwischen dem Endgerät und dem VPN Gateway aufgebaut. Der aufgebaute Tunnel darf nur den Zugriff zum BCN erlauben. Jegliche IP-basierte Kommunikation vom Endgerät zum Internet oder zu weiteren Zielen darf nur über den etablierten Tunnel erfolgen. D.h. "Split Tunneling" ist nicht erlaubt.</t>
    </r>
  </si>
  <si>
    <r>
      <t>Authentication for Standalone VPN Remote Access to the Bosch Corporate Network</t>
    </r>
    <r>
      <rPr>
        <sz val="10"/>
        <color theme="1"/>
        <rFont val="Arial"/>
        <family val="2"/>
      </rPr>
      <t>: Standalone VPN connections to the BCN must be allowed only upon successful strong authentication: - The user must enter her Bosch Single Sign-On user name and password. - The solution for the enrollment and the validation of the second authentication factor must be provided by CI. Upon successful authentication, an encrypted and integrity-protected tunnel is established between the device and the VPN gateway. The established tunnel must provide access only to the BCN. Any IP-based communication from the end device to the Internet or other destinations must be routed using the established tunnel, i.e., split tunneling is not allowed.</t>
    </r>
  </si>
  <si>
    <r>
      <t>Authentisierung am ersten Eingangstor</t>
    </r>
    <r>
      <rPr>
        <sz val="10"/>
        <color theme="1"/>
        <rFont val="Arial"/>
        <family val="2"/>
      </rPr>
      <t>: Die Authentisierung für den eingehenden Zugriff auf Bosch Geschäftsunterlagen der Schutzklasse SC1 oder höher von außerhalb des BDNs muss so früh wie möglich im Netzwerk erfolgen. Dies bedeutet, dass die Authentisierung typischerweise in der DMZ erfolgt. Eingehende Zugriffsanfrage aus Bosch Partnernetze (z.B. NC3) müssen wie Zugriffe aus dem Internet behandelt werden. Die Anforderungen aus CD 07900-001, A.9.1. [3] Richtlinie zur Identifikation und Authentifizierung für Zugriff auf Geschäftsunterlagen aus dem Internetsind anzuwenden.</t>
    </r>
  </si>
  <si>
    <r>
      <t>Authentication at the First Gate</t>
    </r>
    <r>
      <rPr>
        <sz val="10"/>
        <color theme="1"/>
        <rFont val="Arial"/>
        <family val="2"/>
      </rPr>
      <t>: The authentication for incoming access to Bosch business data with Security Class greater or equal to SC1 from outside the BDN must be performed as early as possible in the network. This typically means that authentication is performed in the DMZ. Incoming access requests from Bosch partner networks (e.g., NC3 connections) must be treated like access from the Internet. The requirements from CD 07900-001, A.9.1. [3] Identification and Authentication Policy for Access to Bosch Business Data from the Internetapply.</t>
    </r>
  </si>
  <si>
    <r>
      <t>Zentrale Verwaltung von Benutzern</t>
    </r>
    <r>
      <rPr>
        <sz val="10"/>
        <color theme="1"/>
        <rFont val="Arial"/>
        <family val="2"/>
      </rPr>
      <t>: Für natürliche Personen müssen Konten zentral verwaltet werden und jedes Konto muss nachvollziehbar einem einzigen Benutzer zugeordnet sein. Für "Nicht-Personen" muss das Konto nachvollziehbar einer eindeutigen verantwortlichen Einheit zugeordnet sein.</t>
    </r>
  </si>
  <si>
    <r>
      <t>Central User Management</t>
    </r>
    <r>
      <rPr>
        <sz val="10"/>
        <color theme="1"/>
        <rFont val="Arial"/>
        <family val="2"/>
      </rPr>
      <t>: For physical persons, accounts must be centrally managed and each account must be traceable to a unique user. For a "Non-Person", the account must be traceable to a unique responsible unit.</t>
    </r>
  </si>
  <si>
    <r>
      <t>Beschränkungen für gemeinsam benutzte und technische Konten</t>
    </r>
    <r>
      <rPr>
        <sz val="10"/>
        <color theme="1"/>
        <rFont val="Arial"/>
        <family val="2"/>
      </rPr>
      <t>: Gemeinsam benutzte und technische Konten ("Nicht-Personen") müssen die folgenden Anforderungen erfüllen: - Können im Bosch Corporate Directory (BCD) oder im lokalen IT-System verwaltet werden. - Sind von der verantwortlichen Stelle zu dokumentieren. - Die Nutzung muss auf die notwendigen Geschäfts-, Betriebs- und/oder technischen Prozesse beschränkt sein. - Die Verwendung ist auf ein Minimum von Benutzern zu beschränken und zu dokumentieren. - Ein Prozess zur Änderung der Anmeldeinformationen muss dokumentiert werden, einschließlich des Verfahrens und aller betroffenen IT-Systeme und Benutzer. - Die Anmeldeinformationen müssen sofort geändert werden, wenn ein Benutzer die Anmeldeinformationen nicht mehr benötigt oder kennen darf. - Die Verwendung von RB-PAM zum Speichern der Anmeldeinformationen und / oder einer automatischen Änderung ist zu prüfen. Hinweisbox: "API-Schlüssel gelten in diesem Zusammenhang als technische Konten. Weitere Anforderungen in Bezug auf Schutzklassen sind in C/ISP CD 02900-001 Abschnitt A.9.3.1 (5) definiert."</t>
    </r>
  </si>
  <si>
    <r>
      <t>Restrictions for Shared and Technical Accounts</t>
    </r>
    <r>
      <rPr>
        <sz val="10"/>
        <color theme="1"/>
        <rFont val="Arial"/>
        <family val="2"/>
      </rPr>
      <t>: Shared and technical accounts ("Non-Person") must fulfill the following requirements: - Can be managed in the Bosch Corporate Directory (BCD) or in the local IT system. - Must be documented by the responsible unit. - The usage must be restricted to the necessary business, operational and/or technical processes. - The usage must be limited and documented to a minimum number of users. - A credential change process must be documented, including the procedure and all affected IT systems and users. - The credentials must be changed immediately when a user is no longer required or allowed to know the credentials. - Consider the usage of RB-PAM for storing the credentials and/or an automatic change. Information-Box: "API keys are considered to be technical accounts in this context. Additional requirements with respect to security classes are defined in C/ISP CD 02900-001 Section A.9.3.1 (5)."</t>
    </r>
  </si>
  <si>
    <r>
      <t>Zuweisung von privilegiertem Zugriff</t>
    </r>
    <r>
      <rPr>
        <sz val="10"/>
        <color theme="1"/>
        <rFont val="Arial"/>
        <family val="2"/>
      </rPr>
      <t>: Privilegierter Zugriff darf nur dann gewährt werden, wenn ein solcher Zugriff für einen bestimmten Zweck benötigt wird (need-to-use Prinzip). Es muss dokumentiert werden, aus welchem Grund und mit wessen Genehmigung ein privilegiertes Konto oder ein Zugriff auf ein privilegiertes Konto zugewiesen wird.</t>
    </r>
  </si>
  <si>
    <r>
      <t>Assignment of Privileged Access</t>
    </r>
    <r>
      <rPr>
        <sz val="10"/>
        <color theme="1"/>
        <rFont val="Arial"/>
        <family val="2"/>
      </rPr>
      <t>: Privileged access must be assigned only if such access is necessary for a specific purpose (need-to-use principle). It must be documented for what reason and on whose authority a privileged account or access to a privileged account is assigned.</t>
    </r>
  </si>
  <si>
    <r>
      <t>Separate Konten für privilegierten Zugriff</t>
    </r>
    <r>
      <rPr>
        <sz val="10"/>
        <color theme="1"/>
        <rFont val="Arial"/>
        <family val="2"/>
      </rPr>
      <t>: Privilegierter Zugriff für administrative Zwecke darf nur einem separaten Konto zugewiesen werden, welches nicht dem Standard-Konto (z.B. verwendet für die tägliche Büroarbeit wie E-Mail) des Benutzers entspricht. Für den privilegierten Zugriff auf Cloud-Dienste kann ein Standard-Konto verwendet werden, das mit einer starken Authentifizierung gesichert ist. Hinweisbox: "Detaillierte Informationen zu den Anforderungen für eine starke Authentifizierung finden Sie in C/IDS CD 07900-001, Abschnitt A.9.1."</t>
    </r>
  </si>
  <si>
    <r>
      <t>Separate Account for Privileged Access</t>
    </r>
    <r>
      <rPr>
        <sz val="10"/>
        <color theme="1"/>
        <rFont val="Arial"/>
        <family val="2"/>
      </rPr>
      <t>: Privileged access for administration purposes must be assigned only to an account which differs from the standard account (e.g., used for daily office work like e-mail) of the user. For privileged access to cloud services a standard account that is secured with strong authentication can be used. Information-Box: "Detailed information about the requirements regarding strong authentication can be found in C/IDS CD 07900-001, Section A.9.1."</t>
    </r>
  </si>
  <si>
    <r>
      <t>Überprüfung von privilegierten Konten</t>
    </r>
    <r>
      <rPr>
        <sz val="10"/>
        <color theme="1"/>
        <rFont val="Arial"/>
        <family val="2"/>
      </rPr>
      <t>: Regelmäßige Überprüfungen müssen mindestens einmal pro Jahr durchgeführt werden, um die Notwendigkeit der privilegierten Konten zu prüfen.</t>
    </r>
  </si>
  <si>
    <r>
      <t>Review of Privileged Accounts</t>
    </r>
    <r>
      <rPr>
        <sz val="10"/>
        <color theme="1"/>
        <rFont val="Arial"/>
        <family val="2"/>
      </rPr>
      <t>: Regular reviews, at least once a year, must be conducted to validate the need for privileged accounts.</t>
    </r>
  </si>
  <si>
    <r>
      <t>Löschung von privilegierten Rollen und temporären Privilegien</t>
    </r>
    <r>
      <rPr>
        <sz val="10"/>
        <color theme="1"/>
        <rFont val="Arial"/>
        <family val="2"/>
      </rPr>
      <t>: Privilegierte Konten, Rollenzuweisungen und Berechtigungen müssen widerrufen werden, wenn sie nicht mehr benötigt werden. Der Widerruf muss mindestens 12 Monate lang dokumentiert sein.</t>
    </r>
  </si>
  <si>
    <r>
      <t>Deletion of Privileged Roles and Temporary Privileges</t>
    </r>
    <r>
      <rPr>
        <sz val="10"/>
        <color theme="1"/>
        <rFont val="Arial"/>
        <family val="2"/>
      </rPr>
      <t>: Privileged accounts, role assignments and permissions must be revoked if they are no longer necessary. Revokation must be documented for at least 12 months.</t>
    </r>
  </si>
  <si>
    <r>
      <t>Beschränkungen bei der Verwendung von gemeinsam benutzten privilegierten Konten</t>
    </r>
    <r>
      <rPr>
        <sz val="10"/>
        <color theme="1"/>
        <rFont val="Arial"/>
        <family val="2"/>
      </rPr>
      <t>: Privilegierte Konten dürfen nicht zwischen Benutzern geteilt werden. Wenn die Nutzung von gemeinsam benutzten privilegierten Konten technisch oder organisatorisch nicht vermeidbar ist (z.B. built-in Konten, Notfallkonten, Just-in-Time-Konzept), dann muss das Bosch Privileged Account Management (RB-PAM) für die Verwaltung verwendet werden. Die Implementierung einer anderen Lösung muss inklusive einer Risikoanalyse dokumentiert und jährlich überprüft werden. Es sind folgende Anforderungen zu erfüllen: - Es muss protokolliert werden, welcher Benutzer in welchem Zeitraum ein gemeinsam benutztes privilegiertes Konto benutzt hat. Das Protokoll muss vor Manipulationen geschützt werden. - Es muss dokumentiert werden, aus welchem Grund und mit wessen Genehmigung ein gemeinsam benutztes privilegiertes Konto benutzt wird. - Ein gemeinsam benutztes privilegiertes Konto darf nur von einem Benutzer zu einem bestimmten Zeitpunkt benutzt werden (keine zeitgleiche Mehrfachnutzung).</t>
    </r>
  </si>
  <si>
    <r>
      <t>Restrictions on the Use of Shared Privileged Accounts</t>
    </r>
    <r>
      <rPr>
        <sz val="10"/>
        <color theme="1"/>
        <rFont val="Arial"/>
        <family val="2"/>
      </rPr>
      <t>: Privileged accounts must not be shared between users. If the usage of shared privileged accounts is technically or organizational unavoidable (e.g., built-in accounts, emergency accounts, just-in-time concept), the Bosch Privileged Account Management (RB-PAM) must be used to manage these shared privileged accounts. The implementation of a different solution must be documented including a risk assessment and validated on an annual basis. The following requirements apply: - It must be logged which user has used a shared privileged account and over which period of time. The log record must be protected from manipulations. - It must be documented for what reason and on whose authority a shared privileged account is used. - The shared privileged account must be available to only one user at the same time (no concurrent usage).</t>
    </r>
  </si>
  <si>
    <r>
      <t>Einschränkungen bei der Wiederverwendung von Passwörtern privilegierter Konten auf verschiedenen IT-Systemen</t>
    </r>
    <r>
      <rPr>
        <sz val="10"/>
        <color theme="1"/>
        <rFont val="Arial"/>
        <family val="2"/>
      </rPr>
      <t>: Passwörter von privilegierten Konten dürfen nicht auf unterschiedlichen IT-Systemen wiederverwendet werden. Insbesondere, wenn für einen Benutzer die gleichen Kontonamen auf unterschiedlichen IT-Systemen existieren, müssen unterschiedliche Passwörter benutzt werden.</t>
    </r>
  </si>
  <si>
    <r>
      <t>Restrictions on Reusing Privileged Account Passwords on Different IT Systems</t>
    </r>
    <r>
      <rPr>
        <sz val="10"/>
        <color theme="1"/>
        <rFont val="Arial"/>
        <family val="2"/>
      </rPr>
      <t>: Privileged account passwords must not be reused across different IT systems. Especially in case a user has accounts with the same account name on different IT systems, different passwords must be used.</t>
    </r>
  </si>
  <si>
    <r>
      <t>Benutzung privilegierter Konten</t>
    </r>
    <r>
      <rPr>
        <sz val="10"/>
        <color theme="1"/>
        <rFont val="Arial"/>
        <family val="2"/>
      </rPr>
      <t>: Privilegierte Konten dürfen nur für Aufgaben verwendet werden, für die privilegierte Berechtigungen erforderlich sind. Die Nutzung muss auf das Minimum an Zeit begrenzt sein, das zur Erfüllung der Aufgabe benötigt wird.</t>
    </r>
  </si>
  <si>
    <r>
      <t>Using Privileged Accounts</t>
    </r>
    <r>
      <rPr>
        <sz val="10"/>
        <color theme="1"/>
        <rFont val="Arial"/>
        <family val="2"/>
      </rPr>
      <t>: Privileged accounts must only be used for tasks where privileged permissions are required. The usage must be limited to the minimum of time needed to fulfill the task.</t>
    </r>
  </si>
  <si>
    <r>
      <t>Persönliche Konten in der DMZ und ESZ</t>
    </r>
    <r>
      <rPr>
        <sz val="10"/>
        <color theme="1"/>
        <rFont val="Arial"/>
        <family val="2"/>
      </rPr>
      <t>: Falls ein Benutzer im BCN autorisierten Zugriff auf Ressourcen in der DMZ (Security Layer 1) oder der ESZ (Security Layer 2) benötigt, muss ein weiteres Konto für den Benutzer für die jeweilige Zone angelegt werden. Für Unix/Linux-Systeme müssen sowohl der Kontoname als auch die UID in den jeweiligen Zonen unterschiedlich sein. Für Windows-Systeme muss der Kontoname in den jeweiligen Zonen unterschiedlich sein.</t>
    </r>
  </si>
  <si>
    <r>
      <t>Personal Accounts in the DMZ and ESZ</t>
    </r>
    <r>
      <rPr>
        <sz val="10"/>
        <color theme="1"/>
        <rFont val="Arial"/>
        <family val="2"/>
      </rPr>
      <t>: If a user with an account in the BCN needs authorized access to resources in the DMZ (security layer 1) or the ESZ (security layer 2), a different account must be created for the user for the respective security zone. For Unix/Linux systems both, the account name and the UID, must be different in the respective zones. For Windows systems, the account name must be different in the respective zones.</t>
    </r>
  </si>
  <si>
    <r>
      <t>Pseudonymisierte Kontennamen in der DMZ und ESZ</t>
    </r>
    <r>
      <rPr>
        <sz val="10"/>
        <color theme="1"/>
        <rFont val="Arial"/>
        <family val="2"/>
      </rPr>
      <t>: Für persönliche Konten müssen der Kontoname in der DMZ (Security Layer 1) und der ESZ (Security Layer 2) Pseudonyme sein. Das bedeutet, sie dürfen keinerlei Schlussfolgerungen auf die Person erlauben (wie z.B. Name, E-Mail Adresse und insbesondere die Kontonamen oder UIDs in den anderen Zonen).</t>
    </r>
  </si>
  <si>
    <r>
      <t>Pseudonymous Account Names in the DMZ and ESZ</t>
    </r>
    <r>
      <rPr>
        <sz val="10"/>
        <color theme="1"/>
        <rFont val="Arial"/>
        <family val="2"/>
      </rPr>
      <t>: For personal accounts, the account name in the DMZ (security layer 1) and ESZ (security layer 2) must be a pseudonym. That means it must not allow the deduction of any information about the person (e.g., name, e-mail address, and particularly account names or UIDs in other zones).</t>
    </r>
  </si>
  <si>
    <r>
      <t>Verwaltung von Zugriffsberechtigungen</t>
    </r>
    <r>
      <rPr>
        <sz val="10"/>
        <color theme="1"/>
        <rFont val="Arial"/>
        <family val="2"/>
      </rPr>
      <t>: Um ein angemessenes IT-Sicherheitsniveau bei der Zuteilung von Benutzerzugängen und ein nachvollziehbares Management von Zugriffsrechten bei IT-Systemen und Anwendungen zu bieten, muss ein zentrales Identity Management System (IdM), welches von CI zur Verfügung gestellt wird, für die ordnungsgemäße Verwaltung (Bereitstellung, Änderung, Löschung, Vergabe, Rezertifizierung, Entzug) und Dokumentation von Zugriffsrechten von „Personen“-Identitäten verwendet werden. Für das Management von Zugriffsrechten für „Nicht-Person“-Identitäten muss entweder ein zentrales Identity Management System (IdM), welches von CI zur Verfügung gestellt wird, verwendet werden oder ein Prozess mit entsprechendem Sicherheitsniveau implementiert und dokumentiert werden. Hinweisbox: "Beispiele für ein zentrales Identity Management System (IdM), welches von CI zur Verfügung gestellt wird, sind Bosch „IdM“ oder BSH „SAP-IDM“. Die Vorgaben und Kontrollzyklen für die ordnungsgemäße Verwaltung von Zugriffsrechten ist in der C/SBO ZA „Access Management (AM)“ (CD 05106) geregelt."</t>
    </r>
  </si>
  <si>
    <r>
      <t>Management of Access Rights</t>
    </r>
    <r>
      <rPr>
        <sz val="10"/>
        <color theme="1"/>
        <rFont val="Arial"/>
        <family val="2"/>
      </rPr>
      <t>: To ensure appropriate IT security for the user access provisioning and to provide a traceable management of access rights on IT systems and applications, a central Identity Management system (IdM) provided by CI must be used for the compliant management (provision, change, deletion, entitlement, recertification, revocation) and documentation of access rights of identities for the category "Person" . For the management of access rights belonging to "non-persons", either a central Identity Management system (IdM) provided by CI must be used or a different process with similar security level must be implemented and documented. Information-Box: "Examples of such a central Identity Management system (IdM) provided by CI are Bosch “IdM” or BSH “SAP-IDM”. The requirements and control cycles for compliant management of access rights are regulated in the C/SB CD “Access Management (AM)” (CD 05106)."</t>
    </r>
  </si>
  <si>
    <r>
      <t>Passwort-Regeln</t>
    </r>
    <r>
      <rPr>
        <sz val="10"/>
        <color theme="1"/>
        <rFont val="Arial"/>
        <family val="2"/>
      </rPr>
      <t>: Passwörter müssen mindestens die folgenden Anforderungen erfüllen: - Enthalten mindestens 12 Zeichen. - Enthalten mindestens Großbuchstaben, Kleinbuchstaben und Ziffern. Sonderzeichen sind nicht zwingend erforderlich. - Enthalten keine einfachen Zeichenfolgen (z.B. 1234567890, ABCDEFGHIJ, QWERT). - Enthalten keine Wörter (z.B. Namen, Markennamen, Wörter aus einem Wörterbuch) oder Wortkombinationen, einschließlich Fremdwörter. - Enthalten keine öffentlichen oder leicht identifizierbaren Informationen (z.B. Telefonnummer, Geburtsdatum, ID-Nummer). - Enthalten keine Kombinationen mit inkrementellen Zählern (z.B. Monat, Jahr). - Stimmen Sie nicht mit den Standardeinstellungen des Herstellers überein.</t>
    </r>
  </si>
  <si>
    <r>
      <t>Password Rules</t>
    </r>
    <r>
      <rPr>
        <sz val="10"/>
        <color theme="1"/>
        <rFont val="Arial"/>
        <family val="2"/>
      </rPr>
      <t>: Passwords must fulfill at least the following requirements: - Do contain at least 12 characters. - Do contain at least uppercase letters, lowercase letters and digits. Special characters are not mandatory. - Do not contain trivial character strings (e.g., 1234567890, ABCDEFGHIJ, QWERT). - Do not contain words (e.g., names, brand names, words from a dictionary) or word combinations, including foreign words. - Do not contain public or easily identifiable information (e.g., telephone number, date of birth, ID number). - Do not contain any combinations with incremental counters (e.g., month, year). - Do not match the manufacturer's default settings.</t>
    </r>
  </si>
  <si>
    <r>
      <t>Wechsel von Standard-Passwörtern</t>
    </r>
    <r>
      <rPr>
        <sz val="10"/>
        <color theme="1"/>
        <rFont val="Arial"/>
        <family val="2"/>
      </rPr>
      <t>: Das Standard-Passwort des Herstellers muss unmittelbar nach der Installation geändert werden.</t>
    </r>
  </si>
  <si>
    <r>
      <t>Changing Default Passwords</t>
    </r>
    <r>
      <rPr>
        <sz val="10"/>
        <color theme="1"/>
        <rFont val="Arial"/>
        <family val="2"/>
      </rPr>
      <t>: The default password of the vendor must be changed immediately after the installation.</t>
    </r>
  </si>
  <si>
    <r>
      <t>Kryptografischer Schutz von Passwörtern während des Transports</t>
    </r>
    <r>
      <rPr>
        <sz val="10"/>
        <color theme="1"/>
        <rFont val="Arial"/>
        <family val="2"/>
      </rPr>
      <t>: Passwörter und andere Authentifizierungsgeheimnisse müssen während des Transports kryptographisch geschützt werden. Für die Übertragung ist mindestens eine Ende-zu-Ende-geschützte authentifizierte (integritätsgeschützte) Verschlüsselung erforderlich.</t>
    </r>
  </si>
  <si>
    <r>
      <t>Cryptographic Protection of Passwords during Transport</t>
    </r>
    <r>
      <rPr>
        <sz val="10"/>
        <color theme="1"/>
        <rFont val="Arial"/>
        <family val="2"/>
      </rPr>
      <t>: Passwords and other authentication secrets must be cryptographically protected during transport. At least an end-to-end protected authenticated (integrity-protected) encryption is required for the transmission.</t>
    </r>
  </si>
  <si>
    <r>
      <t>Kryptographischer Schutz von Passwörtern während der Speicherung</t>
    </r>
    <r>
      <rPr>
        <sz val="10"/>
        <color theme="1"/>
        <rFont val="Arial"/>
        <family val="2"/>
      </rPr>
      <t>: Passwörter und andere Authentifizierungsgeheimnisse dürfen nicht im Klartext gespeichert werden. Wenn das eingegebene Passwort während eines Authentifizierungsprozesses überprüft werden muss, darf das Passwort nicht im Klartext gespeichert werden. Es müssen zusätzliche Schutzmechanismen verwendet werden (z.B. A.10.1.1. [3] (7) Verwendung von Passwort-basierten Schlüsselableitungsfunktionen). Wenn das Passwort oder das Geheimnis aus irgendeinem technischen Grund im Klartext oder mit einer schwachen Verschlüsselung gespeichert werden muss (z.B. technische Konten für die Dienstauthentifizierung oder die Authentifizierung von Anwendung zu Anwendung), gelten die folgenden Anforderungen: - Die vom Betriebssystem und/oder der Anwendung angebotenen Mechanismen müssen berücksichtigt werden (z. B. Data Protection API, Windows Credentials Manager, Group Managed Service Accounts). - Die interaktive Anmeldung mit dem zugehörigen Konto muss verhindert werden. - Der Zugriff auf das Geheimnis (z. B. in einer Datei oder Datenbank) muss durch technische und organisatorische Maßnahmen eingeschränkt werden. - Zugriffsberechtigungen müssen mindestens einmal im Jahr überprüft und nachvollziehbar dokumentiert werden. - Die Verwendung von Bosch Privileged Account Management (RB-PAM) muss in Betracht gezogen werden.</t>
    </r>
  </si>
  <si>
    <r>
      <t>Cryptographic Protection of Passwords during Storage</t>
    </r>
    <r>
      <rPr>
        <sz val="10"/>
        <color theme="1"/>
        <rFont val="Arial"/>
        <family val="2"/>
      </rPr>
      <t>: Passwords and other authentication secrets must not be stored in clear text. If the entered password needs to be verified during an authentication process, the password must not be stored in clear text. Additional protection mechanisms must be used (e.g., A.10.1.1. [3] (7) Usage of Password-based Key Derivation Functions). If the password or secret needs to be stored in clear text, or with a weak encryption, for any technical reason (e.g., technical accounts for service authentication or application to application authentication), the following requirements apply: - The mechanisms offered by the operating system and/or the application must be considered (e.g., data protection API, Windows credentials manager, group managed service accounts). - Interactive logon with the associated account must be prevented. - The access to the secret (e.g., in a file or database) must be restricted by technical and organizational measures. - Access permissions must be reviewed and comprehensively documented at least once a year. - The usage of Bosch Privileged Account Management (RB-PAM) must be considered.</t>
    </r>
  </si>
  <si>
    <r>
      <t>Passwort-Lebensdauer</t>
    </r>
    <r>
      <rPr>
        <sz val="10"/>
        <color theme="1"/>
        <rFont val="Arial"/>
        <family val="2"/>
      </rPr>
      <t>: Passwörter müssen mindestens alle 180 Tage geändert werden. Dies gilt für alle Konten von Bosch-Mitarbeitern, externen Dienstleistern und für technische Konten. Konten von Bosch-Kunden (z.B. in CIAM) sind hiervon ausgeschlossen.</t>
    </r>
  </si>
  <si>
    <r>
      <t>Password Lifetime</t>
    </r>
    <r>
      <rPr>
        <sz val="10"/>
        <color theme="1"/>
        <rFont val="Arial"/>
        <family val="2"/>
      </rPr>
      <t>: Passwords must be changed at least every 180 days. This applies to all accounts used by Bosch employees, external service providers and for technical accounts. Accounts of Bosch customers (e.g., in CIAM) are excluded.</t>
    </r>
  </si>
  <si>
    <r>
      <t>Passwort-Historie</t>
    </r>
    <r>
      <rPr>
        <sz val="10"/>
        <color theme="1"/>
        <rFont val="Arial"/>
        <family val="2"/>
      </rPr>
      <t>: Die Wiederverwendung der mindestens letzten fünf Passwörter eines Kontos muss verhindert werden.</t>
    </r>
  </si>
  <si>
    <r>
      <t>Password History</t>
    </r>
    <r>
      <rPr>
        <sz val="10"/>
        <color theme="1"/>
        <rFont val="Arial"/>
        <family val="2"/>
      </rPr>
      <t>: Re-use of at least the last five passwords for an account must be prevented.</t>
    </r>
  </si>
  <si>
    <r>
      <t>Regeln für PIN-Codes</t>
    </r>
    <r>
      <rPr>
        <sz val="10"/>
        <color theme="1"/>
        <rFont val="Arial"/>
        <family val="2"/>
      </rPr>
      <t>: Ein PIN-Code muss mindestens die folgenden Anforderungen erfüllen: - Enthält mindestens 6 Ziffern. - Enthält keine trivialen Kombinationen (z.B. 123456, 111111). - Enthält keine öffentlichen oder leicht identifizierbaren Informationen (z.B. Telefonnummer, Geburtsdatum, ID-Nummer). - Entspricht nicht den Standardeinstellungen des Herstellers.</t>
    </r>
  </si>
  <si>
    <r>
      <t>PIN Code Rules</t>
    </r>
    <r>
      <rPr>
        <sz val="10"/>
        <color theme="1"/>
        <rFont val="Arial"/>
        <family val="2"/>
      </rPr>
      <t>: A PIN code must at least fulfill the following requirements: - Does contain at least 6 digits. - Does not contain trivial combinations (e.g., 123456, 111111). - Does not contain public or easily identifiable information (e.g., telephone number, date of birth, ID number). - Does not match the manufacturer's default settings.</t>
    </r>
  </si>
  <si>
    <r>
      <t>Passwortlebensdauer für technische Konten</t>
    </r>
    <r>
      <rPr>
        <sz val="10"/>
        <color theme="1"/>
        <rFont val="Arial"/>
        <family val="2"/>
      </rPr>
      <t>: Für technische Konten beträgt die Standardlebensdauer des Passworts maximal 180 Tage. Eine verlängerte Passwortlebensdauer von maximal 2 Jahren ist gültig, wenn das technische Konto die folgenden Anforderungen erfüllt: - Die Mindestlänge des Passworts muss 20 Zeichen betragen. Alle anderen Regeln in A.9.3. [1] (1) Passwort-Regelngelten. - Es wurden keine privilegierten Berechtigungen zugewiesen. - Die interaktive Anmeldung, z. B. über Konsole, RDP oder SSH, muss auf IT-Systeme beschränkt sein, die direkter Teil der dokumentierten technischen Prozesse sind. - Hat nur minimale erforderliche Berechtigungen, um die Aufgaben zu erfüllen. Alle Berechtigungen müssen entweder direkt, oder mithilfe dedizierter Zugriffsgruppen oder Rollen explizit zugewiesen, und dokumentiert werden - Es muss eine regelmäßige Nutzungsüberwachung durchgeführt werden, um Verstöße zu erkennen.</t>
    </r>
  </si>
  <si>
    <r>
      <t>Password Lifetime for Technical Accounts</t>
    </r>
    <r>
      <rPr>
        <sz val="10"/>
        <color theme="1"/>
        <rFont val="Arial"/>
        <family val="2"/>
      </rPr>
      <t>: For technical accounts the default password lifetime is maximum 180 days. An extended password lifetime of maximum 2 years is valid, if the account fulfills the following requirements: - The minimum password length must be 20 characters. All other rules from A.9.3. [1] (1) Password Rulesapply. - Has no privileged permissions assigned. - Interactive login, e.g., via console, RDP or SSH, must be restricted to IT systems, that are directly part of the documented technical process(es). - Has only minimal needed permissions to fulfill the tasks. All permissions must be explicitly assigned, either directly or by using dedicated access groups or roles, and documented. - A regular usage monitoring must be conducted to detect violations.</t>
    </r>
  </si>
  <si>
    <r>
      <t>Passwort-Regeln für Bosch Kundenkonten</t>
    </r>
    <r>
      <rPr>
        <sz val="10"/>
        <color theme="1"/>
        <rFont val="Arial"/>
        <family val="2"/>
      </rPr>
      <t>: Passwörter für Bosch Kundenkonten müssen mindestens die folgenden Anforderungen erfüllen: - Enthalten mindestens 8 Zeichen. - Enthalten mindestens einen Großbuchstaben, einen Kleinbuchstaben und eine Ziffer. Sonderzeichen sind nicht zwingend erforderlich. - Es muss ein Hinweis angezeigt werden, der den Benutzer dazu ermutigt, die Verwendung eines einfachen und leicht zu erratenden Passworts zu vermeiden (z.B. keine trivialen Zeichenfolgen mit Zählern/Datumsangaben oder öffentlich verfügbaren Informationen ).</t>
    </r>
  </si>
  <si>
    <r>
      <t>Password Rules for Bosch Customer Accounts</t>
    </r>
    <r>
      <rPr>
        <sz val="10"/>
        <color theme="1"/>
        <rFont val="Arial"/>
        <family val="2"/>
      </rPr>
      <t>: Passwords for Bosch customer accounts (e.g., in CIAM) must fulfill at least the following requirements: - Do contain at least 8 characters. - Do contain at least one uppercase letter, one lowercase letter and one digit. Special characters are not mandatory. - An information must be shown, which encourage the user to avoid the usage of a simple and easy to guess password (e.g., containing trivial strings with counters/dates or publicly available information).</t>
    </r>
  </si>
  <si>
    <r>
      <t>Benutzer-Authentifizierung</t>
    </r>
    <r>
      <rPr>
        <sz val="10"/>
        <color theme="1"/>
        <rFont val="Arial"/>
        <family val="2"/>
      </rPr>
      <t>: Das IT-System muss Benutzer, mit Ausnahme bei Daten der Schutzklasse SC0, authentifizieren, bevor der Zugang zu Daten und Diensten gewährt wird. Die Authentifizierungsmethode muss einen Nachweis der beanspruchten Identität sicherstellen. Hinweisbox: "Der Kontoname selbst reicht für die Benutzerauthentifizierung nicht aus, da der Kontoname in der Regel kein Geheimnis ist. Ein zusätzlicher Nachweis für die beanspruchte Identität ist erforderlich. IP-Adressen und MAC-Adressen bieten keinen ausreichenden Nachweis für die Benutzerauthentifizierung (oder Geräteauthentifizierung), da sie in vielen Fällen leicht gefälscht werden können."</t>
    </r>
  </si>
  <si>
    <r>
      <t>User Authentication</t>
    </r>
    <r>
      <rPr>
        <sz val="10"/>
        <color theme="1"/>
        <rFont val="Arial"/>
        <family val="2"/>
      </rPr>
      <t>: The IT system must authenticate users before granting access to data and services, except for data with security class SC0 data. The authentication method must ensure a proof of the claimed identity. Information-Box: "The account name itself is not sufficient for user authentication, since the account name is generally not a secret. An additional proof to substantiate the claimed identity is necessary. IP addresses and MAC addresses do not provide sufficient evidence for user authentication (or device authentication) as there are many cases where they can be easily spoofed."</t>
    </r>
  </si>
  <si>
    <r>
      <t>Rückmeldung über Anmeldeversuche</t>
    </r>
    <r>
      <rPr>
        <sz val="10"/>
        <color theme="1"/>
        <rFont val="Arial"/>
        <family val="2"/>
      </rPr>
      <t>: Die Rückmeldung des Authentifizierungsmechanismus während des Authentifizierungsprozesses muss verschleiert werden, um die Authentifizierungsinformationen vor einer möglichen Ausnutzung durch nicht autorisierte Benutzer zu schützen. Hinweisbox: "Eine Verschleierung kann zum Beispiel durch das Anzeigen von Sternchen erreicht werden, wenn ein Benutzer geheime Authentifizierungsinformationen (z.B. Passwort, PIN) eingibt."</t>
    </r>
  </si>
  <si>
    <r>
      <t>Authenticator Feedback</t>
    </r>
    <r>
      <rPr>
        <sz val="10"/>
        <color theme="1"/>
        <rFont val="Arial"/>
        <family val="2"/>
      </rPr>
      <t>: The feedback from the authentication mechanism must be obfuscated during the authentication process, in order to protect the authentication information from possible exploitation by unauthorized users. Information-Box: "Obfuscation can be achieved, for example, by displaying asterisks when a user enters secret authentication information (e.g., password, PIN)."</t>
    </r>
  </si>
  <si>
    <r>
      <t>Fehlerbehandlung</t>
    </r>
    <r>
      <rPr>
        <sz val="10"/>
        <color theme="1"/>
        <rFont val="Arial"/>
        <family val="2"/>
      </rPr>
      <t>: Das IT-System darf keine detaillierten Angaben zum Grund für eine fehlgeschlagene Authentifizierung machen. Falls eine Fehlermeldung angezeigt wird, muss diese generisch sein und darf nicht zeigen, welches Element der Authentifizierung fehlgeschlagen ist (z.B. falsches Passwort oder falscher Kontoname).</t>
    </r>
  </si>
  <si>
    <r>
      <t>Error Handling</t>
    </r>
    <r>
      <rPr>
        <sz val="10"/>
        <color theme="1"/>
        <rFont val="Arial"/>
        <family val="2"/>
      </rPr>
      <t>: The IT system must not provide any detail on the reason for a failed authentication. In case an error message is shown, it must be generic and must not reveal which element of the authentication failed (e.g., wrong password, or account name).</t>
    </r>
  </si>
  <si>
    <r>
      <t>Fehlgeschlagene Anmeldeversuche</t>
    </r>
    <r>
      <rPr>
        <sz val="10"/>
        <color theme="1"/>
        <rFont val="Arial"/>
        <family val="2"/>
      </rPr>
      <t>: Ein Limit für aufeinanderfolgende, ungültige Anmeldeversuche muss erzwungen werden, um Brute-Force-Attacken zu verhindern. Ist die maximale Anzahl ungültiger, aufeinanderfolgender Versuche überschritten, muss das IT-System automatisch eine der folgenden Aktionen ausführen: - Das verdächtige Konto für einen vordefinierten Zeitraum sperren oder bis ein Administrator es wieder freigibt - Die nächste Anmeldeaufforderung für einen definierten Zeitraum verzögern. Die Sperrung muss protokolliert werden.</t>
    </r>
  </si>
  <si>
    <r>
      <t>Unsuccessful Logon Attempts</t>
    </r>
    <r>
      <rPr>
        <sz val="10"/>
        <color theme="1"/>
        <rFont val="Arial"/>
        <family val="2"/>
      </rPr>
      <t>: A limited number of consecutive invalid logon attempts must be enforced to prevent brute force attacks. If the maximum number of consecutive invalid logon attempts is exceeded, the IT system has to perform one of these actions: - Lock the suspicious account for a defined time period or until it is released by an administrator. - Delay the next logon prompt for a defined time period. The lock event must be logged.</t>
    </r>
  </si>
  <si>
    <r>
      <t>Benachrichtigung über vorherige Anmeldeversuche</t>
    </r>
    <r>
      <rPr>
        <sz val="10"/>
        <color theme="1"/>
        <rFont val="Arial"/>
        <family val="2"/>
      </rPr>
      <t>: Eine Anmeldebenachrichtigung muss aktiviert sein, wenn sie vom Hersteller unterstützt wird. Nach erfolgreicher Anmeldung muss eine Benachrichtigung über Datum und Uhrzeit der letzten erfolgreichen Anmeldung bereitgestellt werden.</t>
    </r>
  </si>
  <si>
    <r>
      <t>Previous Logon (Access) Notification</t>
    </r>
    <r>
      <rPr>
        <sz val="10"/>
        <color theme="1"/>
        <rFont val="Arial"/>
        <family val="2"/>
      </rPr>
      <t>: Logon notification must be enabled if it is supported by the vendor. After successful logon, a notification about the date and time of the last successful logon must be provided.</t>
    </r>
  </si>
  <si>
    <r>
      <t>Token-basierte Authentifizierung</t>
    </r>
    <r>
      <rPr>
        <sz val="10"/>
        <color theme="1"/>
        <rFont val="Arial"/>
        <family val="2"/>
      </rPr>
      <t>: Hinweisbox: "Token-basierte Authentifizierungsmethoden sind kryptographische Methoden, welche den Nachweis der beanspruchten Identität sicherstellen, ohne den Benutzer aufzufordern, Benutzernamen und Passwort einzugeben. Beispiele für token-basierte Authentifizierungsprotokolle sind Kerberos, SAML-Token, OAuth oder OpenID Connect." Nach der initialen Authentifizierung mit einem Passwort (oder einem geheimen Schlüssel) muss eine token-basierte Authentifizierung verwendet werden. Weiterhin gelten für token-basierte Authentifizierung die folgenden Anforderungen: - NTLMv1 darf nicht verwendet werden. - Wenn sowohl NTMLv2 als auch Kerberos unterstützt werden, darf NTLMv2 nicht verwendet werden. Stattdessen muss Kerberos oder ein anderes Token-Verfahren wie z.B. SAML oder OpenID Connect verwendet werden. - Die Lebensdauer des Tokens muss unter Berücksichtigung des Kompromisses zwischen Sicherheit und Benutzererfahrung festgelegt werden.</t>
    </r>
  </si>
  <si>
    <r>
      <t>Token-based Authentication</t>
    </r>
    <r>
      <rPr>
        <sz val="10"/>
        <color theme="1"/>
        <rFont val="Arial"/>
        <family val="2"/>
      </rPr>
      <t>: Information-Box: "Token-based authentication methods are cryptographic methods which can be used to prove the claimed identity of a user without requesting the user to re-enter a username and password. Examples of token-based authentication protocols are Kerberos, SAML, OAuth or OpenID Connect." Token-based authentication must be used after initial authentication with user name and password (or secret key). Furthermore, the following requirements apply for token-based authentication: - NTLMv1 must not be used. - If both NTMLv2 and Kerberos are supported, NTLMv2 must not be used. Kerberos or other tokens, e.g., SAML or OpenID Connect must be used. - The token lifetime must be determined by considering the tradeoff between security and user experience.</t>
    </r>
  </si>
  <si>
    <r>
      <t>Authentifizierung mit Public-Key-Kryptografie</t>
    </r>
    <r>
      <rPr>
        <sz val="10"/>
        <color theme="1"/>
        <rFont val="Arial"/>
        <family val="2"/>
      </rPr>
      <t>: Wenn für die Authentifizierung die Kryptografie mit öffentlichem Schlüssel verwendet wird, muss der Schutz der privaten Schlüssel den Anforderungen für die Speicherung von Tokens in A.10.1.2. [7] (3) Standards für die Token-Speicherungfolgen. Um sicherzustellen, dass neue Anforderungen für kryptografische Algorithmen und Schlüssellängen erfüllt werden, müssen die Schlüssel mindestens alle zwei Jahre getauscht werden. Hinweisbox: "Im Gegensatz zu X.509-Zertifikaten werden SSH-Schlüssel nicht mit Metadaten versehen, z.B. einer Gültigkeitsdauer oder einer URL, über die eine Sperrliste heruntergeladen werden kann. Daher muss die SSH-Schlüsselverwaltung mit anderen Maßnahmen sichergestellt werden, um ein vergleichbares Sicherheitsniveau zu erreichen. Ein AIM-konformer Prozess ist zu empfehlen, um den Zugriff auf SSH-Schlüssel zu überprüfen. Die SSH-Schlüssel müssen bei Bedarf geändert werden. Bosch Privileged Account Management (RB-PAM) bietet eine automatische SSH-Schlüssel-Verwaltung an."</t>
    </r>
  </si>
  <si>
    <r>
      <t>Authentication with Public Key Cryptography</t>
    </r>
    <r>
      <rPr>
        <sz val="10"/>
        <color theme="1"/>
        <rFont val="Arial"/>
        <family val="2"/>
      </rPr>
      <t>: If public key cryptography is used for authentication, the protection of the private keys must follow the requirements for token storage in A.10.1.2. [7] (3) Standards for Token Storage. To ensure that new requirements for cryptographic algorithms and key length are met, keys must be rotated at least every two years. Information-Box: "In contrast to X.509 certificates, SSH keys are not annotated with metadata, e.g., validity duration or a URL where a revocation list can be downloaded. Therefore, SSH key management shall be ensured with other measures to achieve a comparable security level. An AIM compliant process shall be established to review the access to SSH keys. The SSH keys must be modified if necessary. Bosch Privileged Account Management (RB-PAM) provides automatic SSH key management."</t>
    </r>
  </si>
  <si>
    <r>
      <t>Authentifizierung mit PIN-Code</t>
    </r>
    <r>
      <rPr>
        <sz val="10"/>
        <color theme="1"/>
        <rFont val="Arial"/>
        <family val="2"/>
      </rPr>
      <t>: Die Verwendung einer PIN-Code-Authentifizierung ist nur dann zulässig, wenn keine andere Authentifizierungsmethode zur Verfügung steht oder als zusätzlicher Faktor bei der starken Authentifizierung.</t>
    </r>
  </si>
  <si>
    <r>
      <t>Authentication with PIN Code</t>
    </r>
    <r>
      <rPr>
        <sz val="10"/>
        <color theme="1"/>
        <rFont val="Arial"/>
        <family val="2"/>
      </rPr>
      <t>: The usage of a PIN Code authentication is only allowed if no other authentication method is available, or as an additional factor for strong authentication.</t>
    </r>
  </si>
  <si>
    <r>
      <t>Geschützte Kommunikation über MANs, WANs, WLANs, VPNs oder Cloud-Datennetze</t>
    </r>
    <r>
      <rPr>
        <sz val="10"/>
        <color theme="1"/>
        <rFont val="Arial"/>
        <family val="2"/>
      </rPr>
      <t>: Die Kommunikation über Metropolitan Area Networks (MANs) oder Wide Area Networks (WANs) (z.B. Standort-zu-Standort Verbindungen), drahtlose lokale Netzwerke (WLANs), virtuelle private Netze (VPNs) (Gateway zu Gateway sowie Endgerät zu Gateway) oder auf dem Weg zu/von der Cloud sind durch authentifizierte Verschlüsselung zu schützen, unabhängig von den transportierten Schutzklassen.</t>
    </r>
  </si>
  <si>
    <r>
      <t>Protected communication over MANs, WANs, WLANs, VPNs or Cloud Data Networks</t>
    </r>
    <r>
      <rPr>
        <sz val="10"/>
        <color theme="1"/>
        <rFont val="Arial"/>
        <family val="2"/>
      </rPr>
      <t>: Communication via metropolitan area networks (MANs) or wide area networks (WANs) (e.g., site-to-site links), wireless local area networks (WLANs), Virtual Private Networks (VPNs) (gateway to gateway as well as end device to gateway), or in transit to/from the Cloud must be protected via authenticated encryption regardless of the transported security-classes.</t>
    </r>
  </si>
  <si>
    <r>
      <t>Protokollierung der TLS-Parameter</t>
    </r>
    <r>
      <rPr>
        <sz val="10"/>
        <color theme="1"/>
        <rFont val="Arial"/>
        <family val="2"/>
      </rPr>
      <t>: Die vom IT-Endgerät ausgehandelten TLS-Parameter (z.B. TLS-Version, Cipher Suite und TLS-Erweiterungen) müssen protokolliert werden, falls dies vom Softwareanbieter oder Dienst standardmäßig unterstützt wird.</t>
    </r>
  </si>
  <si>
    <r>
      <t>TLS Parameter Logging</t>
    </r>
    <r>
      <rPr>
        <sz val="10"/>
        <color theme="1"/>
        <rFont val="Arial"/>
        <family val="2"/>
      </rPr>
      <t>: The negotiated TLS parameters (e.g., TLS version, cipher suite and TLS extensions) by the IT end device must be logged if it is out-of-the-box supported by the software vendor or service.</t>
    </r>
  </si>
  <si>
    <r>
      <t>Schutz der Kommunikation für die Fernverwaltung</t>
    </r>
    <r>
      <rPr>
        <sz val="10"/>
        <color theme="1"/>
        <rFont val="Arial"/>
        <family val="2"/>
      </rPr>
      <t>: Die Kommunikation zur Fernverwaltung von IT-Systemen ist durch authentifizierte Verschlüsselung zu schützen. Hinweisbox: "Als Fernverwaltung gilt jede Aufgabe, die die technische und / oder Sicherheitskonfiguration eines IT-Systems verändert. Typische Beispiele sind SSH- und RDP-Sitzungen, Remote-Skripte wie Powershell oder Werkzeuge wie SQL Management Studio, Microsoft Management Consoles (MMCs), VMware vCenter und webbasierte Konsolen."</t>
    </r>
  </si>
  <si>
    <r>
      <t>Protected Communication for Remote Administration</t>
    </r>
    <r>
      <rPr>
        <sz val="10"/>
        <color theme="1"/>
        <rFont val="Arial"/>
        <family val="2"/>
      </rPr>
      <t>: The communication for the remote administration of IT systems must be protected via authenticated encryption. Information-Box: "Every task that changes the technical and/or security configuration of an IT system is considered as remote administration. Typical examples are SSH and RDP sessions, remote scripting like PowerShell or tools like SQL Management Studio, Microsoft Management Consoles (MMCs), VMware vCenter, Web-based consoles."</t>
    </r>
  </si>
  <si>
    <r>
      <t>Datenverschlüsselung</t>
    </r>
    <r>
      <rPr>
        <sz val="10"/>
        <color theme="1"/>
        <rFont val="Arial"/>
        <family val="2"/>
      </rPr>
      <t>: Daten der Schutzklasse C-SC3 müssen vor der Übertragung und Speicherung verschlüsselt werden. Hinweisbox: " - Der Verschlüsselungsprozess muss lokal durchgeführt werden, d.h. bevor die Datei an unverschlüsselte Speicherorte verschoben wird. - Bei der Verwendung von lokalen Suchwerkzeugen muss garantiert werden, dass nur unverschlüsselte Daten indiziert werden. - Es muss sichergestellt sein, dass ein Nachfolger auf verschlüsselte Dateien zugreifen kann, z.B. durch ein erneutes Verschlüsseln."</t>
    </r>
  </si>
  <si>
    <r>
      <t>Data Encryption</t>
    </r>
    <r>
      <rPr>
        <sz val="10"/>
        <color theme="1"/>
        <rFont val="Arial"/>
        <family val="2"/>
      </rPr>
      <t>: C-SC3 classified data must be encrypted before transmission and storage. Information-Box: " - The encryption process must be locally performed, i.e., before moving the file to unencrypted locations. - When using local search tools it has to be guaranteed that only unencrypted data is indexed. - It must be ensured that encrypted files can be accessed by a successor, e.g., by means of re-encrypting."</t>
    </r>
  </si>
  <si>
    <r>
      <t>Wirksamkeit von IT-Sicherheitsmaßnahmen</t>
    </r>
    <r>
      <rPr>
        <sz val="10"/>
        <color theme="1"/>
        <rFont val="Arial"/>
        <family val="2"/>
      </rPr>
      <t>: Die Verwendung kryptografischer Maßnahmen darf die Wirksamkeit anderer IT-Sicherheitsmaßnahmen nicht beeinträchtigen. Hinweisbox: "Maßnahmen zur Verhinderung von Sicherheitsvorfällen erfordern möglicherweise eine forensische Untersuchung des Netzwerkverkehrs, z.B. um Angriffe auf die IT-Systeme zu erkennen bzw. zu verhindern. Gleichzeitig sollte die Verschlüsselung des Netzwerkverkehrs unberechtigten Zugriff auf Informationen verhindern. Beide Maßnahmen beeinflussen sich gegenseitig im negativen Sinne. Die Verwendung von Verschlüsselung sollte daher mit den Maßnahmen für die Angriffserkennung abgewogen werden, um beide Sicherheitsziele erreichen zu können."</t>
    </r>
  </si>
  <si>
    <r>
      <t>Effectiveness of IT Security Measures</t>
    </r>
    <r>
      <rPr>
        <sz val="10"/>
        <color theme="1"/>
        <rFont val="Arial"/>
        <family val="2"/>
      </rPr>
      <t>: The use of cryptographic controls must not hinder the effectiveness of other IT security measures. Information-Box: "Measures to prevent security incidents may require forensic examination of the network traffic, e.g., in order to detect and prevent attacks on the IT systems. At the same time, the encryption of network traffic should prevent unauthorized access to information. Both measures negatively affect each other. The use of encryption should therefore be balanced with measures for attack detection in order to be able to achieve both security objectives."</t>
    </r>
  </si>
  <si>
    <r>
      <t>Bewertung der Interoperabilität im Vergleich zu Best-In-Class</t>
    </r>
    <r>
      <rPr>
        <sz val="10"/>
        <color theme="1"/>
        <rFont val="Arial"/>
        <family val="2"/>
      </rPr>
      <t>: Es gibt zwei Anwendungsszenarien für die Bereitstellung von Kryptografie: "Interoperabilität" und "Best-in-Class". Die Best-in-Class Varianten sind eine Untermenge der Interoperabilitäts-Varianten, bei denen davon ausgegangen wird, dass sie die höchste Sicherheit bieten. Wenn sowohl Interoperabilität als auch Best-in-Class kryptografische Algorithmen und Schlüssellängen unterstützt werden, muss Best-in-Class verwendet werden. Hinweisbox: "Die zulässigen Algorithmen und Schlüssellängen für Best-in-Class und Interoperabilität wurden anhand der folgenden Kriterien ausgewählt: Interoperabilität - &gt;=112-Bit Zielsicherheitsstufe - Obwohl für einige Varianten geringfügige Schwachstellen bekannt sein können, wird davon ausgegangen, dass sie eine ausreichende Sicherheit gegen die meisten Klassen von Angreifern bieten. Für das Brechen dieser Varianten ist immer noch ein Zeit- und Ressourcenaufwand zu erwarten, der den Wert der Daten übersteigt außer für die sensibelsten Anwendungen. Best-in-Class - &gt;=128-Bit Zielsicherheitsstufe, die voraussichtlich auf absehbare Zeit sicher bleibt. - Kryptografische Algorithmen, die als Best-in-Class-Algorithmen bezeichnet werden, sind gut untersucht und bieten häufig auch einen Sicherheitsnachweis. - Zuverlässige Implementierungen sind weit verbreitet."</t>
    </r>
  </si>
  <si>
    <r>
      <t>Assessment of Interoperability vs. Best-In-Class</t>
    </r>
    <r>
      <rPr>
        <sz val="10"/>
        <color theme="1"/>
        <rFont val="Arial"/>
        <family val="2"/>
      </rPr>
      <t>: There are two use case scenarios for deployments of cryptography: "interoperability" and "best-in-class". The best-in-class variants are the subset of interoperability variants which are considered to provide the most robust assurance with regard to security. If both interoperability and best-in-class cryptographic algorithms and key lengths are supported, best-in-class must be used. Information-Box: "The allowed algorithms and key lengths for best-in-class and interoperability have been selected by using the following criteria: Interoperability - &gt;=112-bit target security level - Although minor weaknesses may be known for some variants, they are still considered to provide sufficient security against all but the most determined attackers. Breaking these variants is still expected to require a time and resource investment, which exceeds the value of the data to be protected for all but the most sensitive applications. Best-in-Class - &gt;=128-bit target security level which is expected to remain secure for the foreseeable future. - Cryptographic algorithms labeled as best-in-class have been well studied and often also provide a security proof. - Robust implementations are widely available."</t>
    </r>
  </si>
  <si>
    <r>
      <t>Verwendung von kryptografischen Hash-Algorithmen</t>
    </r>
    <r>
      <rPr>
        <sz val="10"/>
        <color theme="1"/>
        <rFont val="Arial"/>
        <family val="2"/>
      </rPr>
      <t>: Algorithmus: SHA-1 (FIPS 180-4) - Interoperabilität: Zulässige Verwendung beschränkt auf HMAC, Schlüsselableitungsfunktionen oder Generatoren für kryptografische Zufallszahlen. Wenn technisch machbar, darf dies nur als Fallback-Variante verwendet werden (d.h. mit der niedrigsten Priorität unter den verfügbaren Varianten). - Best-in-Class: SHA-1 darf nicht verwendet werden. Algorithmus: SHA-2 (FIPS 180-4) - Interoperabilität: SHA-256, SHA-384, SHA-512, SHA-512/256, SHA-512/224 - Best-in-Class: SHA-256, SHA-384, SHA-512, SHA-512/256 Algorithmus: SHA-3 (FIPS 202) - Interoperabilität: SHA3-224, SHA3-256, SHA3-384, SHA3-512 - Best-in-Class: SHA3-256, SHA3-384, SHA3-512</t>
    </r>
  </si>
  <si>
    <r>
      <t>Usage of Cryptographic Hash Algorithms</t>
    </r>
    <r>
      <rPr>
        <sz val="10"/>
        <color theme="1"/>
        <rFont val="Arial"/>
        <family val="2"/>
      </rPr>
      <t>: Algorithm: SHA-1 (FIPS 180-4) - Interoperability: Allowed usage restricted to HMAC, key derivation functions, or cryptographic random number generators. If technically feasible, must only be used as a fallback variant (i.e., with lowest priority among available variants). - Best-in-Class: SHA-1 must not be used. Algorithm: SHA-2 (FIPS 180-4) - Interoperability: SHA-256, SHA-384, SHA-512, SHA-512/256, SHA-512/224 - Best-in-Class: SHA-256, SHA-384, SHA-512, SHA-512/256 Algorithm: SHA-3 (FIPS 202) - Interoperability: SHA3-224, SHA3-256, SHA3-384, SHA3-512 - Best-in-Class: SHA3-256, SHA3-384, SHA3-512</t>
    </r>
  </si>
  <si>
    <r>
      <t>Verwendung von Message Authentication Code (MAC) Algorithmen</t>
    </r>
    <r>
      <rPr>
        <sz val="10"/>
        <color theme="1"/>
        <rFont val="Arial"/>
        <family val="2"/>
      </rPr>
      <t>: Algorithmus: HMAC (FIPS 198-1) - Interoperabilität: HMAC mit SHA-1, SHA-256, SHA-384 oder SHA-512 - Best-in-Class: HMAC mit SHA-256, SHA-384 oder SHA-512 Algorithmus: CMAC (NIST SP 800-38B) - Interoperabilität: CMAC mit AES-128 oder AES-256 - Best-in-Class: CMAC mit AES-128 oder AES-256</t>
    </r>
  </si>
  <si>
    <r>
      <t>Usage of Message Authentication Code (MAC) Algorithms</t>
    </r>
    <r>
      <rPr>
        <sz val="10"/>
        <color theme="1"/>
        <rFont val="Arial"/>
        <family val="2"/>
      </rPr>
      <t>: Algorithm: HMAC (FIPS 198-1) - Interoperability: HMAC with SHA-1, SHA-256, SHA-384 or SHA-512 - Best-in-Class: HMAC with SHA-256, SHA-384 or SHA-512 Algorithm: CMAC (NIST SP 800-38B) - Interoperability: CMAC with AES-128 or AES-256 - Best-in-Class: CMAC with AES-128 or AES-256</t>
    </r>
  </si>
  <si>
    <r>
      <t>Verwendung von asymmetrischen Algorithmen</t>
    </r>
    <r>
      <rPr>
        <sz val="10"/>
        <color theme="1"/>
        <rFont val="Arial"/>
        <family val="2"/>
      </rPr>
      <t>: Algorithmus: RSA (PKCS #1) - Interoperabilität (Schlüssellängen in Bits): 2048, 3072, 4096 - PKCS #1 V2.1 PSS und OAEP - PKCS #1 V1.5 Signaturen - PKCS #1 V1.5 Verschlüsselung ist nur als Fallback-Variante für TLS-Anwendungsfälle zulässig - Best-in-Class (Schlüssellängen in Bits): 3072, 4096 - PKCS #1 V2.1 PSS und OAEP Algorithmus: ECDSA (FIPS 186-4) - Interoperabilität: NIST P-256, P-384, P-521 - Best-in-Class: NIST P-256, P-384, P-521 Wenn technisch machbar, muss ECDSA mit NIST P-256 und SHA-256, P-384 mit SHA-384 oder P-521 mit SHA-512 verwendet werden. Algorithmus: EdDSA (RFC 8032) - Interoperabilität: Jede Variante aus RFC 8032 - Best-in-Class: PureEdDSA mit den elliptischen Kurven edwards25519 oder edwards448 Algorithmus: Elliptic Curve Diffie-Hellman (ECDHE) (RFC 8422) - Interoperabilität: x25519, x448, NIST P-256, P-384, P-521 - Best-in-Class: x25519, x448, NIST P-256, P-384, P-521 Algorithmus: Finite Field Diffie-Hellman (DHE) (NIST SP 800-56A) - Interoperabilität: 2048, 3072 oder 4096-Bit Modulus, falls benutzerdefinierte Parameter verwendet werden; benannte ffdhe Gruppen ffdhe2048, ffdhe3072 oder ffdhe4096 von RFC 7919 - Best-in-Class: benannte ffdhe Gruppen ffdhe3072 oder ffdhe4096 von RFC 7919 Wenn technisch machbar, muss ECDHE anstelle von DHE verwendet werden oder zumindest bevorzugt werden.</t>
    </r>
  </si>
  <si>
    <r>
      <t>Usage of Asymmetric Algorithms</t>
    </r>
    <r>
      <rPr>
        <sz val="10"/>
        <color theme="1"/>
        <rFont val="Arial"/>
        <family val="2"/>
      </rPr>
      <t>: Algorithm: RSA (PKCS #1) - Interoperability (key lengths in bits): 2048, 3072, 4096 - PKCS #1 V2.1 PSS and OAEP - PKCS #1 V1.5 signatures - PKCS #1 V1.5 encryption is only allowed as fallback variant for TLS use cases - Best-in-Class (key lengths in bits): 3072, 4096 - PKCS #1 V2.1 PSS and OAEP Algorithm: ECDSA (FIPS 186-4) - Interoperability: NIST P-256, P-384, P-521 - Best-in-Class: NIST P-256, P-384, P-521 If technically feasible, ECDSA must be used with NIST P-256 and SHA-256, P-384 with SHA-384, or P-521 with SHA-512. Algorithm: EdDSA (RFC 8032) - Interoperability: Any variant from RFC 8032 - Best-in-Class: PureEdDSA with elliptic curves edwards25519 or edwards448 Algorithm: Elliptic Curve Diffie-Hellman (ECDHE) (RFC 8422) - Interoperability: x25519, x448, NIST P-256, P-384, P-521 - Best-in-Class: x25519, x448, NIST P-256, P-384, P-521 Algorithm: Finite Field Diffie-Hellman (DHE) (NIST SP 800-56A) - Interoperability: 2048, 3072 or 4096 bit modulus in case custom parameters are used; named ffdhe groups ffdhe2048, ffdhe3072 or ffdhe4096 from RFC 7919 - Best-in-Class: named ffdhe groups ffdhe3072 or ffdhe4096 from RFC 7919 If technically feasible, ECDHE must be used instead of DHE, or at least be preferred over DHE.</t>
    </r>
  </si>
  <si>
    <r>
      <t>Verwendung von symmetrischen Verschlüsselungs-Algorithmen</t>
    </r>
    <r>
      <rPr>
        <sz val="10"/>
        <color theme="1"/>
        <rFont val="Arial"/>
        <family val="2"/>
      </rPr>
      <t>: Algorithmus: AES (FIPS 197) - Interoperabilität (Schlüssellängen in Bits): 128, 192, 256 - Verschlüsselung mit Betriebsarten Cipher Block Chaining (CBC), Counter-Mode / CBC-MAC-Protokoll (CCMP), Counter Mode (CTR). Beachten Sie, dass die CBC- und CTR-Modi mit einem geeigneten kryptografischen Nachrichtenauthentifizierungscode (MAC) kombiniert werden müssen, um eine authentifizierte Verschlüsselung bereitzustellen. - Authentifizierte Verschlüsselung mit AEAD-Chiffren wie Galois/Counter Mode (GCM), Counter mit CBC-MAC (CCM). - AES-XTS für block device encryption - Best-in-Class (Schlüssellängen in Bits): 128, 192, 256 - Authentifizierte Verschlüsselung mit AEAD-Chiffren wie Galois/Counter Mode (GCM), Counter mit CBC-MAC (CCM). - AES-XTS für block device encryption Hinweisbox: "Wenn Hardwarebeschleunigung (z.B. aktuelle Intel- oder AMD-CPUs) verfügbar ist, wird AES mit einer Schlüssellänge von 256 Bit empfohlen." Algorithmus: ChaCha20 (RFC 7539) - Interoperabilität (Schlüssellänge in Bits): 256 - Best-in-Class (Schlüssellänge in Bits): 256 ChaCha20-Poly1305 wird als AEAD-Verschlüsselung für Anwendungsfälle mit authentifizierter Verschlüsselung empfohlen, falls keine spezifische Hardwarebeschleunigung für AES verfügbar ist.</t>
    </r>
  </si>
  <si>
    <r>
      <t>Usage of Symmetric Encryption Algorithms</t>
    </r>
    <r>
      <rPr>
        <sz val="10"/>
        <color theme="1"/>
        <rFont val="Arial"/>
        <family val="2"/>
      </rPr>
      <t>: Algorithm: AES (FIPS 197) - Interoperability (key lengths in bits): 128, 192, 256 - Encryption with modes of operation Cipher Block Chaining (CBC), Counter-Mode/CBC-MAC Protocol (CCMP), Counter Mode (CTR). Note that CBC and CTR modes need to be combined with a suitable cryptographic Message Authentication Code (MAC) in order to provide authenticated encryption. - Authenticated encryption with AEAD ciphers such as Galois/Counter Mode (GCM), Counter with CBC-MAC (CCM). - AES-XTS for block device encryption - Best-in-Class (key lengths in bits): 128, 192, 256 - Authenticated encryption with AEAD ciphers such as Galois/Counter Mode (GCM), Counter with CBC-MAC (CCM). - AES-XTS for block device encryption Information-Box: "If hardware acceleration (e.g., current Intel or AMD CPUs) is available, AES with a key length of 256 bits is recommended." Algorithms: ChaCha20 and Poly1305 (RFC 7539) - Interoperability (key length in bits): 256 - Best-in-Class (key length in bits): 256 ChaCha20-Poly1305 is recommended as AEAD cipher for authenticated encryption use cases in case no specific hardware acceleration for AES is available.</t>
    </r>
  </si>
  <si>
    <r>
      <t>Handhabung von selbstsignierten Zertifikaten</t>
    </r>
    <r>
      <rPr>
        <sz val="10"/>
        <color theme="1"/>
        <rFont val="Arial"/>
        <family val="2"/>
      </rPr>
      <t>: Zertifikatsdienstleistungen für produktive IT-Systeme sind über die Public Key Zertifizierungsstelle von Bosch, dem RB-TrustCenter, zu beziehen. Hinweisbox: "Für IoT spezifische Anwendungsfälle können andere Zertifizierungsdienste zum Einsatz kommen (z.B. Escrypt)."</t>
    </r>
  </si>
  <si>
    <r>
      <t>Handling of Self-Signed Certificates</t>
    </r>
    <r>
      <rPr>
        <sz val="10"/>
        <color theme="1"/>
        <rFont val="Arial"/>
        <family val="2"/>
      </rPr>
      <t>: Certification services for productive IT systems must be obtained through the Bosch public key certification body, the RB Trust Center. Information-Box: "For IoT specific use cases, other certification services may be used (e.g., Escrypt)."</t>
    </r>
  </si>
  <si>
    <r>
      <t>Zeitraum</t>
    </r>
    <r>
      <rPr>
        <sz val="10"/>
        <color theme="1"/>
        <rFont val="Arial"/>
        <family val="2"/>
      </rPr>
      <t>: Das IT-System muss einen weiteren Zugriff auf die Sitzung verhindern, indem es nach einer Phase der Inaktivität oder nach Erhalt einer Sperraufforderung des Benutzers eine Sperrung oder Beendigung der Session einleitet.</t>
    </r>
  </si>
  <si>
    <r>
      <t>Time Period</t>
    </r>
    <r>
      <rPr>
        <sz val="10"/>
        <color theme="1"/>
        <rFont val="Arial"/>
        <family val="2"/>
      </rPr>
      <t>: The IT system must prevent further access to the session by initiating a session lock, or a session termination, after a period of inactivity or upon receiving a user lock request.</t>
    </r>
  </si>
  <si>
    <r>
      <t>Beibehaltung der Sperre</t>
    </r>
    <r>
      <rPr>
        <sz val="10"/>
        <color theme="1"/>
        <rFont val="Arial"/>
        <family val="2"/>
      </rPr>
      <t>: Das IT-System muss die Session-Sperre aufrechterhalten, bis eine gültige Benutzer-Authentifizierung erfolgt ist.</t>
    </r>
  </si>
  <si>
    <r>
      <t>Lock Retention</t>
    </r>
    <r>
      <rPr>
        <sz val="10"/>
        <color theme="1"/>
        <rFont val="Arial"/>
        <family val="2"/>
      </rPr>
      <t>: The IT system must retain the session lock until valid user authentication is performed.</t>
    </r>
  </si>
  <si>
    <r>
      <t>Geringste Funktionalität</t>
    </r>
    <r>
      <rPr>
        <sz val="10"/>
        <color theme="1"/>
        <rFont val="Arial"/>
        <family val="2"/>
      </rPr>
      <t>: Ein IT-System darf keine Funktionen bereitstellen, die für seinen legitimen Zweck nicht erforderlich sind.</t>
    </r>
  </si>
  <si>
    <r>
      <t>Least Functionality</t>
    </r>
    <r>
      <rPr>
        <sz val="10"/>
        <color theme="1"/>
        <rFont val="Arial"/>
        <family val="2"/>
      </rPr>
      <t>: An IT system must not provide functionality that is not necessary for its legitimate purpose.</t>
    </r>
  </si>
  <si>
    <r>
      <t>Integrierte Sicherheitsfunktionalität</t>
    </r>
    <r>
      <rPr>
        <sz val="10"/>
        <color theme="1"/>
        <rFont val="Arial"/>
        <family val="2"/>
      </rPr>
      <t>: Eingebaute Sicherheitsfunktionen dürfen nicht deaktiviert werden. Sicherheitsempfehlungen des Herstellers (oder bei Open Source-Software der jeweiligen Community) müssen überwacht und angewendet werden. Sofern technisch erforderlich, müssen Ausnahmen dokumentiert und jährlich auf ihre Gültigkeit überprüft werden.</t>
    </r>
  </si>
  <si>
    <r>
      <t>Built-in Security Functionalities</t>
    </r>
    <r>
      <rPr>
        <sz val="10"/>
        <color theme="1"/>
        <rFont val="Arial"/>
        <family val="2"/>
      </rPr>
      <t>: Built-in security features must not be deactivated. Security recommendations supplied by the vendor (or in case of open source software the respective community) must be monitored and applied. If technically needed, exceptions must be documented and checked annually for validity.</t>
    </r>
  </si>
  <si>
    <r>
      <t>Konfiguration der Ressourcensteuerung</t>
    </r>
    <r>
      <rPr>
        <sz val="10"/>
        <color theme="1"/>
        <rFont val="Arial"/>
        <family val="2"/>
      </rPr>
      <t>: Mechanismen zur Ressourcensteuerung, die vom Betriebssystem angeboten werden, sind so zu konfigurieren, dass Benutzer und Dienste nur auf die Ressourcen zugreifen können, auf die sie zugreifen müssen. Insbesondere: - Der Zugriff auf Dateien und Verzeichnisse muss auf das Notwendige beschränkt werden. - Die Ausführungsberechtigung der systemrelevanten Werkzeuge muss auf berechtigte Benutzer beschränkt werden. - Überwachungsfunktionen müssen aktiviert werden, um den Zugriff auf geschützte Ressourcen zu überwachen. Die Härtungsrichtlinien von CI, z.B. für Windows Server und Linux Server, sind als Referenz zu benutzen.</t>
    </r>
  </si>
  <si>
    <r>
      <t>Configuring of Resource Controls</t>
    </r>
    <r>
      <rPr>
        <sz val="10"/>
        <color theme="1"/>
        <rFont val="Arial"/>
        <family val="2"/>
      </rPr>
      <t>: Resource control mechanisms offered by the operating system must be configured to ensure that resources are not accessible to users and services that do not need to access them. In particular: - Access to files and directories must be limited to the minimum needed. - The execution privilege of system-related tools must be limited to authorized users. - Auditing must be enabled to monitor attempts to access protected resources. The hardening guidelines provided by CI, e.g., for Windows servers and Linux servers, must be used as reference.</t>
    </r>
  </si>
  <si>
    <r>
      <t>Speicherschutz in Betriebssystemen</t>
    </r>
    <r>
      <rPr>
        <sz val="10"/>
        <color theme="1"/>
        <rFont val="Arial"/>
        <family val="2"/>
      </rPr>
      <t>: Speicherschutzfunktionen wie Address Space Layout Randomization (ASLR) oder Data Execution Prevention (DEP) müssen aktiviert sein.</t>
    </r>
  </si>
  <si>
    <r>
      <t>Memory Protection in Operating Systems</t>
    </r>
    <r>
      <rPr>
        <sz val="10"/>
        <color theme="1"/>
        <rFont val="Arial"/>
        <family val="2"/>
      </rPr>
      <t>: Memory protection mechanisms such as Address Space Layout Randomization (ASLR) or Data Execution Prevention (DEP) must be activated.</t>
    </r>
  </si>
  <si>
    <r>
      <t>Vorhandene Sicherheitsfunktionalitäten</t>
    </r>
    <r>
      <rPr>
        <sz val="10"/>
        <color theme="1"/>
        <rFont val="Arial"/>
        <family val="2"/>
      </rPr>
      <t>: Eingebaute Sicherheitsfunktionen dürfen nicht deaktiviert werden. Sicherheitsempfehlungen des Herstellers (oder bei Open Source-Software der jeweiligen Community) müssen überwacht und angewendet werden. Sofern technisch erforderlich, müssen Ausnahmen dokumentiert und jährlich auf ihre Gültigkeit überprüft werden.</t>
    </r>
  </si>
  <si>
    <r>
      <t>Entfernung unnötiger Funktionalitäten</t>
    </r>
    <r>
      <rPr>
        <sz val="10"/>
        <color theme="1"/>
        <rFont val="Arial"/>
        <family val="2"/>
      </rPr>
      <t>: Funktionalitäten des Webservers, welche für den speziellen Anwendungsfall nicht erforderlich sind, müssen entfernt oder deaktiviert werden. Insbesondere: - Jeder installierte Dienst und/oder jedes Plug-In, welcher bzw. was nicht benötigt wird (z.B. Gopher Unterstützung, FTP Dienste, Remote Administration), muss entfernt oder deaktiviert werden. - Jegliche Konten, die bei der Installation des Webservers erstellt wurden und nicht benötigt werden, müssen entfernt oder deaktiviert werden. Zusätzliche Anwendungen, die während der Installation des Webservers oder der Web Anwendung installiert wurden, müssen hierbei ebenfalls berücksichtigt werden. Beispiele hierfür sind Datenbankmanagement-Systeme oder Laufzeitumgebungen für Web Anwendungen (z.B. PHP, ColdFusion). - Webserver dürfen keine Standardinhalte zurückgeben, sofern dies nicht für die Funktion des Anwendungsfalls erforderlich ist. Dies umfasst Herstellerdokumentationen, Beispielseiten, Testseiten oder ausführbaren Inhalt. - HTTP Server Header und andere Banner, welche vom Webserver gesendet werden, dürfen keinen Rückschluss auf verwendete Softwareversionen und Produktnamen des Webservers geben. - Debug- und Fehlermeldungen müssen so konfiguriert werden, dass diese keine Informationen über interne Strukturen, den Status des Webservers oder der Web-Anwendung offenlegen. Insbesondere dürfen in Nachrichten, die an IT-Endgeräte gesendet werden, keine Dateipfade oder Fehlerprotokolle angezeigt werden.</t>
    </r>
  </si>
  <si>
    <r>
      <t>Removal of Unnecessary Functionalities</t>
    </r>
    <r>
      <rPr>
        <sz val="10"/>
        <color theme="1"/>
        <rFont val="Arial"/>
        <family val="2"/>
      </rPr>
      <t>: Web server functionalities which are not needed for a specific use case of the web server installation must be removed or disabled. In particular: - Any services and/or plug-ins installed by the web server application which are not required (e.g., Gopher support, FTP services, remote administration application) must be removed or disabled. - Any account created by the web server installation that is not required must be removed or disabled. Additional applications that are installed during the installation of the web server or the web application must be taken into account in this context. Examples are database management systems, or web application runtimes (e.g., PHP, ColdFusion). - Web servers must not display default content, unless such content is necessary for the fulfillment of a specific use case. This includes manufacturer documentation, example pages, test pages, or executable content. - The HTTP server header and other banners which the web server sends must be changed in order to not report software versions and product names related to the web server installation. - Debug and error messages must be configured to avoid disclosure of information about the internal structure, the state of the web server, and the web application. In particular, no file paths or exception traces must be displayed in messages sent to IT end devices.</t>
    </r>
  </si>
  <si>
    <r>
      <t>Webserver Zugangsbeschränkungen</t>
    </r>
    <r>
      <rPr>
        <sz val="10"/>
        <color theme="1"/>
        <rFont val="Arial"/>
        <family val="2"/>
      </rPr>
      <t>: Die Laufzeitumgebung des Webservers muss auf die für den Betrieb notwendigen Ressourcen beschränkt werden. Insbesondere: - Der Webserver darf nicht mit einem privilegierten Konto ausgeführt werden. Das Konto darf nicht mit Prozessen geteilt werden, die nicht in Beziehung zueinander stehen. - Ist es erforderlich den Webserver initial mit privilegierten Berechtigungen auszuführen (z.B. erforderlich bei der Verwendung von TCP Ports kleiner 1024 auf UNIX-ähnlichen Betriebssystemen), müssen diese Berechtigungen entfernt werden, wenn der Webserver in den Betrieb überführt wird. - Dateien und Verzeichnisse, die nicht explizit vom Webserver oder einer auf dem Webserver ausgeführten Web-Anwendung beschrieben werden sollen, dürfen nicht beschreibbar sein. - Protokoll-Dateien müssen vom Webserver geschrieben, jedoch nicht gelesen werden können. Wird dies vom Softwarehersteller oder vom Service nicht unterstützt, muss die Abweichung dokumentiert werden.</t>
    </r>
  </si>
  <si>
    <r>
      <t>Web Server Access Restrictions</t>
    </r>
    <r>
      <rPr>
        <sz val="10"/>
        <color theme="1"/>
        <rFont val="Arial"/>
        <family val="2"/>
      </rPr>
      <t>: The web server's runtime access must be restricted to resources that are necessary to its operation. In particular: - The web server must not run with a privileged account. The account must not be shared with unrelated processes. - If the web server needs to run with privileged permissions during initialization (e.g., binding to TCP ports below 1024 requires special privileges on UNIX-like operating systems), it must be configured to drop these privileges on transitioning to operation. - Files and directories that are not explicitly meant to be written to by the web server, or by a web application running on the web server, must not be writeable by the web server. - Web server log files must be writeable, but not readable by the web server. If this is not supported by the software vendor or service, the deviation must be documented.</t>
    </r>
  </si>
  <si>
    <r>
      <t>Webserver Ressourcenschutz</t>
    </r>
    <r>
      <rPr>
        <sz val="10"/>
        <color theme="1"/>
        <rFont val="Arial"/>
        <family val="2"/>
      </rPr>
      <t>: Zugriffsberechtigungen zu den folgenden Ressourcen müssen auf autorisierte Prozesse und Benutzer beschränkt werden: - Dateien von Webseiten und Verzeichnissen. - Temporäre Dateien auf dem Webserver. Gibt es Dateien und/oder Verzeichnisse auf dem für IT-Endgeräte bzw. Benutzer zugänglichen Bereich des Webservers, die nicht ausgeliefert werden sollen, so muss der Webserver so konfiguriert werden, dass dieser die Anfrage zu solchen Dateien verweigert. Dies beinhaltet unter anderem: - Inkludierte Dateien, welche für Spracherweiterungen verwendet werden (z.B. PHP). - Konfigurationsdateien für installierte Web-Anwendungen.</t>
    </r>
  </si>
  <si>
    <r>
      <t>Web Server Resource Protection</t>
    </r>
    <r>
      <rPr>
        <sz val="10"/>
        <color theme="1"/>
        <rFont val="Arial"/>
        <family val="2"/>
      </rPr>
      <t>: Access permissions to the following resources must be restricted to authorized processes and users: - Web content files and directories. - Temporary files of the web server. If there are any files and/or directories inside the web server's content area that are not meant to be served to IT end devices or users, then the server must be configured to deny any request for such files. This includes, but is not limited to: - Include files that are used in language configurations (e.g., PHP). - Configuration files for installed web applications.</t>
    </r>
  </si>
  <si>
    <r>
      <t>Vermeidung gängiger Konfigurationsschwächen</t>
    </r>
    <r>
      <rPr>
        <sz val="10"/>
        <color theme="1"/>
        <rFont val="Arial"/>
        <family val="2"/>
      </rPr>
      <t>: Die Webserver-Konfiguration muss auf gängige Fehlkonfigurationen geprüft werden. Dies umfasst unter anderem: - Der Webserver darf keinen Links, Shortcuts oder anderen Verweisen außerhalb des vom Webserver zur Verfügung gestellten Bereichs folgen. - Der Webserver darf keine Auflistung von Verzeichnisinhalten zurückgeben. - Der Webserver muss so konfiguriert werden, dass er keinen Wechsel von Verzeichnissen (Path Traversal) außerhalb des vom Webserver zur Verfügung gestellten Bereichs erlaubt. - Der Webserver muss so konfiguriert werden, dass unnötige Funktionen zum Ausführen von administrativ bereitgestellten Inhalten deaktiviert sind. Dies umfasst unter anderem: - CGI (Common Gateway Interface). - ISAPI (Internet Server Application Programming Interface). - SSI (Server Side Includes).</t>
    </r>
  </si>
  <si>
    <r>
      <t>Avoidance of Common Configuration Weaknesses</t>
    </r>
    <r>
      <rPr>
        <sz val="10"/>
        <color theme="1"/>
        <rFont val="Arial"/>
        <family val="2"/>
      </rPr>
      <t>: Web server configuration must be reviewed and checked for common misconfiguration, especially: - The web server must be configured to not follow any links, shortcuts, or other pointers to outside the server's content area. - The web server must be configured to disallow enumeration of a directory's content. - The web server must be configured to disallow path traversal outside of the scope provided by the web server. - The web server must be configured to disable any unnecessary functionality for executing administrator-provided content, including, but not limited to: - CGI (Common Gateway Interface). - ISAPI (Internet Server Application Programming Interface). - SSI (Server Side Includes).</t>
    </r>
  </si>
  <si>
    <r>
      <t>Reduzierung der Anzahl der offenen Netzwerk-Ports</t>
    </r>
    <r>
      <rPr>
        <sz val="10"/>
        <color theme="1"/>
        <rFont val="Arial"/>
        <family val="2"/>
      </rPr>
      <t>: Das Betriebssystem muss auf offene Netzwerk-Ports geprüft werden. Nicht benötigte Netzwerk-Ports müssen geschlossen werden. Dienste, welche nicht benötigte Netzwerk-Ports öffnen, müssen abgeschaltet oder umkonfiguriert werden. Wenn dies nicht möglich ist, muss die Host-Firewall so konfiguriert werden, dass die Kommunikation für die jeweiligen Ports blockiert wird.</t>
    </r>
  </si>
  <si>
    <r>
      <t>Reduce the Number of Open Network Ports</t>
    </r>
    <r>
      <rPr>
        <sz val="10"/>
        <color theme="1"/>
        <rFont val="Arial"/>
        <family val="2"/>
      </rPr>
      <t>: The operating system must be checked for open network ports. Networks ports, which are not necessarily needed, must be closed. The services which open these unnecessary ports must be disabled or re-configured. If this is not possible, the host firewall must be configured to block communication to these ports.</t>
    </r>
  </si>
  <si>
    <r>
      <t>Entfernen oder Deaktivieren von nicht benötigen Diensten, Anwendungen oder Netzwerk-Protokollen</t>
    </r>
    <r>
      <rPr>
        <sz val="10"/>
        <color theme="1"/>
        <rFont val="Arial"/>
        <family val="2"/>
      </rPr>
      <t>: Bei der Konfiguration des Betriebssystems müssen Dienste, Anwendungen und Netzwerk-Protokolle entfernt bzw. deaktiviert werden, sofern sie nicht benötigt werden. Hinweisbox: "Die von CI/OSB veröffentlichten Härtungsrichtlinien für Linux und Windows beinhalten jeweils eine Liste von Diensten und Anwendungen, die typischerweise entfernt werden können, ohne die Funktionalität des Systems einzuschränken."</t>
    </r>
  </si>
  <si>
    <r>
      <t>Removing or Disabling Unnecessary Services, Applications or Network Protocols</t>
    </r>
    <r>
      <rPr>
        <sz val="10"/>
        <color theme="1"/>
        <rFont val="Arial"/>
        <family val="2"/>
      </rPr>
      <t>: When configuring the operating system, the services, applications, and network protocols that are not required must be removed or disabled. Information-Box: "The hardening guidelines for Linux and Windows published by CI/OSB include a list of services and applications which can be typically removed without limiting the system functionality."</t>
    </r>
  </si>
  <si>
    <r>
      <t>Geringste Privilegien</t>
    </r>
    <r>
      <rPr>
        <sz val="10"/>
        <color theme="1"/>
        <rFont val="Arial"/>
        <family val="2"/>
      </rPr>
      <t>: Zugriff darf nur vergeben werden, wenn dieser Zugriff für einen bestimmten Zweck erforderlich ist (Grundsatz der Verwendungsbedürftigkeit).</t>
    </r>
  </si>
  <si>
    <r>
      <t>Least Privilege</t>
    </r>
    <r>
      <rPr>
        <sz val="10"/>
        <color theme="1"/>
        <rFont val="Arial"/>
        <family val="2"/>
      </rPr>
      <t>: Access must be assigned only where such access is necessary for a specific purpose (need-to-use principle).</t>
    </r>
  </si>
  <si>
    <r>
      <t>Integrierte Sicherheitsfunktionalität</t>
    </r>
    <r>
      <rPr>
        <sz val="10"/>
        <color theme="1"/>
        <rFont val="Arial"/>
        <family val="2"/>
      </rPr>
      <t>: Eingebaute Sicherheitsfunktionen dürfen nicht deaktiviert werden. Sicherheitsempfehlungen des Herstellers (oder bei Open Source-Software der jeweiligen Community) müssen überwacht und angewendet werden. Technisch bedingte Ausnahmen müssen dokumentiert und jährlich auf ihre Gültigkeit überprüft werden.</t>
    </r>
  </si>
  <si>
    <r>
      <t>Built-in Security Functionalities</t>
    </r>
    <r>
      <rPr>
        <sz val="10"/>
        <color theme="1"/>
        <rFont val="Arial"/>
        <family val="2"/>
      </rPr>
      <t>: Built-in security features must not be deactivated. Security recommendations supplied by the vendor (or in case of open source software the respective community) must be monitored and applied. Technically-related exceptions must be documented and checked annually for validity.</t>
    </r>
  </si>
  <si>
    <r>
      <t>Änderungen und Transporte</t>
    </r>
    <r>
      <rPr>
        <sz val="10"/>
        <color theme="1"/>
        <rFont val="Arial"/>
        <family val="2"/>
      </rPr>
      <t>: Produktiv-, Entwicklungs- und Testsysteme müssen bei kaufmännischen IT Anwendungen und Systemen getrennt sowie entsprechende Notfall- und Supportprozesse berücksichtigt werden. Entsprechende Prozesse und Transporte zwischen den Systemen sind zu dokumentieren, sicher zu implementieren und zu kontrollieren. Prozesse für Systemänderungen sowie Systemmigrationen sind ebenfalls zu dokumentieren, sicher zu implementieren und zu kontrollieren.</t>
    </r>
  </si>
  <si>
    <r>
      <t>Changes and Transports</t>
    </r>
    <r>
      <rPr>
        <sz val="10"/>
        <color theme="1"/>
        <rFont val="Arial"/>
        <family val="2"/>
      </rPr>
      <t>: Production, development and test systems must be separated for Commercial IT Applications and systems. Emergency and support processes must be considered. Related processes and transports between systems must be documented, implemented securely and controlled. Additionally, processes related to system changes or system migrations must be documented, implemented securely and controlled.</t>
    </r>
  </si>
  <si>
    <r>
      <t>Ergänzende Sicherheitsanforderungen</t>
    </r>
    <r>
      <rPr>
        <sz val="10"/>
        <color theme="1"/>
        <rFont val="Arial"/>
        <family val="2"/>
      </rPr>
      <t>: Ergänzende Sicherheitsanforderungen und Prozessbeschreibungen können durch den Betreiber festgelegt werden. Sie sind durch diesen entsprechend zu dokumentieren, bei Bedarf zu aktualisieren und zu kontrollieren. Hinweisbox: "Für SAP Applikationen gelten zusätzlich die Anforderungen aus der CI Verfahrensanweisung 79 "Security of SAP Applications"."</t>
    </r>
  </si>
  <si>
    <r>
      <t>Enhanced Security Requirements</t>
    </r>
    <r>
      <rPr>
        <sz val="10"/>
        <color theme="1"/>
        <rFont val="Arial"/>
        <family val="2"/>
      </rPr>
      <t>: Enhanced security requirements and process descriptions can be defined by the operator. They must be documented accordingly, updated if required and checked. Information-Box: "For SAP applications the CI Procedure 79 "Security of SAP Applications" provides further regulations."</t>
    </r>
  </si>
  <si>
    <r>
      <t>Zugelassene Lösungen zum Schutz vor Schadsoftware</t>
    </r>
    <r>
      <rPr>
        <sz val="10"/>
        <color theme="1"/>
        <rFont val="Arial"/>
        <family val="2"/>
      </rPr>
      <t>: Um ein einheitliches Niveau beim Schutz vor Schadsoftware sicherzustellen, sind nur Lösungen zum Schutz vor Schadsoftware zugelassen, die die Anforderungen dieses Abschnitts erfüllen und die durch das Bosch Central Malware Protection Team genehmigt sind. Das Bosch Central Malware Protection Team bespricht und stimmt die Lösungen zum Schutz vor Schadsoftware mit C/IDS ab.</t>
    </r>
  </si>
  <si>
    <r>
      <t>Approved Malware Protection Solutions</t>
    </r>
    <r>
      <rPr>
        <sz val="10"/>
        <color theme="1"/>
        <rFont val="Arial"/>
        <family val="2"/>
      </rPr>
      <t>: In order to ensure an equal level of malware protection, only malware protection solutions which fulfill the requirements of this section, and which are approved by the Bosch Central Malware Protection team, are allowed. The Bosch Central Malware Protection team discusses and agrees on the malware protection solutions with C/IDS.</t>
    </r>
  </si>
  <si>
    <r>
      <t>Zentrale Verwaltung</t>
    </r>
    <r>
      <rPr>
        <sz val="10"/>
        <color theme="1"/>
        <rFont val="Arial"/>
        <family val="2"/>
      </rPr>
      <t>: Die Lösung zum Schutz vor Schadsoftware muss zentral verwaltet werden. Die zentrale Verwaltung umfasst die Planung, Implementierung, Aktualisierung, Bewertung, Autorisierung und Überwachung der Lösungen zum Schutz vor Schadsoftware.</t>
    </r>
  </si>
  <si>
    <r>
      <t>Central Management</t>
    </r>
    <r>
      <rPr>
        <sz val="10"/>
        <color theme="1"/>
        <rFont val="Arial"/>
        <family val="2"/>
      </rPr>
      <t>: The malware protection solution must be centrally managed. Central management includes planning, implementing, updating, assessing, authorizing, and monitoring the malware protection solution.</t>
    </r>
  </si>
  <si>
    <r>
      <t>Zentrale Speicherung von Sicherheitsereignissen</t>
    </r>
    <r>
      <rPr>
        <sz val="10"/>
        <color theme="1"/>
        <rFont val="Arial"/>
        <family val="2"/>
      </rPr>
      <t>: Sicherheitsereignisse, die durch die Lösung zum Schutz vor Schadsoftware generiert wurden, müssen zentral gespeichert werden.</t>
    </r>
  </si>
  <si>
    <r>
      <t>Central Logging of Security Events</t>
    </r>
    <r>
      <rPr>
        <sz val="10"/>
        <color theme="1"/>
        <rFont val="Arial"/>
        <family val="2"/>
      </rPr>
      <t>: Security events generated by the malware protection solution must be centrally logged.</t>
    </r>
  </si>
  <si>
    <r>
      <t>Automatische Aktualisierung und Verteilung von Aktualisierungen</t>
    </r>
    <r>
      <rPr>
        <sz val="10"/>
        <color theme="1"/>
        <rFont val="Arial"/>
        <family val="2"/>
      </rPr>
      <t>: Automatische Aktualisierungen der Lösung zum Schutz vor Schadsoftware (z.B. Signaturdefinitionen) müssen innerhalb von 4 Stunden nachdem die Aktualisierungen allgemein verfügbar sind, auf allen betroffenen IT-Systemen ausgebracht werden.</t>
    </r>
  </si>
  <si>
    <r>
      <t>Automatic Updates and Update Deployment</t>
    </r>
    <r>
      <rPr>
        <sz val="10"/>
        <color theme="1"/>
        <rFont val="Arial"/>
        <family val="2"/>
      </rPr>
      <t>: Automatic updates of the malware protection solution (e.g., signature definitions) must be deployed to all affected IT systems within 4h after general availability of the update.</t>
    </r>
  </si>
  <si>
    <r>
      <t>Scan-Methoden</t>
    </r>
    <r>
      <rPr>
        <sz val="10"/>
        <color theme="1"/>
        <rFont val="Arial"/>
        <family val="2"/>
      </rPr>
      <t>: Es müssen regelmäßige vollständige Scans und Echtzeitsscans durchgeführt werden.</t>
    </r>
  </si>
  <si>
    <r>
      <t>Scan Methods</t>
    </r>
    <r>
      <rPr>
        <sz val="10"/>
        <color theme="1"/>
        <rFont val="Arial"/>
        <family val="2"/>
      </rPr>
      <t>: Periodic full scans, and real-time scans must be conducted.</t>
    </r>
  </si>
  <si>
    <r>
      <t>Scan-Ausnahmen</t>
    </r>
    <r>
      <rPr>
        <sz val="10"/>
        <color theme="1"/>
        <rFont val="Arial"/>
        <family val="2"/>
      </rPr>
      <t>: - Scan-Ausnahmen dürfen nicht gleichzeitig für Echtzeitsscans und regelmäßige vollständige Scans gelten. - Scan-Ausnahmen für Dateien, Dateierweiterungen oder Dateipfade können nur für eine der genannten Arten von Scans gelten. - Scan-Ausnahmen für komplette Laufwerke sind nicht erlaubt.</t>
    </r>
  </si>
  <si>
    <r>
      <t>Scan Exceptions</t>
    </r>
    <r>
      <rPr>
        <sz val="10"/>
        <color theme="1"/>
        <rFont val="Arial"/>
        <family val="2"/>
      </rPr>
      <t>: - Scan exceptions must not apply for both, real-time scans and periodic full scans at the same time. - A scan exception for a file, a file extension, or a file path can be applied to one of the mentioned scan types. - Scan exceptions for full drives are not allowed.</t>
    </r>
  </si>
  <si>
    <r>
      <t>Umgang mit Schadsoftware-Vorfällen</t>
    </r>
    <r>
      <rPr>
        <sz val="10"/>
        <color theme="1"/>
        <rFont val="Arial"/>
        <family val="2"/>
      </rPr>
      <t>: Erkannte Schadsoftware muss blockiert und/oder unter Quarantäne gestellt werden. Hinweisbox: "Die C/IDS CD 07900-005 "Virenschutzverantwortlicher" ist zu berücksichtigen."</t>
    </r>
  </si>
  <si>
    <r>
      <t>Malware Incident Handling</t>
    </r>
    <r>
      <rPr>
        <sz val="10"/>
        <color theme="1"/>
        <rFont val="Arial"/>
        <family val="2"/>
      </rPr>
      <t>: Detected malware must be blocked and/or quarantined. Information-Box: "C/IDS CD 07900-005 "Virus Protection Responsible Contact" must be considered."</t>
    </r>
  </si>
  <si>
    <r>
      <t>Übermittlung der Protokolleinträge an einen zentralen Protokoll-Server</t>
    </r>
    <r>
      <rPr>
        <sz val="10"/>
        <color theme="1"/>
        <rFont val="Arial"/>
        <family val="2"/>
      </rPr>
      <t>: Protokolleinträge zu sicherheitsrelevanten Ereignissen müssen an einen zentralen Server übermittelt werden. Die lokale Speicherung von Protokolleinträgen ist optional. Es muss sichergestellt werden, dass die gesamten Protokolldaten an den zentralen Protokollserver übermittelt werden und keine Protokolleinträge beim Transport zum Server verloren gehen. Hinweisbox: "Das Security Information and Event Management (SIEM) des Bosch Cyber Defence Center (BCDC) ist eine geeignete Lösung, um die Anforderung umzusetzen."</t>
    </r>
  </si>
  <si>
    <r>
      <t>Transfer Log Records to Central Log Server</t>
    </r>
    <r>
      <rPr>
        <sz val="10"/>
        <color theme="1"/>
        <rFont val="Arial"/>
        <family val="2"/>
      </rPr>
      <t>: Security event log records must be transferred to a central log server. The local storage of log records is an optional addition. It must be ensured that the entire data is transferred to the central log server, and that no log records are lost in transit. Information-Box: "The Security Information and Event Management (SIEM), provided by the Bosch Cyber Defence Center (BCDC), is a suitable reference implementation of this requirement."</t>
    </r>
  </si>
  <si>
    <r>
      <t>Schnittstelle zum SIEM</t>
    </r>
    <r>
      <rPr>
        <sz val="10"/>
        <color theme="1"/>
        <rFont val="Arial"/>
        <family val="2"/>
      </rPr>
      <t>: Der zentrale Protokollserver muss eine Schnittstelle zum SIEM des Bosch Cyber Defence Centers (BCDC) anbieten.</t>
    </r>
  </si>
  <si>
    <r>
      <t>Interface to the SIEM</t>
    </r>
    <r>
      <rPr>
        <sz val="10"/>
        <color theme="1"/>
        <rFont val="Arial"/>
        <family val="2"/>
      </rPr>
      <t>: The central log server must provide an interface to the SIEM provided by the Bosch Cyber Defence Center (BCDC).</t>
    </r>
  </si>
  <si>
    <r>
      <t>Schutz der Protokolldaten</t>
    </r>
    <r>
      <rPr>
        <sz val="10"/>
        <color theme="1"/>
        <rFont val="Arial"/>
        <family val="2"/>
      </rPr>
      <t>: Protokolleinträge zu sicherheitsrelevanten Ereignissen müssen vor Manipulation, Löschung und unautorisierter Offenlegung geschützt werden. Dies gilt sowohl für die Übermittlung als auch für die Speicherung der Protokolleinträge.</t>
    </r>
  </si>
  <si>
    <r>
      <t>Protection of Log Data</t>
    </r>
    <r>
      <rPr>
        <sz val="10"/>
        <color theme="1"/>
        <rFont val="Arial"/>
        <family val="2"/>
      </rPr>
      <t>: Security event log records must be protected from manipulation, deletion and unauthorized disclosure. This applies to the transmission, as well as to the storage of the log records.</t>
    </r>
  </si>
  <si>
    <r>
      <t>Kapazität für die Speicherung der Protokolleinträge</t>
    </r>
    <r>
      <rPr>
        <sz val="10"/>
        <color theme="1"/>
        <rFont val="Arial"/>
        <family val="2"/>
      </rPr>
      <t>: Es muss sicherstellt werden, dass ausreichende Speicherkapazitäten vorhanden sind, um den Verlust von Protokolleinträgen, beispielsweise durch das Überschreiben von Protokolldaten, zu vermeiden. Hinweisbox: "Die notwendige Aufbewahrungsdauer der Protokolleinträge muss bei der Dimensionierung der Protokoll-Speicher-Kapazitäten berücksichtigt werden."</t>
    </r>
  </si>
  <si>
    <r>
      <t>Log Data Storage Capacity</t>
    </r>
    <r>
      <rPr>
        <sz val="10"/>
        <color theme="1"/>
        <rFont val="Arial"/>
        <family val="2"/>
      </rPr>
      <t>: It must be ensured that sufficient capacity is available to prevent the loss of log records, e.g., by overwriting log data. Information-Box: "The log records' necessary retention time must be taken into account for the dimensioning of the log data storage capacity."</t>
    </r>
  </si>
  <si>
    <r>
      <t>Inhalt der Protokoll-Einträge</t>
    </r>
    <r>
      <rPr>
        <sz val="10"/>
        <color theme="1"/>
        <rFont val="Arial"/>
        <family val="2"/>
      </rPr>
      <t>: Die Protokoll-Einträge müssen mindestens die folgenden Informationen beinhalten: - Den Ereignistyp des eingetretenen Ereignisses. - Wann das Ereignis stattfand. - Wo das Ereignis stattfand (z.B. IP-Adresse oder Rechnername). - Den Benutzer bzw. das Konto, welcher das Ereignis ausgelöst hat. Hinweisbox: "Beispiele gängiger sicherheitsrelevante Ereignisse, welche protokolliert werden sollen: - Anwendungsfehler: Absturz, Neustart, Erzeugung eines Memory Dumps, Änderung an den Sicherheitseinstellungen. - Betriebssystemfehler: Neustart, Kernel Dumps, Änderung an den Sicherheitseinstellungen. - Netzwerkkomponenten: Verworfene Pakete oder Verbindungen. - Generell: Erfolgreiche und fehlgeschlagene Anmeldungen und privilegierte Zugriffe."</t>
    </r>
  </si>
  <si>
    <r>
      <t>Content of Log Records</t>
    </r>
    <r>
      <rPr>
        <sz val="10"/>
        <color theme="1"/>
        <rFont val="Arial"/>
        <family val="2"/>
      </rPr>
      <t>: The security event log records must contain at least the following information: - What type of event occurred. - When the event occurred. - Where the event occurred (e.g., IP address, or host name). - The user or account associated with the event. Information-Box: "Examples of typical security events to be logged: - Application errors: Crashes, restarts, memory dump creation, changes of security settings. - Operating system errors: Reboot, kernel dumps, changes of security settings. - Network components: Denied packets or connections. - General: Successful and failed logins, privileged access."</t>
    </r>
  </si>
  <si>
    <r>
      <t>Zeitstempel</t>
    </r>
    <r>
      <rPr>
        <sz val="10"/>
        <color theme="1"/>
        <rFont val="Arial"/>
        <family val="2"/>
      </rPr>
      <t>: Zeitstempel müssen das Datum und die Uhrzeit des protokollierten Ereignisses beinhalten. Das Datum und die Uhrzeit müssen dem Universal Time Coordinated (UTC) Format entsprechen. Falls das Datum und die Uhrzeit nicht in UTC angegeben sind, muss die Zeitzone im Zeitstempel angegeben werden. Sofern das IT-System Zeitstempel mit Millisekunden unterstützt, müssen die Millisekunden im Zeitstempel angegeben werden.</t>
    </r>
  </si>
  <si>
    <r>
      <t>Timestamps</t>
    </r>
    <r>
      <rPr>
        <sz val="10"/>
        <color theme="1"/>
        <rFont val="Arial"/>
        <family val="2"/>
      </rPr>
      <t>: Timestamps must include date and time of the logged event. Date and time must be in Universal Time Coordinated (UTC) format. If date and time are not expressed in UTC, the time zone must be included. If the IT system supports timestamps with milliseconds, the milliseconds must be included.</t>
    </r>
  </si>
  <si>
    <r>
      <t>Reaktion auf Sicherheitsvorfälle</t>
    </r>
    <r>
      <rPr>
        <sz val="10"/>
        <color theme="1"/>
        <rFont val="Arial"/>
        <family val="2"/>
      </rPr>
      <t>: Bei Sicherheitsvorfällen müssen die Protokolldaten der sicherheitsrelevanten Ereignisse dem Bosch CERT zur Verfügung gestellt werden. Der unmittelbare Zugriff auf die Protokolldaten durch das Bosch CERT muss im Voraus implementiert und getestet werden.</t>
    </r>
  </si>
  <si>
    <r>
      <t>Incident Response</t>
    </r>
    <r>
      <rPr>
        <sz val="10"/>
        <color theme="1"/>
        <rFont val="Arial"/>
        <family val="2"/>
      </rPr>
      <t>: In case of a security incident, the security event log records must be provided to Bosch CERT. In preparation, a solution to allow the Bosch CERT immediate access to the log records must be implemented and tested.</t>
    </r>
  </si>
  <si>
    <r>
      <t>Verfügbarkeit von Sicherheits-Patches</t>
    </r>
    <r>
      <rPr>
        <sz val="10"/>
        <color theme="1"/>
        <rFont val="Arial"/>
        <family val="2"/>
      </rPr>
      <t>: Der Einsatz von Software die out-of-support ist oder keinen Sicherheits-Patch-Support besitzt, ist auf IT-Systemen nicht erlaubt (auch nicht für Testzwecke). Die Verfügbarkeit von Sicherheits-Patches muss durch den entsprechenden Hersteller oder, im Falle von Open Source Software, zumindest durch eine aktive Community gewährleistet werden. Für selbst entwickelte Software muss der Entwickler der Software Sicherheitspatches bereitstellen. Für bereits implementierte IT-Systeme, für die keine Sicherheits-Patches mehr verfügbar sind, muss eine Risikobewertung durchgeführt werden und es gelten die folgenden Regeln, damit der Betrieb für eine begrenzte Zeitdauer fortgesetzt werden kann: - Es muss ein Plan erstellt werden, um das IT-System innerhalb eines Jahres zu migrieren oder abzuschalten. - Das IT-System muss durch zusätzliche Härtungsmaßnahmen geschützt werden. - Das IT-System muss vom BCN (Security Layer 3) separiert und vom Internet getrennt werden, gemäß den Regeln in A.13.1. [5] (8) Getrennte Netzwerkzonen für unsichere IT-Systeme. - In dringenden Fällen, insbesondere bei drohender Gefahr oder zur Schadensverhütung, sind Bosch CERT und C/IDS berechtigt, zusätzliche Maßnahmen oder eine sofortige Abschaltung des IT-Systems durchzusetzen.</t>
    </r>
  </si>
  <si>
    <r>
      <t>Availability of Security Patches</t>
    </r>
    <r>
      <rPr>
        <sz val="10"/>
        <color theme="1"/>
        <rFont val="Arial"/>
        <family val="2"/>
      </rPr>
      <t>: Software that is out-of-support or with no support for security patches is not allowed on any IT system (even if it is only for testing purposes). The availability of security patches must be ensured by the respective software vendor, or in the case of open source software, at least by an active community. For self-developed software, the developer of the software must provide security patches. For already implemented IT systems for which security patches are no longer available, a risk assessment must be performed and the following rules apply to continue operation for a limited period of time: - A plan must be set up to migrate or shutdown the IT system within one year. - The IT system must be protected by additional hardening measures. - The IT system must be separated from the BCN (security layer 3) and disconnected from the Internet according to the regulations in A.13.1. [5] (8) Separate Network Zones for Insecure IT Systems. - In urgent cases, in particular if there is imminent danger or a need to prevent damage, Bosch CERT and C/IDS are entitled to enforce additional measures or an immediate shutdown of the IT system.</t>
    </r>
  </si>
  <si>
    <r>
      <t>Zeitraum für die Implementierung</t>
    </r>
    <r>
      <rPr>
        <sz val="10"/>
        <color theme="1"/>
        <rFont val="Arial"/>
        <family val="2"/>
      </rPr>
      <t>: Sicherheits-Patches müssen ohne unnötige Verzögerung installiert werden. - Für Software mit Bosch CERT Sicherheitsanweisungen gilt, dass Sicherheits-Patches in dem vom Bosch CERT vorgegeben Zeitraum installiert werden müssen. - Für Software ohne Bosch CERT Sicherheitsanweisungen gilt, dass Sicherheits-Patches in einem vordefinierten, regelmäßigen Patch-Zyklus (mindestens viermal pro Jahr) entsprechend dem Veröffentlichungszyklus und Empfehlungen des Software-Herstellers installiert werden müssen.</t>
    </r>
  </si>
  <si>
    <r>
      <t>Time Frame for Implementation</t>
    </r>
    <r>
      <rPr>
        <sz val="10"/>
        <color theme="1"/>
        <rFont val="Arial"/>
        <family val="2"/>
      </rPr>
      <t>: Security patches must be installed without unnecessary delay. - For software with existing Bosch CERT advisories, security patches must be installed within the time period directed by Bosch CERT. - For software without Bosch CERT advisories, security patches must be installed in a pre-defined, regular patch cycle (at least four times a year) according to the software vendor's publishing cycle and recommendations.</t>
    </r>
  </si>
  <si>
    <r>
      <t>Abweichungen</t>
    </r>
    <r>
      <rPr>
        <sz val="10"/>
        <color theme="1"/>
        <rFont val="Arial"/>
        <family val="2"/>
      </rPr>
      <t>: Wenn Sicherheits-Patches nicht im vorgegeben Zeitraum installiert werden können, dann muss die verantwortliche Einheit dem Bosch CERT einen Implementierungsplan vorlegen, der die folgenden Informationen enthält: - Den Grund für die Verzögerung. - Die betroffenen Systeme. - Einen Zeitplan für die Implementierung. - Die Maßnahmen für eine temporäre Verminderung des Risikos Dem Bosch CERT ist es erlaubt diese Informationen zu kommentieren und Nachbesserungen einzufordern.</t>
    </r>
  </si>
  <si>
    <r>
      <t>Non-Compliance</t>
    </r>
    <r>
      <rPr>
        <sz val="10"/>
        <color theme="1"/>
        <rFont val="Arial"/>
        <family val="2"/>
      </rPr>
      <t>: If security patches cannot be installed within the given time frame, the responsible unit must provide Bosch CERT with an implementation plan defining the following aspects: - The reason for the delay. - The affected systems. - Timeline for the implementation. - The measures for temporary mitigation Bosch CERT can comment on the provided information, and request improvements to the implementation plan.</t>
    </r>
  </si>
  <si>
    <r>
      <t>Installation aus vertrauenswürdigen Quellen</t>
    </r>
    <r>
      <rPr>
        <sz val="10"/>
        <color theme="1"/>
        <rFont val="Arial"/>
        <family val="2"/>
      </rPr>
      <t>: Software aus nicht vertrauenswürdigen Quellen darf nicht installiert werden. Hinweisbox: "Eine Quelle kann als vertrauenswürdig betrachten werden, wenn beispielsweise der Anbieter der Quelle vertrauenswürdig ist und eine kryptographische Signatur der Software verfügbar ist, die vor der Installation verifiziert wird."</t>
    </r>
  </si>
  <si>
    <r>
      <t>Installation from Trustworthy Sources</t>
    </r>
    <r>
      <rPr>
        <sz val="10"/>
        <color theme="1"/>
        <rFont val="Arial"/>
        <family val="2"/>
      </rPr>
      <t>: Software from untrustworthy sources must not be installed. Information-Box: "A source can be assumed to be trustworthy, e.g., if the provider of the source is trustworthy, and if a cryptographic signature of the software is available and verified before installation."</t>
    </r>
  </si>
  <si>
    <r>
      <t>Dokumentation der installierten Software</t>
    </r>
    <r>
      <rPr>
        <sz val="10"/>
        <color theme="1"/>
        <rFont val="Arial"/>
        <family val="2"/>
      </rPr>
      <t>: Die Quelle, von der die Software installiert wird, muss dokumentiert werden.</t>
    </r>
  </si>
  <si>
    <r>
      <t>Documentation of Installed Software</t>
    </r>
    <r>
      <rPr>
        <sz val="10"/>
        <color theme="1"/>
        <rFont val="Arial"/>
        <family val="2"/>
      </rPr>
      <t>: The source of the installed software must be documented.</t>
    </r>
  </si>
  <si>
    <r>
      <t>Einsatz von Gateways auf der Anwendungsschicht</t>
    </r>
    <r>
      <rPr>
        <sz val="10"/>
        <color theme="1"/>
        <rFont val="Arial"/>
        <family val="2"/>
      </rPr>
      <t>: Der Zugriff auf das Internet aus Bosch internen Netzen darf nur über Gateways auf der Anwendungsschicht (ALG) erfolgen. Das ALG muss folgende Funktionalität erfüllen: - Das ALG muss Inhalte auf der Anwendungsschicht filtern können, z.B. mit "Blacklist" mit unautorisierten URLs. - Das ALG muss eine akkurate Identifikation des Benutzers ermöglichen, z.B. mit einer authentisierten Benutzer ID, oder mit einer IP Adresse, die dem Benutzer zugeordnet werden kann.</t>
    </r>
  </si>
  <si>
    <r>
      <t>Use of Application Layer Gateways</t>
    </r>
    <r>
      <rPr>
        <sz val="10"/>
        <color theme="1"/>
        <rFont val="Arial"/>
        <family val="2"/>
      </rPr>
      <t>: Access to the Internet from Bosch internal networks must be provided only via application layer gateways (ALG). The ALG solution must provide the following functionality: - The ALG must be able to filter application content, e.g., with blacklist with unauthorized resource URLs. - The ALG solution must allow for the accurate identification of the user: E.g., with an authenticated user ID or an IP address, which can be correlated to the user.</t>
    </r>
  </si>
  <si>
    <r>
      <t>Blockieren von Anfragen an unautorisierte Ressourcen</t>
    </r>
    <r>
      <rPr>
        <sz val="10"/>
        <color theme="1"/>
        <rFont val="Arial"/>
        <family val="2"/>
      </rPr>
      <t>: Anfragen an unautorisierte Ressourcen müssen blockiert werden. Die Gateway Lösung auf der Anwendungsschicht (Application Layer Gateway - ALG) muss daher eine Liste von unautorisierten Ressourcen URLs führen. Hinweisbox: "Beispiele von Ressourcen, die gefiltert werden: - Inhalte, die gegen Bosch Ethik oder Gesetze verstoßen. - Webseiten mit verdächtigem oder schadhaften Inhalt. Die Kriterien für das Blockieren von Ressourcen sind mit der zentralen Bosch Rechtsabteilung und C/IDS abgestimmt, und werden durch die zuständige Netzwerksicherheitsgruppe im CI verwaltet."</t>
    </r>
  </si>
  <si>
    <r>
      <t>Blocking of Requests to Unauthorized Resources</t>
    </r>
    <r>
      <rPr>
        <sz val="10"/>
        <color theme="1"/>
        <rFont val="Arial"/>
        <family val="2"/>
      </rPr>
      <t>: Requests to unauthorized resources must be blocked. Therefore, the solution for application layer gateways must maintain a list of unauthorized resource URLs. Information-Box: "Examples of resources that are filtered: - Content conflicting with (Bosch) ethics or laws, - Web sites with suspicious or malicious content. The criteria for blocking resources are agreed with Bosch legal and C/IDS, and managed by the CI Network Security group."</t>
    </r>
  </si>
  <si>
    <r>
      <t>Lebenszyklus der Regeln für Zugriff auf das Internet</t>
    </r>
    <r>
      <rPr>
        <sz val="10"/>
        <color theme="1"/>
        <rFont val="Arial"/>
        <family val="2"/>
      </rPr>
      <t>: Es muss mindestens alle 24 Monate geprüft werden, ob Regeln für Zugriff auf das Internet benötigt werden und die Bosch Sicherheitsanforderungen erfüllen, insbesondere die Anforderungen der vorliegenden C-Direktive. Regeln für den Internet-Zugriff, die in den letzten 24 Monaten nicht benötigt wurden, müssen bereinigt werden. Die Notwendigkeit der Regeln muss sonst organisatorisch und technisch begründet werden (z.B. Bestätigung von der verantwortlichen Stelle und zusätzlich Log-Daten, welche die Notwendigkeit belegen).</t>
    </r>
  </si>
  <si>
    <r>
      <t>Internet Access Rule Lifecycle</t>
    </r>
    <r>
      <rPr>
        <sz val="10"/>
        <color theme="1"/>
        <rFont val="Arial"/>
        <family val="2"/>
      </rPr>
      <t>: Regular reviews must be conducted at least every 24 months to validate that a rule for Internet access is still needed and does not violate the Bosch security requirements, in particular the requirements from this C-Directive. Rules for Internet access which have not been used in the 24 last months must be deleted unless it can be proven by both organizational and technical means that the rule is still needed (e.g., confirmation from the responsible department as well as sufficient evidence in the respective log records).</t>
    </r>
  </si>
  <si>
    <r>
      <t>Physische Trennung zwischen DMZ, ESZ und BCN</t>
    </r>
    <r>
      <rPr>
        <sz val="10"/>
        <color theme="1"/>
        <rFont val="Arial"/>
        <family val="2"/>
      </rPr>
      <t>: IT-Systeme in der DMZ und BCN müssen physisch getrennt werden. Eine gemeinsame Nutzung von IT-Systemen aus der DMZ und BCN ist nicht zulässig. Dies beinhaltet die Nutzung derselben Hardware für den Betrieb unterschiedlicher Software-Dienste, die gemeinsame Nutzung eines Hypervisors für unterschiedliche virtuellen Maschinen und die Nutzung von gemeinsamen Speicher-Anwendungen mit logischen "Volumes", die gleichzeitig aus der DMZ und BCN erreichbar sind. Eine gemeinsame Nutzung von IT-Systemen aus der DMZ und ESZ oder aus der ESZ und BCN muss mit C/IDS abgestimmt werden.</t>
    </r>
  </si>
  <si>
    <r>
      <t>Physical Separation between the DMZ, ESZ and the BCN</t>
    </r>
    <r>
      <rPr>
        <sz val="10"/>
        <color theme="1"/>
        <rFont val="Arial"/>
        <family val="2"/>
      </rPr>
      <t>: IT systems in the DMZ and the BCN must be physically separated. Sharing of IT systems is not allowed between these zones. This includes running IT services in the DMZ and BCN on the same hardware, running virtualization servers with different VMs in the DMZ and BCN, and using storage appliances with different logical volumes accessible from the DMZ and BCN. Sharing IT systems between the DMZ and the ESZ, or between the ESZ and the BCN must be agreed with C/IDS.</t>
    </r>
  </si>
  <si>
    <r>
      <t>Netze von Organisationseinheiten der Bosch Gruppe</t>
    </r>
    <r>
      <rPr>
        <sz val="10"/>
        <color theme="1"/>
        <rFont val="Arial"/>
        <family val="2"/>
      </rPr>
      <t>: Falls eine OE ein eigenes Netz betreibt, muss das Netz der OE vom BCN durch eine Firewall getrennt werden. Die Kommunikation zwischen dem Internet und dem internen Netz der OE muss durch eine DMZ mit einer Firewall kontrolliert werden.</t>
    </r>
  </si>
  <si>
    <r>
      <t>Networks for OEs of the Bosch Group</t>
    </r>
    <r>
      <rPr>
        <sz val="10"/>
        <color theme="1"/>
        <rFont val="Arial"/>
        <family val="2"/>
      </rPr>
      <t>: In case a OE operates its own network, the network must be separated from the BCN by a firewall. Communication between the Internet and the OE's internal network must be controlled by a DMZ with a firewall.</t>
    </r>
  </si>
  <si>
    <r>
      <t>Trennung von Geräten und Netzen dritter Parteien</t>
    </r>
    <r>
      <rPr>
        <sz val="10"/>
        <color theme="1"/>
        <rFont val="Arial"/>
        <family val="2"/>
      </rPr>
      <t>: Netze, die von externen Dienstleistern oder Abteilungen außerhalb vom CI betrieben werden, dürfen nicht transparent ans BCN angeschlossen werden. Der Einsatz solcher Netze muss mit C/IDS abgestimmt werden. Falls eingehende oder ausgehende Verbindungen zwischen dem Netz der dritten Partei und anderen Netzwerkzonen notwendig sind, muss sichergestellt werden, dass von dem Netz der dritten Partei keine Bedrohungen ausgehen. Bei ITM und ITE gelten die jeweiligen Domänen-spezifischen Regelungen CD 04602 "IT in der Fertigung" und CD 07151 "IT in der Entwicklung". Hinweisbox: "Ein Beispiel für ein solches Netz einer dritten Partei ist ein LAN für eine VoIP Lösung, das von einem externen Dienstleister betrieben wird."</t>
    </r>
  </si>
  <si>
    <r>
      <t>Separation of Third Party Networks and Third Party Devices</t>
    </r>
    <r>
      <rPr>
        <sz val="10"/>
        <color theme="1"/>
        <rFont val="Arial"/>
        <family val="2"/>
      </rPr>
      <t>: Networks operated by an external provider or by a department other than CI must not be transparently connected to the BCN. The deployment of such networks must be agreed with C/IDS. If incoming or outgoing connections between the third party's network and other network zones are required, it must be guaranteed that no threats arise from the third party's network. For ITM and ITE the relevant domain-specific regulations CD 04602 "IT in Manufacturing" and CD 07151 "IT in Engineering" apply. Information-Box: "An example for a third party network is a LAN for a VoIP solution operated by an external provider."</t>
    </r>
  </si>
  <si>
    <r>
      <t>Getrennte Netzwerkzonen für kritische IT-Systeme und kritische Daten</t>
    </r>
    <r>
      <rPr>
        <sz val="10"/>
        <color theme="1"/>
        <rFont val="Arial"/>
        <family val="2"/>
      </rPr>
      <t>: Kritische IT-Systeme müssen in getrennten Netzwerkzonen bereitgestellt werden. Kritische IT-Systeme sind unter anderem - IT-Systeme, die C-SC3 oder I-SC3 Daten verarbeiten oder speichern, - IT-Systeme für Facility Management, z.B. für Gebäude-Automation. - IT-Systeme, die staatlich angeordnete Software bereitstellt, z.B. für steuerliche Zwecke.</t>
    </r>
  </si>
  <si>
    <r>
      <t>Separate Network Zones for Critical IT Systems and Critical Data</t>
    </r>
    <r>
      <rPr>
        <sz val="10"/>
        <color theme="1"/>
        <rFont val="Arial"/>
        <family val="2"/>
      </rPr>
      <t>: Critical IT systems must be hosted in separate network zones. This includes - IT systems processing or storing C-SC3 or I-SC3 data, - IT systems used for facility management, e.g., for building automation. - IT systems hosting software required by governments, e.g., for tax purposes.</t>
    </r>
  </si>
  <si>
    <r>
      <t>Getrennte Netzwerkzonen für IT Management</t>
    </r>
    <r>
      <rPr>
        <sz val="10"/>
        <color theme="1"/>
        <rFont val="Arial"/>
        <family val="2"/>
      </rPr>
      <t>: Zentrale IT-Systeme, die für die Verwaltung der IT-Infrastruktur genutzt werden (z.B. Server, Netze oder Speichersysteme) müssen in Restricted Security Zones (RSZ) separiert werden.</t>
    </r>
  </si>
  <si>
    <r>
      <t>Separate Network Zones for IT Management</t>
    </r>
    <r>
      <rPr>
        <sz val="10"/>
        <color theme="1"/>
        <rFont val="Arial"/>
        <family val="2"/>
      </rPr>
      <t>: Central IT systems used for the management of the IT infrastructure (e.g., management of servers, networks, or storage), must be separated in Restricted Security Zones (RSZ).</t>
    </r>
  </si>
  <si>
    <r>
      <t>Getrennte Netzwerkzonen für unsichere IT-Systeme</t>
    </r>
    <r>
      <rPr>
        <sz val="10"/>
        <color theme="1"/>
        <rFont val="Arial"/>
        <family val="2"/>
      </rPr>
      <t>: IT-Systeme, welche in Betrieb sind, jedoch die Bosch IT-Sicherheitsanforderungen nicht oder nur teilweise erfüllen, insbesondere die Anforderungen aus der vorliegenden C-Directive, müssen in getrennten Netzwerkzonen isoliert werden. Falls Verbindungen zwischen der unsicheren Netzwerkzone und anderen Netzwerkzonen notwendig sind, muss sichergestellt werden, dass die IT-Systeme in den jeweiligen Zonen sich gegenseitig nicht gefährden. Bei ITM und ITE gelten die jeweiligen Domänen-spezifischen Regelungen CD 04602 "IT in der Fertigung" und CD 07151 "IT in der Entwicklung".</t>
    </r>
  </si>
  <si>
    <r>
      <t>Separate Network Zones for Insecure IT Systems</t>
    </r>
    <r>
      <rPr>
        <sz val="10"/>
        <color theme="1"/>
        <rFont val="Arial"/>
        <family val="2"/>
      </rPr>
      <t>: IT systems which are in operation, but do not fulfill or only partially fulfill Bosch security requirements, in particular the requirements of this C-Directive, must be isolated into separate network zones. If incoming or outgoing connections between the insecure network zone and other network zones are required, it must be guaranteed that no risk arises from the insecure IT system towards other zones and from other zones towards the IT system. For ITM and ITE the relevant domain-specific regulations CD 04602 "IT in Manufacturing" and CD 07151 "IT in Engineering" apply.</t>
    </r>
  </si>
  <si>
    <r>
      <t>Lebenszyklus der Firewall-Regeln</t>
    </r>
    <r>
      <rPr>
        <sz val="10"/>
        <color theme="1"/>
        <rFont val="Arial"/>
        <family val="2"/>
      </rPr>
      <t>: Es muss mindestens alle 24 Monate geprüft werden, ob Firewall-Regeln benötigt werden und die Bosch Sicherheitsanforderungen erfüllen, insbesondere die Anforderungen der vorliegenden C-Directive. Firewall-Regeln, die in den letzten 24 Monaten nicht benötigt wurden, müssen bereinigt werden. Die Notwendigkeit der Firewall-Regeln muss sonst organisatorisch und technisch begründet werden (z.B. Bestätigung von der verantwortlichen Stelle und zusätzlich Log-Daten, welche die Notwendigkeit belegen).</t>
    </r>
  </si>
  <si>
    <r>
      <t>Firewall Rule Lifecycle</t>
    </r>
    <r>
      <rPr>
        <sz val="10"/>
        <color theme="1"/>
        <rFont val="Arial"/>
        <family val="2"/>
      </rPr>
      <t>: Regular reviews must be conducted at least every 24 months to validate that a firewall rule is still needed and does not violate the Bosch security requirements, in particular the requirements from this C-Directive. Firewall rules which have not been used in the 24 last months must be deleted unless it can be proven by both organizational and technical means that the firewall rule is still needed (e.g., confirmation from the responsible department as well as sufficient evidence in the firewall logs).</t>
    </r>
  </si>
  <si>
    <r>
      <t>Standard-Richtlinie</t>
    </r>
    <r>
      <rPr>
        <sz val="10"/>
        <color theme="1"/>
        <rFont val="Arial"/>
        <family val="2"/>
      </rPr>
      <t>: Die Host-Firewall muss mit der Standard-Einstellung "Deny - All Inbound" konfiguriert werden (Whitelisting-Ansatz). Es dürfen nur die eingehenden Verbindungen erlaubt werden, die von den Diensten und Anwendungen auf dem IT-System benötigt werden. Bei Bestandssystemen, bei denen die "Deny - All Inbound"-Richtlinie zu einer signifikanten Einschränkung der Funktionalität führen würde, muss mindestens einmal jährlich (z.B. bei der Aktualisierung auf ein neues Betriebssystem) geprüft werden, ob die "Deny - All Inbound"-Richtlinie aktiviert werden kann.</t>
    </r>
  </si>
  <si>
    <r>
      <t>Default Policy</t>
    </r>
    <r>
      <rPr>
        <sz val="10"/>
        <color theme="1"/>
        <rFont val="Arial"/>
        <family val="2"/>
      </rPr>
      <t>: The host firewall must be configured with a "Deny - All Inbound" policy by default (whitelisting approach). Only incoming communication needed by the services and applications running on the IT system must be permitted. For legacy systems where the "Deny - All Inbound" policy would lead to significant limitations in the functionality, it must be checked at least once a year (e.g., when upgrading to a new operating system), if the "Deny - All Inbound" policy can be activated.</t>
    </r>
  </si>
  <si>
    <r>
      <t>Inhaltsprüfung des Verkehrs auf der Anwendungsschicht</t>
    </r>
    <r>
      <rPr>
        <sz val="10"/>
        <color theme="1"/>
        <rFont val="Arial"/>
        <family val="2"/>
      </rPr>
      <t>: Die Netzwerkkomponenten, die am Bosch Netzwerkperimeter eingesetzt werden, müssen das Protokoll auf der Anwendungsschicht unabhängig von der Schicht-4-Portnummer erkennen, z.B. HTTPS Verkehr, der nicht über TCP Port 443 läuft. Die Kommunikation durch den Bosch Netzwerkperimeter muss auf Inhalte geprüft werden, die versuchen, das Netzwerkzonenkonzept zu umgehen, z.B. SSH über TCP Port 80 oder TCP Port 443. Hinweisbox: "Der Bosch Netzwerkperimeter beinhaltet die Grenzen: - Zwischen der DMZ und dem Internet. - Zwischen dem BCN und Partner-Netzen."</t>
    </r>
  </si>
  <si>
    <r>
      <t>Inspection of Application Layer Traffic</t>
    </r>
    <r>
      <rPr>
        <sz val="10"/>
        <color theme="1"/>
        <rFont val="Arial"/>
        <family val="2"/>
      </rPr>
      <t>: The network components deployed at the Bosch network perimeter must be able to detect the application layer protocol independently of the used layer 4 port numbers, e.g., using HTTPS on TCP port other than 443. The communication across the Bosch network perimeter must be inspected for communication trying to bypass the network zone concept, e.g., SSH over TCP port 80 or TCP port 443. Information-Box: "Bosch network perimeter includes the borders: - Between the DMZ and the Internet. - Between the BCN and partners' networks."</t>
    </r>
  </si>
  <si>
    <r>
      <t>Netzwerk Intrusion Detection Systeme (NIDS)</t>
    </r>
    <r>
      <rPr>
        <sz val="10"/>
        <color theme="1"/>
        <rFont val="Arial"/>
        <family val="2"/>
      </rPr>
      <t>: Netzwerk Intrusion Detection Systeme (NIDS) müssen am Bosch Netzperimeter eingesetzt werden, um bekannte Angriffe im Netzwerk-Verkehr zu erkennen. Die NIDS müssen so konfiguriert werden, dass die generierten Warnungen zum SIEM gesendet werden, das durch das Bosch Cyber Defence Center (BCDC) zur Verfügung gestellt wird.</t>
    </r>
  </si>
  <si>
    <r>
      <t>Network Intrusion Detection System (NIDS)</t>
    </r>
    <r>
      <rPr>
        <sz val="10"/>
        <color theme="1"/>
        <rFont val="Arial"/>
        <family val="2"/>
      </rPr>
      <t>: Network Intrusion Detection Systems (NIDS) must be deployed at the Bosch network perimeter to detect known attacks in the network traffic. NIDS must be configured to send the generated alerts to the SIEM provided by the Bosch Cyber Defence Center (BCDC).</t>
    </r>
  </si>
  <si>
    <r>
      <t>Vollständige Paketerfassung</t>
    </r>
    <r>
      <rPr>
        <sz val="10"/>
        <color theme="1"/>
        <rFont val="Arial"/>
        <family val="2"/>
      </rPr>
      <t>: Bei eingehender Netzwerkkommunikation am Bosch Netzwerkperimeter müssen vollständige IP-Pakete erfasst und für forensische Zwecke gespeichert werden. Die Dauer der Speicherung beträgt mindestens 7 Tage.</t>
    </r>
  </si>
  <si>
    <r>
      <t>Full Packet Capture</t>
    </r>
    <r>
      <rPr>
        <sz val="10"/>
        <color theme="1"/>
        <rFont val="Arial"/>
        <family val="2"/>
      </rPr>
      <t>: Incoming network communication at the Bosch network perimeter must be captured with full IP packets and stored for potential forensic investigation for at least 7 days.</t>
    </r>
  </si>
  <si>
    <r>
      <t>Verarbeitung von verschlüsseltem Verkehr</t>
    </r>
    <r>
      <rPr>
        <sz val="10"/>
        <color theme="1"/>
        <rFont val="Arial"/>
        <family val="2"/>
      </rPr>
      <t>: Verschlüsselter Verkehr, der den Bosch Netzwerkperimeter durchquert, muss sofern es notwendig und technisch möglich ist, für weitere Analysen entschlüsselt werden. Hinweisbox: "Die Entschlüsselung des Netzwerkverkehrs muss von Fall zu Fall auf der Grundlage des zu erwarteten Risikos entschieden werden (z.B. im Kontext von Datenschutz, Produktsicherheit, Unternehmensschutz, Verbraucherschutz)."</t>
    </r>
  </si>
  <si>
    <r>
      <t>Processing encrypted traffic</t>
    </r>
    <r>
      <rPr>
        <sz val="10"/>
        <color theme="1"/>
        <rFont val="Arial"/>
        <family val="2"/>
      </rPr>
      <t>: Encrypted traffic crossing the Bosch network perimeter must be decrypted for further inspection where it is necessary and where it is technically feasible. Information-Box: "The decryption of the network traffic has to be done decided on a case-by-case basis based on the expected risk (e.g., in the context of data protection, product safety, company protection, consumer protection)."</t>
    </r>
  </si>
  <si>
    <r>
      <t>Sitzungsüberwachung</t>
    </r>
    <r>
      <rPr>
        <sz val="10"/>
        <color theme="1"/>
        <rFont val="Arial"/>
        <family val="2"/>
      </rPr>
      <t>: Eingehende privilegierte Fernsitzungen am Bosch Netzwerkperimeter, z.B. mit SSH oder RDP, müssen aufgezeichnet werden.</t>
    </r>
  </si>
  <si>
    <r>
      <t>Session Monitoring</t>
    </r>
    <r>
      <rPr>
        <sz val="10"/>
        <color theme="1"/>
        <rFont val="Arial"/>
        <family val="2"/>
      </rPr>
      <t>: Incoming remote privileged sessions at the Bosch network perimeter, e.g., with SSH or RDP, must be recorded.</t>
    </r>
  </si>
  <si>
    <r>
      <t>Durchsetzung von Sitzungsrichtlinien</t>
    </r>
    <r>
      <rPr>
        <sz val="10"/>
        <color theme="1"/>
        <rFont val="Arial"/>
        <family val="2"/>
      </rPr>
      <t>: Eingehende privilegierte Fernsitzungen am Bosch Netzwerkperimeter, z.B. mit SSH oder RDP, müssen nach dem Prinzip "minimale Funktionalität" ("Least Functionality") eingeschränkt werden.</t>
    </r>
  </si>
  <si>
    <r>
      <t>Session Policy Enforcement</t>
    </r>
    <r>
      <rPr>
        <sz val="10"/>
        <color theme="1"/>
        <rFont val="Arial"/>
        <family val="2"/>
      </rPr>
      <t>: Incoming remote privileged sessions at the Bosch network perimeter, e.g., with SSH or RDP, must be limited according the least functionality principle.</t>
    </r>
  </si>
  <si>
    <r>
      <t>Schutz gegen Denial of Service (DoS) Angriffe</t>
    </r>
    <r>
      <rPr>
        <sz val="10"/>
        <color theme="1"/>
        <rFont val="Arial"/>
        <family val="2"/>
      </rPr>
      <t>: Ein Basisschutz mit Prozessen und Technologien muss umgesetzt werden, um (verteilte) DoS Angriffe abzuwehren bzw. deren Wirksamkeit einzuschränken.</t>
    </r>
  </si>
  <si>
    <r>
      <t>Denial of Service (DoS) Protection</t>
    </r>
    <r>
      <rPr>
        <sz val="10"/>
        <color theme="1"/>
        <rFont val="Arial"/>
        <family val="2"/>
      </rPr>
      <t>: Baseline processes and techniques must be implemented for protecting against, or limiting the effects of (Distributed) Denial of Service attacks.</t>
    </r>
  </si>
  <si>
    <r>
      <t>Inventarisierung von Schnittstellen</t>
    </r>
    <r>
      <rPr>
        <sz val="10"/>
        <color theme="1"/>
        <rFont val="Arial"/>
        <family val="2"/>
      </rPr>
      <t>: Eine Schnittstelle, die sich auf Anwendungen oder Systeme bezieht und die damit erstellte Verbindungen zum Daten- oder Informationsaustausch zwischen Anwendungen oder Systemen unterstützt, muss in einer zentralen Datenbank dokumentiert und inventarisiert werden. Außerdem muss ihr Zweck (Beschreibung), Sender (Interface Provider), Empfänger (Interface Customer) und die übertragenen Datenobjekte für jede Schnittstelle dokumentiert werden. Hinweisbox: "Ein Beispiel für eine solche zentrale Datenbank ist LeanIX, welche Daten über IT Applikationen und Schnittstellen beinhaltet."</t>
    </r>
  </si>
  <si>
    <r>
      <t>Inventory of Interfaces</t>
    </r>
    <r>
      <rPr>
        <sz val="10"/>
        <color theme="1"/>
        <rFont val="Arial"/>
        <family val="2"/>
      </rPr>
      <t>: An interface that focuses on applications or systems and is related to established connections that can be used for data or information exchange between applications or systems, must be documented and inventoried in a central database. Additionally, the description (purpose), Interface Provider, Interface Consumers and transferred data objects must be maintained for each interface. Information-Box: "An example of such a central database is LeanIX where data about applications and interfaces is stored."</t>
    </r>
  </si>
  <si>
    <r>
      <t>Zuständigkeit für Schnittstellen</t>
    </r>
    <r>
      <rPr>
        <sz val="10"/>
        <color theme="1"/>
        <rFont val="Arial"/>
        <family val="2"/>
      </rPr>
      <t>: Der Verantwortliche für eine Schnittstelle kennt ihren Zweck und ist zuständig für ihre Dokumentation und die Außerbetriebnahme. Der Verantwortliche der Schnittstelle muss identifiziert und dokumentiert werden.</t>
    </r>
  </si>
  <si>
    <r>
      <t>Ownership of Interfaces</t>
    </r>
    <r>
      <rPr>
        <sz val="10"/>
        <color theme="1"/>
        <rFont val="Arial"/>
        <family val="2"/>
      </rPr>
      <t>: The responsible of the interface knows the purpose of the interface and is accountable for its documentation and decommissioning. The responsible of the interface must be identified and documented.</t>
    </r>
  </si>
  <si>
    <r>
      <t>Außerbetriebnahme von Schnittstellen</t>
    </r>
    <r>
      <rPr>
        <sz val="10"/>
        <color theme="1"/>
        <rFont val="Arial"/>
        <family val="2"/>
      </rPr>
      <t>: Schnittstellen müssen sicher aus dem Betrieb genommen werden, um Missbrauch und ungewollte Datenübertragung zu vermeiden. Dies beinhaltet die Vernichtung der Datenübertragung und von Authentisierungsgeheimnissen, die auf dem Dateisystem oder in der Hardware gespeichert sind. Falls Authentisierungsgeheimnisse nicht vernichtet werden können, muss sichergestellt werden, dass der Zugang mit diesen Authentisierungsgeheimnissen nicht mehr möglich ist, z.B. in dem man die jeweiligen Tokens oder Zertifikate widerruft. Die Außerbetriebnahme der Schnittstelle ist zeitnah zu dokumentieren.</t>
    </r>
  </si>
  <si>
    <r>
      <t>Interface Decommissioning</t>
    </r>
    <r>
      <rPr>
        <sz val="10"/>
        <color theme="1"/>
        <rFont val="Arial"/>
        <family val="2"/>
      </rPr>
      <t>: Interfaces must be decommissioned securely to prevent misuse or accidental data transfer. This includes deactivation of the communication channel and deletion of authentication secrets stored on the system. If it cannot be ensured that authentication secrets can be securely destroyed, it must be ensured that access with these authentication secrets is revoked, e.g., by revoking the respective tokens or certificates. The deletion of the interface must be documented timely.</t>
    </r>
  </si>
  <si>
    <r>
      <t>Aktivitäten zu Vorbereitung</t>
    </r>
    <r>
      <rPr>
        <sz val="10"/>
        <color theme="1"/>
        <rFont val="Arial"/>
        <family val="2"/>
      </rPr>
      <t>: Es muss sichergestellt werden, dass eine geeignete Schnittstelle zwischen dem Bosch CERT und den Notfall- und Kontinuitätsplanungsaktivitäten des IT-Systems hergestellt wird. Eine solche Schnittstelle kann technischer (automatisierter) oder prozeduraler Art (abgestimmte Dokumente und Verfahren) sein.</t>
    </r>
  </si>
  <si>
    <r>
      <t>Preparation Activities</t>
    </r>
    <r>
      <rPr>
        <sz val="10"/>
        <color theme="1"/>
        <rFont val="Arial"/>
        <family val="2"/>
      </rPr>
      <t>: It must be ensured that an appropriate interface is established between the Bosch CERT and the contingency and continuity planning activities of the IT system. Such an interface can be of a technical (automated) or procedural (agreed documents and procedures) nature.</t>
    </r>
  </si>
  <si>
    <r>
      <t>Zentraler Ansprechpartner</t>
    </r>
    <r>
      <rPr>
        <sz val="10"/>
        <color theme="1"/>
        <rFont val="Arial"/>
        <family val="2"/>
      </rPr>
      <t>: Es muss ein zentraler Ansprechpartner aus dem Bereich der das IT-System verantwortet benannt und dokumentiert werden, der im Falle eines Sicherheitsvorfalls unterstützt.</t>
    </r>
  </si>
  <si>
    <r>
      <t>Single Point of Contact</t>
    </r>
    <r>
      <rPr>
        <sz val="10"/>
        <color theme="1"/>
        <rFont val="Arial"/>
        <family val="2"/>
      </rPr>
      <t>: Within the business unit of the IT system a single point of contact for incident response assistance must be nominated and documented.</t>
    </r>
  </si>
  <si>
    <r>
      <t>Meldepflicht gegenüber Dritten</t>
    </r>
    <r>
      <rPr>
        <sz val="10"/>
        <color theme="1"/>
        <rFont val="Arial"/>
        <family val="2"/>
      </rPr>
      <t>: Es muss bewertet und dokumentiert werden, ob Anforderungen für das Melden von Sicherheitsvorfällen vorliegen. Zu diesen Anforderungen gehören beispielsweise die rechtlichen und vertraglichen Verpflichtungen, Informationssicherheitsvorfälle an Dritte oder Behörden zu melden.</t>
    </r>
  </si>
  <si>
    <r>
      <t>Obligation to Report to Third Parties</t>
    </r>
    <r>
      <rPr>
        <sz val="10"/>
        <color theme="1"/>
        <rFont val="Arial"/>
        <family val="2"/>
      </rPr>
      <t>: It must be assessed and documented whether specific requirements for incident reporting exist. Such requirements include, for example, legal and contractual obligations to report information security incidents to a third party or government offices.</t>
    </r>
  </si>
  <si>
    <r>
      <t>Verhalten bei einer vermuteten oder bestätigten Kompromittierung</t>
    </r>
    <r>
      <rPr>
        <sz val="10"/>
        <color theme="1"/>
        <rFont val="Arial"/>
        <family val="2"/>
      </rPr>
      <t>: Im Falle einer vermuteten oder bestätigten Kompromittierung des IT-Systems müssen alle weiteren am IT-System durchgeführten Schritte mit dem Bosch CERT abgestimmt werden. Hinweisbox: "Bei der Analyse und Behandlung von Sicherheitsvorfällen sind besondere Aspekte der digitalen Forensik einzuhalten, um vorhandene Spuren nicht zu verwischen."</t>
    </r>
  </si>
  <si>
    <r>
      <t>Behaviour for Suspected or Confirmed Compromise</t>
    </r>
    <r>
      <rPr>
        <sz val="10"/>
        <color theme="1"/>
        <rFont val="Arial"/>
        <family val="2"/>
      </rPr>
      <t>: In case of a suspected or confirmed compromise of the IT system, all following actions performed on the IT system must be aligned with Bosch CERT. Information-Box: "When analyzing and handling security incidents, special aspects of digital forensics must be considered in order to not destroy existing traces."</t>
    </r>
  </si>
  <si>
    <r>
      <t>Integration gewonnener Erkenntnisse</t>
    </r>
    <r>
      <rPr>
        <sz val="10"/>
        <color theme="1"/>
        <rFont val="Arial"/>
        <family val="2"/>
      </rPr>
      <t>: Die gewonnenen Erkenntnisse aus dem Auftreten eines Informationssicherheitsvorfalls müssen bei der Planung, Wartung und Implementierung von IT-Sicherheitsmaßnahmen für IT-Systeme berücksichtigt werden.</t>
    </r>
  </si>
  <si>
    <r>
      <t>Lessons Learned Integration</t>
    </r>
    <r>
      <rPr>
        <sz val="10"/>
        <color theme="1"/>
        <rFont val="Arial"/>
        <family val="2"/>
      </rPr>
      <t>: Lessons learned after occurrence of an information security incident must be considered when planning, maintaining and implementing IT security measures in the IT system.</t>
    </r>
  </si>
  <si>
    <r>
      <t>Initiale Penetrationstests</t>
    </r>
    <r>
      <rPr>
        <sz val="10"/>
        <color theme="1"/>
        <rFont val="Arial"/>
        <family val="2"/>
      </rPr>
      <t>: Vor der Inbetriebnahme neuer IT-Systeme müssen Penetrationstests durchgeführt werden für - Aus dem Internet erreichbare IT-Systeme oder - IT-Systeme, die SC-3 Daten verarbeiten (C-SC3 oder I-SC3 oder A-SC3).</t>
    </r>
  </si>
  <si>
    <r>
      <t>Initial Penetration Tests</t>
    </r>
    <r>
      <rPr>
        <sz val="10"/>
        <color theme="1"/>
        <rFont val="Arial"/>
        <family val="2"/>
      </rPr>
      <t>: Penetration tests must be conducted before going live of new IT systems for - Internet-facing IT systems, or - IT systems processing SC-3 data (C-SC3 or I-SC3 or A-SC3).</t>
    </r>
  </si>
  <si>
    <r>
      <t>Häufigkeit von Penetrationstests</t>
    </r>
    <r>
      <rPr>
        <sz val="10"/>
        <color theme="1"/>
        <rFont val="Arial"/>
        <family val="2"/>
      </rPr>
      <t>: Regelmäßige Penetrationstests müssen gemäß dem Risiko des IT-Systems durchgeführt werden.</t>
    </r>
  </si>
  <si>
    <r>
      <t>Penetration Testing Frequency</t>
    </r>
    <r>
      <rPr>
        <sz val="10"/>
        <color theme="1"/>
        <rFont val="Arial"/>
        <family val="2"/>
      </rPr>
      <t>: Regular penetration tests must be conducted according to the risk of the IT system.</t>
    </r>
  </si>
  <si>
    <r>
      <t>Behebung</t>
    </r>
    <r>
      <rPr>
        <sz val="10"/>
        <color theme="1"/>
        <rFont val="Arial"/>
        <family val="2"/>
      </rPr>
      <t>: Die identifizierten Schwachstellen müssen innerhalb eines angemessenen Zeitraums unter Berücksichtigung der Kritikalität des Risikos behoben werden.</t>
    </r>
  </si>
  <si>
    <r>
      <t>Remediation</t>
    </r>
    <r>
      <rPr>
        <sz val="10"/>
        <color theme="1"/>
        <rFont val="Arial"/>
        <family val="2"/>
      </rPr>
      <t>: Identified vulnerabilities must be remediated within a reasonable time period taking into account the risk criticality.</t>
    </r>
  </si>
  <si>
    <t>C/IDS CD 07900-001 "IT System Security"</t>
  </si>
  <si>
    <t xml:space="preserve">C/IDS CD 07900-002 "Server Operating System Security" </t>
  </si>
  <si>
    <t xml:space="preserve">C/IDS CD 07900-003 "Web Server Security" </t>
  </si>
  <si>
    <t xml:space="preserve">C/IDS CD 07900-004 "Network Security" </t>
  </si>
  <si>
    <t xml:space="preserve">C/IDS CD 07900-006 "Security for Commercial IT Applications" </t>
  </si>
  <si>
    <t xml:space="preserve">C/IDS CD 07900-001 "IT-System Sicherheit" </t>
  </si>
  <si>
    <t>C/IDS CD 07900-002 "Serverbetriebssystemsicherheit"</t>
  </si>
  <si>
    <t xml:space="preserve">C/IDS CD 07900-003 "Webserversicherheit" </t>
  </si>
  <si>
    <t xml:space="preserve">C/IDS CD 07900-004 "Netzwerksicherheit" </t>
  </si>
  <si>
    <t xml:space="preserve">C/IDS CD 07900-006 "Sicherheit für Kaufmännische IT Anwendungen" </t>
  </si>
  <si>
    <t>C/ISP CD 02900-001 "Annex A: Information Security Management System"</t>
  </si>
  <si>
    <t>C/ISP CD 02900-001 "Anlage A: Informationssicherheitsmanagement-System"</t>
  </si>
  <si>
    <t>Relevante Regelungen:</t>
  </si>
  <si>
    <t>Relevant Regulations:</t>
  </si>
  <si>
    <t>Measure</t>
  </si>
  <si>
    <t>Zugriff auf Bosch Geschäftsunterlagen aus dem Internet für Bosch Mitarbeiter Arbeitsplätze: Für den Zugriff auf Bosch Geschäftsunterlagen aus dem Internet für Bosch Mitarbeiter ist ein durch CI bereitgestelltes und verwaltetes IT-Endgerät erforderlich. Hinweisbox: "Die vom CI bereitgestellten und verwalteten IT-Endgeräte sind Office Arbeitsplatz Endgeräte, IoT Entwickler Arbeitsplatz Endgeräte (IDE), mobile IT-Endgeräte und Cloud Arbeitsplatz Endgeräte. Die Sicherheitsanforderungen für vertrauenswürdige IT-Endgeräte sind unter Bosch EISA "Client Betriebssystem" (EISA-PIS-015) (https://www.intranet.bosch.com/doku/eisa/EISA-PIS-015.html) dokumentiert."</t>
  </si>
  <si>
    <t>Access to Bosch Business Data from the Internet for Bosch Employees Workplaces: Access to Bosch business data from the Internet for Bosch employees must be granted only with IT end devices provided and managed by CI. Information-Box: "IT end devices provided and managed by CI are: Office Workplace end devices, IoT Developer Workplace end devices (IDE), mobile IT end devices and Cloud Workplace end devices. The security requirements for trustworthy IT end devices are documented in Bosch EISA "Client Operating System" (EISA-PIS-015) (https://www.intranet.bosch.com/doku/eisa/EISA-PIS-015.html) ."</t>
  </si>
  <si>
    <t>Nutzung von Bosch Corporate Directory (Bosch Single Sign-On): Für Zugriff auf Bosch interne Daten (C-SC &gt; 0) für Bosch Mitarbeiter und Mitarbeiter von externen Dienstleistern muss die Authentisierung auf Konten im Bosch Corporate Directory (BCD) basieren, das von CI bereitgestellt wird. Das BCD ermöglicht ein Bosch-weites Single Sign-On (SSO). Hinweisbox: "Die CI Abteilung, die für die Bosch weiten Benutzerverzeichnisse zuständig ist, bietet unterschiedliche Dienste, die eine Authentisierung mit BCD-Konten ermöglichen. Diese sind u.a. Bosch Active Directory Federation Services (ADFS), Bosch Azure Active Directory (AAD) und Web Access Management (WAM). Zusätzlich zu dem BCD werden weitere Benutzerverzeichnisse für besondere Zwecke von der zuständigen Abteilung im CI bereitgestellt. Ein Beispiel ist die Authentisierung in der Bosch DMZ oder ESZ (siehe Bosch EISA "Konten in der DMZ und ESZ" (EISA-ACC-204) (https://www.intranet.bosch.com/doku/eisa/EISA-ACC-204.html) ). Der Einsatz solcher Benutzerverzeichnisse erfordert eine ausführliche Sicherheitsanalyse und eine Abstimmung mit C/IDS. Für technische Fragen bzgl. der Nutzung des BCDs wenden Sie sich bitte an das Bosch Single Sign-On Team (https://inside-docupedia.bosch.com/confluence/x/W6Y3QQ) ."</t>
  </si>
  <si>
    <t>Usage of the Bosch Corporate Directory (Bosch Single Sign-On): For access to Bosch internal data (C-SC &gt; 0) for Bosch employees and employees of external service providers, authentication must be based on accounts from the Bosch Corporate Directory (BCD) provided by CI. The BCD allows a Bosch-wide Single Sign-On (SSO). Information-Box: "The CI department responsible for the Bosch wide User Directories provides different authentication services based on the accounts in the BCD. These include Bosch Active Directory Federation Services (ADFS), Bosch Azure Active Directory (AAD) and Web Access Management (WAM). Beyond the BCD, further User Directories required for special purposes are provided by the CI responsible department. An example is the authentication in the Bosch DMZ or ESZ (see Bosch EISA "Accounts in the DMZ and ESZ" (EISA-ACC-204) (https://www.intranet.bosch.com/doku/eisa/EISA-ACC-204.html) ). The deployment of such special-purpose User Directories requires an extensive security analysis and an agreement with C/IDS. For technical questions on the usage of the BCD, please get in touch with the Bosch Single Sign-On team (https://inside-docupedia.bosch.com/confluence/x/W6Y3QQ) ."</t>
  </si>
  <si>
    <t>Nutzung von Customer Identity und Access Management (CIAM): Für die Authentifizierung von Benutzern im Kontext von Bosch B2C-Kunden muss die Bosch CIAM-ID verwendet werden. Für die Authentifizierung von Benutzern im Kontext von Bosch B2B-Kunden müssen die Bosch CIAM-Lösungen verwendet werden, außer der B2B-Kunde hat explizite Anforderungen, eine andere Lösung zu verwenden. Hinweisbox: "Für die Authentifizierung von Benutzern im Kontext von Bosch B2C- oder B2B-Kunden dürfen nur Lösungen eingesetzt werden, die mit einer Architekturentscheidung gemäß der "IoT Development Guidelines 2.0" (https://inside-docupedia.bosch.com/confluence/x/UIC0O) festgelegt wurden. Für eine Erläuterung der Anwendungsfälle für Benutzeridentitäten siehe "Taxonomy of User Identities from an IT Security Perspective (B2E, B2C, B2B, B2B2x) (https://inside-docupedia.bosch.com/confluence/x/mPzsT) . Die Sicherheitsanforderungen für Lösungen für die Verwaltung von Kundenidentitäten sind unter Bosch EISA Customer Identity and Access Management (EISA-PSA-024) (https://fe0vmc1595.de.bosch.com/integration/EISA/develop/en/EISA-PSA-024.html) dokumentiert. Für Informationen über die Bosch CIAM Lösungen, siehe das CIAM wiki (https://inside-docupedia.bosch.com/confluence/x/Jzu_NQ) ."</t>
  </si>
  <si>
    <t>Usage of Customer Identity and Access Management (CIAM): For authentication of users in the context of Bosch B2C customers, the Bosch CIAM ID must be used. For authentication of users in the context of Bosch B2B customers, the Bosch CIAM solutions must be used unless the B2B customer has explicit requirements to use a different solution. Information-Box: "For authentication of users in the context of B2C or B2B customers, only solutions documented with an architecture decision following the "IoT Development Guidelines 2.0" (https://inside-docupedia.bosch.com/confluence/x/UIC0O) can be used. For clarification of use cases for user Identities, please see "Taxonomy of User Identities from an IT Security Perspective (B2E, B2C, B2B, B2B2x) (https://inside-docupedia.bosch.com/confluence/x/mPzsT) . The security requirements for Customer Identity and Access Management solution are documented in Bosch EISA Customer Identity and Access Management (EISA-PSA-024) (https://fe0vmc1595.de.bosch.com/integration/EISA/develop/en/EISA-PSA-024.html) . For information on the Bosch CIAM solutions, see the CIAM wiki (https://inside-docupedia.bosch.com/confluence/x/Jzu_NQ) ."</t>
  </si>
  <si>
    <t>Gemeinsam benutzte Konten und technische Konten in der DMZ und ESZ: Bei gemeinsam genutzten Konten (von mehreren Benutzern verwendet) und technischen Konten (z.B. für Services und Anwendungen) in der DMZ (Security Layer 1) und ESZ (Security Layer 2) gelten die folgenden Anforderungen: - Der Kontoname darf keinerlei Schlussfolgerungen auf die Mitarbeiter zulassen, die das Konto nutzen. - Falls eine interaktive Anmeldung mit dem Konto möglich ist, muss das Konto im Bosch Privileged Account Management (RB-PAM) (https://inside-docupedia.bosch.com/confluence/x/Rt_-Hg) verwaltet werden.</t>
  </si>
  <si>
    <t>Shared and Technical Accounts in the DMZ and ESZ: For shared accounts (used by multiple users), as well as technical accounts (e.g., for services and applications), in the DMZ (security layer 1) and ESZ (security layer 2) the following requirements apply: - The account name must not allow the deduction of any information about the persons using this account. - If interactive login is enabled for the account, then the account must be managed by Bosch Privileged Account Management (RB-PAM) (https://inside-docupedia.bosch.com/confluence/x/Rt_-Hg) .</t>
  </si>
  <si>
    <t>Schutz von C-SC2- oder C-SC3-Daten während der Übertragung: Der Austausch von C-SC2- oder C-SC3-Daten über Netze (d.h. Bosch interne oder externe Netze, einschließlich Telekommunikationsgeräte) muss gegen Abhören gesichert sein. Dies kann beispielsweise erreicht werden, indem die folgenden kryptografischen Protokolle verwendet werden: - Transport Layer Security (TLS) - Bitte beachten Sie die Anforderungen von A.10.1.1. [1] (3) Sichere Verwendung von TLS und DTLS. - Datagram Transport Layer Security (DTLS) - Bitte beachten Sie die Anforderungen von A.10.1.1. [1] (3) Sichere Verwendung von TLS und DTLS. - Internet Protocol Security (IPsec) bei Verwenden von Encapsulating Security Payload (ESP) mit aktivierter authentifizierter Verschlüsselung - bitte beachten Sie Empfehlung für eine Mindestkonfiguration. (https://inside-docupedia.bosch.com/confluence/x/XNTqJQ) - Secure Shell (SSH) - bitte beachten Sie Empfehlungen zur Verwendung der Kryptographie (https://bgn.bosch.com/alias/product-security) von C/IDS-GP. - Secure File Transfer Protocol (SFTP) - bitte beachten Sie Empfehlungen zur Verwendung der Kryptographie (https://bgn.bosch.com/alias/product-security) von C/IDS-GP. - FTP über SSL (FTPS) - Bitte beachten Sie die Anforderungen von A.10.1.1. [1] (3) Sichere Verwendung von TLS und DTLS. DFÜ-Szenarien (z.B. VPN) zum Bosch Corporate Network (BCN) müssen immer mit authentifizierter Verschlüsselung geschützt werden, da Daten jeder Schutzklasse über solche Verbindungen übertragen werden. Für alle kryptografischen Protokolle, die Zertifikate verwenden, muss während des Handshakes eine ordnungsgemäße Zertifikatsvalidierung und Sperrlistenüberprüfung durchgeführt werden. Hinweisbox: "In Anwendungsfällen, in denen nur authentifiziert werden soll (z.B. I-SC3), kann zusätzlich oder anstelle von IPsec Encapsulating Security Payload (ESP) der IPsec-Authentifizierungsheader (AH) verwendet werden."</t>
  </si>
  <si>
    <t>Protection of C-SC2 or C-SC3 Data During Transmission: The exchange of C-SC2 or C-SC3 data over networks (i.e., Bosch internal or external networks, including telecommunication equipment) must be protected against eavesdropping. This can be achieved by making use of the following cryptographic protocols: - Transport Layer Security (TLS) - please refer to requirements from A.10.1.1. [1] (3) Secure Usage of TLS and DTLS. - Datagram Transport Layer Security (DTLS) - please refer to requirements from A.10.1.1. [1] (3) Secure Usage of TLS and DTLS. - Internet Protocol Security (IPsec) by using Encapsulating Security Payload (ESP) with authenticated encryption enabled - please refer to Minimum settings recommendation. (https://inside-docupedia.bosch.com/confluence/x/XNTqJQ) - Secure Shell (SSH) - please refer to Recommendations on the Use of Cryptography (https://bgn.bosch.com/alias/product-security) from C/IDS-GP. - Secure File Transfer Protocol (SFTP) - please refer to Recommendations on the Use of Cryptography (https://bgn.bosch.com/alias/product-security) from C/IDS-GP. - FTP over SSL (FTPS) - please refer to requirements from A.10.1.1. [1] (3) Secure Usage of TLS and DTLS. Dial-up (e.g., VPN) scenarios to the Bosch Corporate Network (BCN) must always be protected with authenticated encryption since data of every security class is transferred over such connections. For all cryptographic protocols, which make use of certificates, proper certificate validation and revocation checks during the protocol handshake must be in place. Information-Box: "For authentication-only use cases (e.g., I-SC3), IPsec Authentication Header (AH) may be used in addition or instead of IPsec Encapsulating Security Payload (ESP)."</t>
  </si>
  <si>
    <t>Sichere Verwendung von TLS und DTLS: Jede Bereitstellung von TLS oder DTLS muss bestimmen, welches der Anwendungsszenarien "Best-in-Class" oder "Interoperabilität" von TLS / DTLS-Protokollparameter (https://inside-docupedia.bosch.com/confluence/x/KTTqOw) angewendet werden soll. Die spezifischen Anforderungen von TLS / DTLS-Protokollversionen (https://inside-docupedia.bosch.com/confluence/x/bvwrP) und TLS / DTLS-Chiffre-Suiten (https://inside-docupedia.bosch.com/confluence/x/VnPHOw) müssen im Hinblick auf das jeweilige Anwendungsfall-Szenario eingehalten werden, andere Konfigurationen dürfen nur in Abstimmung mit C/IDS verwendet werden. Bereitstellungen von TLS / DTLS müssen den Anforderungen von TLS / DTLS-Erweiterungen und weitere Mechanismen (https://inside-docupedia.bosch.com/confluence/x/73THOw) , so nah wie es der jeweilige Anwendungsfall oder die jeweilige Anwendung zulässt, entsprechen.</t>
  </si>
  <si>
    <t>Secure Usage of TLS and DTLS: Each deployment of TLS or DTLS must determine which of the use case scenarios "best-in-class" or "interoperability" from TLS / DTLS Protocol Parameters (https://inside-docupedia.bosch.com/confluence/x/KTTqOw) applies. The specific requirements from TLS / DTLS Protocol Versions (https://inside-docupedia.bosch.com/confluence/x/bvwrP) and TLS / DTLS Cipher Suites (https://inside-docupedia.bosch.com/confluence/x/VnPHOw) must be adhered to with regard to the applicable use case scenario, and other configurations may only be used in coordination with C/IDS. Deployments of TLS / DTLS must adhere to the requirements from TLS / DTLS Extensions and further Mechanisms (https://inside-docupedia.bosch.com/confluence/x/73THOw) as closely as the respective use case or application permits.</t>
  </si>
  <si>
    <t>Verwendung von Passwort-basierten Schlüsselableitungsfunktionen: Algorithmen für Passwort-Hashing (RFC 7914, NIST SP 800-132) - Interoperabilität: Scrypt, Bcrypt, PBKDF2 - Best-in-Class: Scrypt Diese Algorithmen müssen für Passwort-Hashing Anwendungsfälle verwendet werden, in denen sogenannte "Offline"-Angriffe Teil des Angreifermodells sind. Geeignete Kostenparameter müssen so aufwendig gewählt werden, wie es der jeweilige Anwendungsfall hinsichtlich seiner spezifischen funktionalen Anforderungen zulässt (d.h. Instanziierung mit einer hohen Anzahl von Iterationen, die so hoch wie möglich ist, dass der funktionale Anwendungsfall nicht beeinträchtigt wird aber "Offline"-Angriffe auf Passwort-Hashes so gut wie möglich verlangsamt werden). Hinweisbox: "Weitere Informationen finden Sie unter C/IDS-GP - "Recommendations on the Use of Cryptography". (https://bgn.bosch.com/alias/product-security) "</t>
  </si>
  <si>
    <t>Usage of Password-based Key Derivation Functions: Algorithms for Password Hashing (RFC 7914, NIST SP 800-132) - Interoperability: Scrypt, Bcrypt, PBKDF2 - Best-in-Class: Scrypt These algorithms must be used for password hashing use cases where so-called "offline" attacks are considered to be part of the attacker model. Suitable cost parameters must be chosen as expensive as the respective use case allows with regard to its specific functional requirements (i.e., instantiation with a number of iterations as high as possible such that the functional use case is not negatively impacted but "offline" attacks against password hashes are slowed down as much as possible). Information-Box: "For more information please see C/IDS-GP - Recommendations on the Use of Cryptography (https://bgn.bosch.com/alias/product-security) "</t>
  </si>
  <si>
    <t>Handhabung von Wildcard-Zertifikaten: Bei der Verwendung von Wildcard-Zertifikaten müssen die folgenden Regelungen angewendet werden: - Die Verwendung oder Verteilung des Zertifikats muss auf die erforderlichen Systeme (z.B. Load Balancer, IT-Systeme oder Cluster) oder Dienste beschränkt werden. Hinweisbox: "Überprüfen Sie die Lizenzbedingungen des Zertifikatsanbieters, bevor das Zertifikat über mehrere Systeme oder Dienste verteilt wird." - Für die Verwendung von Wildcard-Zertifikaten muss es eine technische Begründung geben, da sich im Falle einer Kompromittierung die Konsequenzen erhöhen. Hinweisbox: "Aufgrund der auftretenden Konsequenzen sind Zertifikate mit Subject Alternative Names (SANs) mit mehreren spezifischeren Fully Qualified Domain Names (FQDNs) (bis zu 25) empfohlen bzw. zu bevorzugen." - Die Verwendung der Zertifikate außerhalb der anfordernden oder betreibenden Einheit ist nicht zulässig. Hinweisbox: "Wildcard-Zertifikate für vorhandene zentrale Active Directory oder zentral betriebene DNS-Domänen (z.B. bosch.com) werden nur nach Rücksprache mit C/IDS-GE ausgestellt." - Die Verwendung von Wildcard-Zertifikaten muss im Betriebs- und Sicherheitskonzept dokumentiert werden. Hinweisbox: "Einzelheiten zum Speichern von Zertifikaten finden Sie unter A.10.1.2. [7] (3) Standards für die Token-Speicherung." - Eine organisatorische und technische Überprüfung des Konzepts muss alle zwei Jahre erfolgen. - Der Kunde (Geschäftseinheit) stimmt der Verwendung von Wildcard-Zertifikaten für seine Anwendung zu. Dadurch ist die Verwendung von Zertifikaten mit höherer Qualität nicht zulässig (z.B. "Extended Validation Certificates"). Hinweisbox: " CA/Browser Forum - EV SSL Zertifikatsrichtlinien (Kapitel 9.2.2 und 9.2.3) (https://cabforum.org/wp-content/uploads/CA-Browser-Forum-EV-Guidelines-v1.7.4.pdf) ." - Besteht der begründete Verdacht, dass das Zertifikat kompromittiert wurde, muss es sofort vom Betreiber oder Antragsteller widerrufen und durch ein neues Schlüsselpaar ersetzt werden.</t>
  </si>
  <si>
    <t>Handling of Wildcard Certificates: When using wildcard certificates, the following regulations must apply: - The use or distribution of the certificate must be limited only to the required systems (e.g., load balancers, IT systems or cluster) or services. Information-Box: "Verify license terms and conditions of the certificate provider before the certificate is distributed via several systems or services." - There must be a technical justification for the use of wildcard certificates because they typically increase the consequences in case of compromise. Information-Box: "Due to the occurring consequences, Subject Alternative Names (SANs) certificates with several more specific Fully Qualified Domain Names (FQDNs) (up to 25) are recommended." - The use of the certificates outside of the requesting or operating unit is not permitted. Information-Box: "Wildcard certificates for existing central Active Directory or central operated DNS domains (e.g., bosch.com) are only issued after consulting C/IDS-GE." - The use of wildcard certificates must be documented in the operational and security concept. Information-Box: "For details about certificate storage, please see A.10.1.2. [7] (3) Standards for Token Storage." - An organizational and technical review of the concept must take place every two years. - The customer (business unit) agrees to the use of wildcard certificates for its application. Due to this, the usage of higher-quality certificates is not allowed (e.g., "Extended Validation Certificates"). Information-Box: " CA/Browser Forum - EV SSL Certificate Guidelines (Chapter 9.2.2 and 9.2.3) (https://cabforum.org/wp-content/uploads/CA-Browser-Forum-EV-Guidelines-v1.7.4.pdf) ." - If there is a reasonable suspicion that the certificate has been compromised, it must be revoked immediately by the operator or the applicant and be replaced by a new key pair.</t>
  </si>
  <si>
    <t>Laufzeit von Wildcard-Zertifikaten: Bei der Verwendung von Wildcard-Zertifikaten gelten die folgenden Laufzeit-Bestimmungen: - Second-Level Domänen ohne Verwendung eines auf Hardware-Sicherheitsmodul (HSM) oder Cloud HSM basierenden Speichers: 1 Jahr. - Second-Level Domänen bei Verwendung eines auf HSM oder Cloud HSM basierenden Speichers: Bis zu 3 Jahre. - Third-level Domänen oder höher ohne Verwendung eines auf HSM oder Cloud HSM basierenden Speichers: 3 Jahre. - Third-level Domänen oder höher bei Verwendung eines auf HSM oder Cloud HSM basierenden Speichers: Bis zu 5 Jahre. Hinweisbox: "Die Laufzeit von Wildcard-Zertifikaten, die von einer öffentlich vertrauenswürdigen Stammzertifizierungsstelle ausgestellt wurden, ist durch das CA/Browser Forum - Basisanforderungen (Kapitel 6.3.2) (https://cabforum.org/wp-content/uploads/CA-Browser-Forum-BR-1.7.3.pdf) auf eine maximale Gültigkeit von 397 Tagen begrenzt. Beispiele für Wildcard-Zertifikate für Second-Level Domänen: - *.bosch.com - *.etas.com Beispiele für Wildcard-Zertifikate über Third-Level Domänen: - *.app.bosch.com - *.apps.iot-cloud.bosch.com Der mögliche Schaden bei einer erfolgreichen Kompromittierung eines Wildcard-Zertifikats steigt, wenn sich die Wildcard (*) nach rechts bewegt. Ein Wildcard-Zertifikat z.B. für "*.bosch.com" ist daher als kritischer zu betrachten als für "*.apps.iot-cloud.bosch.com"."</t>
  </si>
  <si>
    <t>Lifetime of Wildcard Certificates: When using wildcard certificates, the following lifetime regulations must apply: - Second-level domains without the use of Hardware Security Module (HSM) or Cloud HSM based storage: 1 year. - Second-level domains with HSM or Cloud HSM based storage: up to 3 years. - Third-level domains and higher without HSM or Cloud HSM based storage: 3 years. - Third-level domains and higher with HSM or Cloud HSM based storage: up to 5 years. Information-Box: "The Lifetime of Wildcard Certificates issued by publicly-trusted Root Certification Authority is limited by the CA/Browser Forum - Baseline Requirements (Chapter 6.3.2) (https://cabforum.org/wp-content/uploads/CA-Browser-Forum-BR-1.7.3.pdf) to a maximum validity of 397 days. Examples of wildcard certificates for second-level domains: - *.bosch.com - *.etas.com Examples of wildcard certificates above third-level domains: - *.app.bosch.com - *.apps.iot-cloud.bosch.com The possible damage on successful compromising of a wildcard certificate increases as the wildcard character (*) moves to the right. A wildcard certificate for, e.g., "*.bosch.com", is therefore to be considered as more critical than for "*.apps.iot-cloud.bosch.com"."</t>
  </si>
  <si>
    <t>Standards für die Token-Speicherung: Abhängig vom Anwendungsfall und dem entstehenden Risiko muss mindestens einer der unten aufgeführten Schlüssel-/Zertifikatsspeicher verwendet werden. Hinweisbox: "Zusätzliche Informationen und Beispiele finden sie hier (https://www.intranet.bosch.com/doku/eisa/EISA-CRY-107.html#ctl$EISA-CRY-107$supplemental-guidance) ." Software-Speicherung für private Schlüssel/Zertifikate (Soft-Token). - Für benutzerbezogene Zertifikate oder Schlüssel muss der private Schlüssel mit mindestens 15 Zeichen geschützt sein (bitte beachten Sie A.9.3. [1] (1) Passwort-Regeln). - Cloud-basierte, durch Software geschützte Schlüsselspeicher (z.B. Microsoft Azure Key Vault Softwareschlüssel, FIPS 140-2 Level 1) können bis C-SC2 oder I-SC2 klassifizierte Daten verwendet werden. Hardwarespeicher für private Schlüssel/Zertifikate - Bei physischen Smartcards müssen Schlüssel / Tokens mit mindestens 6 Zeichen (bitte beachten Sie A.9.3. [1] (8) Regeln für PIN-Codes) in Kombination mit einem hardware-basierten Sperrmechanismus nach maximal 8 fehlgeschlagenen Versuchen geschützt werden. - TPM geschützte virtuelle Smartcards oder Benutzer bezogene Schlüssel / Tokens müssen mit mindestens 8 Zeichen (bitte beachten Sie A.9.3. [1] (8) Regeln für PIN-Codes) in Kombination mit einem hardware-basierten Sperrmechanismus nach maximal 8 fehlgeschlagenen Versuchen geschützt werden. - TPM geschützte systembezogene Schlüssel / Tokens beimit bis zu C-SC2 oder I-SC2 klassifizierten Daten müssen mit mindestens 8 Zeichen (bitte beachten Sie A.9.3. [1] (8) Regeln für PIN-Codes) in Kombination mit einem hardware-basierten Sperrmechanismus nach maximal 32 fehlgeschlagenen Versuchen geschützt werden, kombiniert mit einer automatischen Senkung des TPM Sperrzählers pro 10 Minuten. - TPM geschützte systembezogene Schlüssel / Tokens beimit bis zu C-SC2 oder I-SC2 klassifizierten Daten müssen mindestens mit einem hardware-basierten Sperrmechanismus (z.B. TPM-Schutz ohne PIN) geschützt werden. Verzeichnisdienst für öffentliche Schlüssel/Zertifikate. - Bei neuen Anforderungen (z.B. Verwendung von PGP Global Directory) muss C/IDS über den Anwendungsfall informiert werden. - Der Zertifikats-Verzeichnisdienst veröffentlicht Zertifikate innerhalb von Bosch. Die Nutzung dieses Dienstes muss mit der Betriebsabteilung des Zertifikats-Verzeichnisdienstes abgestimmt werden, um die Verfügbarkeit anderer kryptografischer Anwendungen sicherzustellen.</t>
  </si>
  <si>
    <t>Standards for Token Storage: Depending on the use case and the assessed risk level, at least one of the following key/certificate stores must be used. Information-Box: "Additional information and examples can be found here (https://www.intranet.bosch.com/doku/eisa/EISA-CRY-107.html#ctl$EISA-CRY-107$supplemental-guidance) ." Software based storage for private keys/certificates (soft token). - For user related certificates or keys, the private key must be protected with at least 15 characters (please refer to A.9.3. [1] (1) Password Rules). - Cloud based software-protected key storages (e.g, Microsoft Azure Key Vault Software Keys, FIPS 140-2 Level 1) can be used up to C-SC2 or I-SC2 classified data. Hardware storage for private keys/certificates - For physical smart cards, the keys/tokens must be protected with at least 6 characters (please refer to A.9.3. [1] (8) PIN Code Rules) combined with a hardware based lock mechanism after a maximum of 8 failed attempts. - TPM protected virtual smart cards or user related keys/tokens must be protected with at least 8 characters (please refer to A.9.3. [1] (8) PIN Code Rules) combined with a hardware based lock mechanism after a maximum of 8 failed attempts. - TPM protected system related keys/tokens forwith up to C-SC2 or I-SC2 classified data must be protected with at least 8 characters (please refer to A.9.3. [1] (8) PIN Code Rules) combined with a hardware based lock mechanism after a maximum of 32 failed attempts combined with per 10 minutes automatic TPM lockout counter decrease. - TPM protected system related keys/tokens forwith up to C-SC2 or I-SC2 classified data must be protected at least with a hardware based lock mechanism (e.g., TPM protection without PIN). Directory service for public keys/certificates. - If new requirements occur (e.g., usage of PGP Global Directory), then C/IDS must be informed about the use case. - The certificate directory service publishes certificates throughout Bosch. The usage of this service must be coordinated with the operating department of the certificate directory service, to ensure the availability of other cryptographic applications.</t>
  </si>
  <si>
    <t>Standards für Pre-Shared Keys (PSK): Bei Verwendung von Pre-Shared Keys (PSK) gelten die folgenden Bestimmungen: - PSKs dürfen nicht innerhalb des Bosch Corporate Network verwendet werden. Wenn dies technisch erforderlich ist, muss C/IDS über die Verwendung informiert und der Grund dokumentiert werden. Hinweisbox: "Hierzu zählt beispielsweise auch verschiedene Standorte miteinander zu verbinden oder TLS Verbindungen (ausgenommen sind IoT spezifische Anwendungsfälle)." - PSKs müssen regelmäßig, mindestens einmal pro Jahr, aktualisiert/geändert werden. Wenn eine Aktualisierung/Änderung nicht möglich ist, muss der Grund dokumentiert werden. Hinweisbox: "Für Anwendungsfall spezifische drahtlose lokale Netzwerke (WLANs) muss die Änderung des PSKs vom Kunden koordiniert werden." - PSKs müssen mindestens 128-Bit-Entropie aufweisen und out-of-band verteilt sein Hinweisbox: "Beispiele für die Verteilung der folgenden Schlüssel: - 256 Bit Schlüssel: Sie können in zwei 128 Bit Teile aufgeteilt werden, die über zwei verschiedene Medien übertragen werden (z.B. ein Teil per E-Mail und ein zweiter per Telefon). - 128 Bit Schlüssel: Beide Endpunkte müssen über einen vertrauenswürdigen out-of-band-Kanal erreichbar sein. Wenn der Software- oder Serviceanbieter den Versand von aufgeteilten Anteilen nicht unterstützt, muss der Grund dokumentiert werden. Weitere Informationen finden Sie unter Pre-Shared Keys (PSK) Berechnung (https://inside-docupedia.bosch.com/confluence/x/jtTqJQ) ." - PSKs dürfen in unterschiedlichen Implementierungen nicht wiederverwendet werden.</t>
  </si>
  <si>
    <t>Standards for Pre-Shared Keys (PSK): When using pre-shared keys (PSK) the following regulations apply: - PSKs must not be used within the Bosch Corporate Network. If technically needed, then C/IDS must be informed about the usage and the reason must be documented. Information-Box: "This also includes, e.g., to connect different sites or TLS connections (except IoT specific use cases)." - PSKs must be updated/changed on a regular basis, at least once per year. If an update/change is not possible, then the reason must be documented. Information-Box: "For use case specific wireless local area networks (WLANs) the PSK change must be coordinated by the customer." - PSKs must have at least 128-bits of entropy and must be distributed in an out-of-band fashion. Information-Box: "Examples for the distribution of the following keys: - 256-bit key: The key could be split in to two 128-bit parts which are transferred over two different media (e.g., one part via encrypted e-mail and second part via phone). - 128-bit key: Both endpoints must be reachable over an out-of-band trustworthy channel. If the software or service vendor does not support to send the split parts, the reason must be documented. For more information please see Pre-Shared Keys (PSK) Calculation (https://inside-docupedia.bosch.com/confluence/x/jtTqJQ) ." - PSKs must not be reused in different implementations.</t>
  </si>
  <si>
    <t>Konfiguration der Benutzer-Zugriffskontrolle des Betriebssystems: Das Betriebssystem muss so konfiguriert sein, dass eine angemessene Authentifizierung und Autorisierung für Benutzer sichergestellt ist. Dies beinhaltet: - Entfernen oder deaktivieren von nicht benötigten integrierten Konten (z.B. das Gast-Konto). - Deaktivierung der interaktiven Anmeldung für privilegierte technische Konten, die nicht in Bosch Privileged Account Management (RB-PAM) (https://inside-docupedia.bosch.com/confluence/x/Rt_-Hg) verwaltet werden. - Überprüfung und Durchsetzung der Passwortrichtlinien.</t>
  </si>
  <si>
    <t>Configuring Operating System User Access Control: The operating system must be configured to ensure that appropriate user authentication and authorization is in place. This includes: - Remove or disable unneeded built-in accounts (e.g., the guest account). - Disable interactive login for privileged technical accounts, which are not managed by Bosch Privileged Account Management (RB-PAM) (https://inside-docupedia.bosch.com/confluence/x/Rt_-Hg) . - Check and enforce the password policy.</t>
  </si>
  <si>
    <t>Verwendung von Lösungen zum Schutz vor Schadsoftware: Eine Lösung zum Schutz vor Schadsoftware muss auf dem IT-System ausgebracht werden, wenn eine Lösung zum Schutz vor Schadsoftware auf dem Markt verfügbar ist und das IT-System eine der folgenden Bedingungen erfüllt: - Das IT-System kann von Schadsoftware befallen werden. - Das IT-System kann dazu verwendet werden, Schadsoftware an andere IT-Systeme zu verteilen (z.B. Server, die Dateiablagen mit infizierten Dateien für andere IT-Systeme zur Verfügung stellen). Hinweisbox: "Referenzimplementierungen für Lösungen zum Schutz vor Schadsoftware für Arbeitsplatzrechner, Server, mobile Endgeräte, Mailserver, Speichersysteme und Webanwendungen werden im inside.Docupedia Portal (https://inside-docupedia.bosch.com/confluence/display/MP/Malware+Protection) des Bosch Central Malware Protection Teams (https://inside-docupedia.bosch.com/confluence/display/MP/Contact) aufgeführt. Zusätzlich wird ein Überblick über die grundsätzliche Verfügbarkeit von Lösung zum Schutz vor Schadsoftware (https://inside-docupedia.bosch.com/confluence/x/85SrKw) für unterschiedliche IT-Systeme bereitgestellt." Falls eine Lösung zum Schutz vor Schadsoftware erforderlich ist, diese aber nicht eingesetzt werden kann, so sind die Vorgaben aus Abschnitt A.13.1. [5] (8) Getrennte Netzwerkzonen für unsichere IT-Systemeeinzuhalten.</t>
  </si>
  <si>
    <t>Usage of Malware Protection Solutions: A malware protection solution must be deployed on the IT system if a malware protection solution is available on the market, and if the IT system fulfills any of the following conditions: - The IT system can be affected by malware. - The IT system can be used to distribute malware to other IT systems (e.g., servers providing file shares with infected files for other IT systems). Information-Box: "Reference implementations of malware protection solutions, e.g., for clients, servers, mobile devices, mail servers, storage, or web applications, are provided in the inside.Docupedia space (https://inside-docupedia.bosch.com/confluence/display/MP/Malware+Protection) of the Bosch Central Malware Protection team. (https://inside-docupedia.bosch.com/confluence/display/MP/Contact) In addition, an overview about the general availability of a malware protection solution (https://inside-docupedia.bosch.com/confluence/x/85SrKw) for different IT systems is provided." In case a malware protection solution would be required but cannot be deployed on the IT system, the regulation of Section A.13.1. [5] (8) Separate Network Zones for Insecure IT Systemsapplies.</t>
  </si>
  <si>
    <t>Aufbewahrungsdauer für Protokolleinträge: Protokolleinträge zu sicherheitsrelevanten Ereignissen müssen für eine konfigurierbare Dauer gespeichert werden, die sowohl die Datenschutzvorgaben als auch den Bedarf an Post-Mortem Analysen von Security Vorfällen berücksichtigt. Für die Analyse von Security Vorfällen durch das Bosch CERT müssen Protokolleinträge für 90 Tage aufbewahrt werden. Hinweisbox: "Weitere Informationen bezüglich der Aufbewahrung von Protokolleinträgen sind in der KBV 10.44 (https://inside-ws.bosch.com/hrs/permlink/wcms_hrs_-10_44_erfassung_und_auswertung_von_elektronischen_daten_kbv_rb-DE) zu finden."</t>
  </si>
  <si>
    <t>Log Data Retention: Security event log records must be kept for a configurable time period according to both, privacy regulations and the needs for post mortem analysis of security incidents. For the analysis of security incidents by Bosch CERT, the log records must be kept for 90 days. Information-Box: "Additional information regarding the log retention time can be found in the group works agreement KBV 10.44 (https://inside-ws.bosch.com/hrs/permlink/wcms_hrs_-10_44_erfassung_und_auswertung_von_elektronischen_daten_kbv_rb-DE) ."</t>
  </si>
  <si>
    <t>Uhrensynchronisation: Die Uhren von IT-Systemen müssen mit einer vertrauenswürdigen Zeitquelle synchronisiert werden, um die Genauigkeit der Protokolleinträge der sicherheitsrelevanten Ereignisse sicherzustellen. Hinweisbox: "Bosch interne, vertrauenswürdige Zeitquellen sind unter anderem der NTP Server (rb-time.de.bosch.com) oder die Active Directory Domain Controller. Das Network Time Protocol Projekt (http://support.ntp.org/bin/view/Servers/WebHome) bietet einen externen Zeitdienst, der als vertrauenswürdig betrachtet werden kann."</t>
  </si>
  <si>
    <t>Clock Synchronization: Clocks of IT systems must be synchronized with a trustworthy time source to ensure the accuracy of security event logs. Information-Box: "Bosch internal trustworthy time sources could be, e.g., NTP (rb-time.de.bosch.com) or Active Directory Domain Controllers. The Network Time Protocol project (http://support.ntp.org/bin/view/Servers/WebHome) provides external time sources which are assumed to be trustworthy."</t>
  </si>
  <si>
    <t>Information über relevante Sicherheits-Patches: Der Betreiber muss sicherstellen, dass er über die Verfügbarkeit von Sicherheits-Patches zeitnah informiert wird. Das Bosch Computer Emergency Response Team (Bosch CERT) erstellt Sicherheitsanweisungen für Standard-Software, um über den Schweregrad und Zeitraum zur Installation von Sicherheits-Patches (https://inside-docupedia.bosch.com/confluence/display/RBCSA/Bosch+CERT+Security+Advisories) zu informieren. Die vom Bosch CERT bereitgestellten Informationen werden per E-Mail verteilt. Die verantwortliche organisatorische Einheit muss die relevanten Mailverteiler vom Bosch CERT abonnieren, um die Bosch CERT Sicherheitsanweisungen zu erhalten. Falls die Software nicht durch die Sicherheitsanweisungen des Bosch CERT (Nicht-Standard-Software) abgedeckt wird, muss die verantwortliche Einheit andere vertrauenswürdige Quellen (z.B. Mailinglisten des Software-Herstellers) benutzen, um zeitnah die relevanten Informationen zu bekommen.</t>
  </si>
  <si>
    <t>Information about Relevant Security Patches: The operator must ensure to be informed about the availability of security patches in time. The Bosch Computer Emergency Response Team (Bosch CERT) generates security advisories for standard software to inform about the severity level and timeframe of installing security patches (https://inside-docupedia.bosch.com/confluence/display/RBCSA/Bosch+CERT+Security+Advisories) . The information provided by Bosch CERT is distributed via e-mail. The responsible units must subscribe to the relevant mailing lists from Bosch CERT to get the Bosch CERT advisories. In case the software is not covered by Bosch CERT's advisories (non-standard software), the responsible unit must use other trusted sources (e.g., the software vendor's mailing lists), to timely obtain the relevant information.</t>
  </si>
  <si>
    <t>Identifikation und Authentisierung von Benutzern: Der Zugriff eines Benutzers auf das Internet darf nur erfolgen, wenn sich der Benutzer authentisiert hat. - Ein begrenzter Satz an frei verfügbaren Webseite kann den Benutzern ohne Authentisierung zur Verfügung gestellt werden. - Falls der Benutzer nicht authentisiert werden kann, muss die Lösung für den Internet-Zugang eine akkurate Identifikation des Benutzers mit anderen Möglichkeiten sicherstellen, z.B. mit einer Korrelation zwischen der Quell-IP-Adresse und dem verantwortlich Benutzer. Hinweisbox: "Bei Arbeitsplatz Endgeräten, die zentral durch CI verwaltet werden, wird der Benutzer i.d.R. am Web Proxy mit Single Sign-On authentisiert. Die Eingabe des Benutzernamens und Passworts ist nicht notwendig. Die Liste der ohne Authentisierung frei verfügbaren Webseiten ist mit der zentralen Bosch Rechtsabteilung und C/IDS abgestimmt, und wird durch die zuständige Netzwerksicherheitsgruppe im CI verwaltet."</t>
  </si>
  <si>
    <t>User Identification and Authentication: User access to the Internet must be provided only if the user can be authenticated: - A limited set of freely accessible websites may be open for all users without authentication. - If the user cannot be authenticated, the solution for Internet access must allow for the accurate identification of the user with other means, e.g., a correlation between the source IP address and the responsible user. Information-Box: "For workplace end devices centrally managed by CI, the user is typically authenticated at the web proxy using Single Sign-On. Entering an account name and password is not necessary. The list of freely accessible web sites without authentication is agreed with Bosch legal department and C/IDS, and managed by the CI Network Security group."</t>
  </si>
  <si>
    <t>Proxy für Server: Falls ein Server Internet-Zugriff benötigt, (z.B. für Security Updates) muss der Zugriff auf die Server IP-Adresse und Ziel-URLs eingeschränkt werden. Hinweisbox: "Siehe auch Proxy4Server (https://inside-docupedia.bosch.com/confluence/x/5wj0Hg) ."</t>
  </si>
  <si>
    <t>Proxy for Servers: In case a server needs access to the Internet (e.g., for security updates), the access to the Internet must be limited to the server IP address and the destination URLs. Information-Box: "See also Proxy4Server (https://inside-docupedia.bosch.com/confluence/x/5wj0Hg) ."</t>
  </si>
  <si>
    <t>Protokollierung: Die Gateway Lösung auf der Anwendungsschicht (Application Layer Gateway - ALG) muss Protokolleinträge für HTTP Anfragen generieren. Die Protokolleinträge müssen mindestens folgende Informationen beinhalten: - Informationen, die eine akkurate Identifikation des Benutzers ermöglichen, z.B. eine Benutzer ID, oder eine IP-Adresse, die dem Benutzer zugeordnet werden kann. - Das Ziel, z.B. URL, oder IP-Adresse. - Zeitstempel. Die Protokolldaten zu sicherheitsrelevanten Ereignissen, die von der ALG Lösung generiert werden, müssen wie in Bosch EISA "Protokollierung von Sicherheitsereignissen" (EISA-OPS-401) (https://www.intranet.bosch.com/doku/eisa/EISA-OPS-401.html) beschrieben verarbeitet werden.</t>
  </si>
  <si>
    <t>Logging: The solution for ALGs must produce log records for HTTP requests. The log records must contain at least the following information: - Information which allows the accurate identification of the user, e.g., a user ID, or an IP address which can correlated to the user. - The destination, e.g., URL, or IP address. - Timestamp. Security event log records generated by the ALG solution must be processed according to Bosch EISA "Security Event Logging" (EISA-OPS-401) (https://www.intranet.bosch.com/doku/eisa/EISA-OPS-401.html) .</t>
  </si>
  <si>
    <t>Trennung bei Netzwerkvertrauensgrenzen: Externe Netze, z.B. das Internet oder Partner-Netze, müssen vom BDN getrennt werden. Das BDN muss in mindestens folgende Sicherheitsschichten segmentiert werden: - Die Internet-Zone: (Security Layer 0: SL0): In dieser Zone dürfen keine Dienste außer der Basis Netzwerk-Konnektivität oder Netzwerk Routing zur Verfügung gestellt werden. - Die Demilitarisierte Zone (DMZ) (Security Layer 1: SL1): In dieser Zone dürfen Dienste z.B. für Webauftritte oder eingehende E-Mails zur Verfügung gestellt werden. Dienste in dieser Zone sind vom Internet mit einer Firewall getrennt. Es gelten trotzdem die Anforderungen für aus dem Internet erreichbare Dienste, z.B. die Anforderungen für Schwachstellen Scans oder Penetrationstests. - Die Enterprise Security Zone (ESZ) (Security Layer 2: SL2): Diese Zone beinhaltet Dienste, die sowohl mit Diensten in der DMZ als auch im BCN oder in "Restricted Security Zones" (siehe unten) kommunizieren müssen. - Das BCN (Security Layer 3: SL3) - Restricted Security Zone (RSZ) (Security Layer 4: SL4): In dieser Zone werden Dienste untergebracht, die nicht mit dem Internet kommunizieren müssen. Es wird nachdrücklich empfohlen, interne Dienste in RSZs statt im BCN unterzubringen. Jeder der Security Layer SL1, SL2 und SL4 muss weiter segmentiert werden, um unterschiedliche Anwendungen von einander zu isolieren. Die Netzwerk-Kommunikation zwischen Sicherheitszonen im Rechenzentrum muss durch Firewalls getrennt werden. Direkte Netzwerkkommunikation zwischen dem BCN und dem Internet muss durch die jeweiligen Application Layer Gateways (ALGs) in der DMZ verarbeitet werden, z.B. durch einen Web Proxy oder Mail Transfer Agent (MTA). Die Kommunikation zwischen SL1 und SL0 muss durch mindestens zwei Firewalls von verschiedenen Herstellern geschützt werden. Hinweisbox: "Siehe Sicherheitszonen-Architektur für die RB Enterprise IT (https://inside-docupedia.bosch.com/confluence/x/vxI4MQ) ."</t>
  </si>
  <si>
    <t>Separation for Network Trust Boundaries: External networks, e.g., the Internet or partners' networks, must be separated from the BDN. The BDN must be segmented into at least the following security zones: - The Internet Zone (Security Layer 0: SL0): In this zone, no services other than the basic network connectivity and network routing are provided. - The Demilitarized Zone (DMZ) (Security Layer 1: SL1): In this zone, services, e.g., for Internet web presence or incoming emails can be provided. Services in this zone are separated from the Internet with a firewall. Nevertheless, services in this zone are considered as Internet-facing and must obey to the respective requirements, e.g., for vulnerability scans and penetration tests. - The Enterprise Security Zone (ESZ) (Security Layer 2: SL2): This zone contains services which need to communicate between services in the DMZ and services in the BCN, or between services in the DMZ and services in a restricted security zone (see below). - The BCN (Security Layer 3: SL3) - Restricted Security Zone (RSZ) (Security Layer 4: SL4): In this zone, services which do not need to communicate with the Internet are hosted. It is strongly recommended to deploy internal services in restricted zones instead of the BCN. Each of the security layers SL1, SL2 and SL4 must be further separated to isolate different applications from each other. Network communication between data center security zones must be protected by firewalls. Direct network communication between the BCN and the Internet must be processed by the respective application layer gateways (ALGs) in the DMZ, e.g., by a web proxy or Mail Transfer Agent (MTA). The communication between SL1 and SL0 must be protected by at least two firewalls from different vendors. Information-Box: "See Security Zone Architecture for the RB Enterprise IT (https://inside-docupedia.bosch.com/confluence/x/vxI4MQ) ."</t>
  </si>
  <si>
    <t>Richtlinie für den Netzwerkverkehrsfluss: Netzwerkkommunikation zwischen Netzwerkssicherheitszonen muss standardmäßig blockiert werden. Abgelehnte Verbindungsversuche müssen protokolliert werden. Das gilt sowohl für eingehenden als auch für ausgehenden Netzwerkverkehr. Ausnahmen müssen durch den Freischaltungsprozess geprüft werden, der durch die zuständige Netzwerksicherheitsgruppe im CI durchgeführt wird. Die Kriterien für die Freischaltungen müssen mit C/IDS abgestimmt werden. Folgende Protokolle dürfen NICHT eingesetzt werden: - Telnet (Standard-Port: 23): SSH oder RDP sollen stattdessen genutzt werden. - FTP (Standard-Ports: 21 für Kontrolle, 20 für Datentransfer): FTP ist nur bei anonymer Anmeldung (d.h. es werden keine Passwörter in Klartext übertragen) und nur wenn die Daten als C-SC0 eingestuft sind, erlaubt. Wenn diese Bedingungen nicht erfüllt sind, müssen Alternativen zum Datentransfer genutzt werden, z.B. FTP über SSH (SFTP) oder FTP über TLS (FTPS). - HTTP (Standard-Port: 80) darf nicht eingesetzt werden, wenn Passwörter unverschlüsselt übertragen werden. HTTPS (Standard-Port: 443) muss eingesetzt werden. - HTTP (Standard-Port: 80) darf nicht genutzt werden, um Daten der Schutzklasse C-SC2 oder höher zu übertragen. HTTPS (Standard-Port: 443) muss eingesetzt werden. - LDAP (Standard-Port: 389) darf nicht genutzt werden, um Passwörter in Klartext zu übertragen. LDAPS (Standard-Port 636) muss genutzt werden. - Berkeley r-Befehle rexec, rlogin, rsh (Standard-Ports: 512, 513, 514): Diese Befehle sind seit den neunziger Jahren überholt. - Network Information Service (NIS) ypbind (oft auf Port 914): Überholt. LDAPs soll genutzt werden. - SunRPC (oft auf Port 111): Überholt. Unverschlüsselte Datenübertragung und diverse Schwachstellen. - NetBIOS (TCP/UDP: 137-139): NetBIOS ist von Microsoft als veraltet gekennzeichnet und darf nicht mehr genutzt werden. - VNC (Standard-Ports: 5800, 5900): VNC ist für diverse Sicherheitsschwachstellen anfällig. Oft werden Passwörter im Klartext übertragen. SSH oder RDP sollen stattdessen genutzt werden. Folgende Anwendungen, Protokolle und Portnummern dürfen nur mit einer angemessenen Sicherheitsbewertung freigeschaltet werden. Es wird nachdrücklich empfohlen eine Sicherheitsanalyse durchzuführen, bevor die Firewall Regeln freigeschaltet werden. - Tunneln-Protokolle, z.B., OpenVPN (typischerweise Port 1194) oder IPSec (Standard-Ports: UDP 500 für IKE/IKEv2, UDP 4500 für gekapselten IPSec Verkehr): Mit Tunnel-Protokollen können virtuelle Netze aufgebaut werden. Tunnel-Protokolle dürfen nicht missbraucht werden, um Firewalls bzw. das Netzwerkzonenkonzept zu umgehen. - Der Netzzugriff auf die Domain Controller des Active Directories aus externen Netzen, z.B. Netzwerkverbindungen für Geschäftspartner, muss auf das notwendige Minimum eingeschränkt werden. Die LDAP Kommunikation muss verschlüsselt und integritätsgeschützt werden. - Microsoft SMB (TCP 445): Port 445 wird in Microsoft Windows für diverse Dienste eingesetzt. Dies beinhaltet Remote Management Dienste, Datei-Server und RPC Locator. Port 445 wird oft für Angriffe missbraucht, z.B. bei WannaCry. Wenn eine Dateifreigabe erforderlich ist, wird dringend empfohlen, den von CI/OSS bereitgestellten Datei-Server-Dienst zu verwenden, da dieser Dienst auf Linux basiert und nicht anfällig für die meisten Angriffe auf TCP-Port 445 ist. - Microsoft RPC/EPMAP (TCP 135): Zahlreiche Microsoft Anwendungen und Dienste nutzen diese Portnummer. Daher wird sie, wie Portnummer 445, oft missbraucht. Die entsprechenden Härtungsmaßnahmen müssen beachtet werden. Hinweisbox: "Für Windows Server sind hier weitere hilfreiche Informationen zu finden: Service Übersicht und Netzwerk Port Anforderungen für Windows (https://support.microsoft.com/de-de/help/832017/service-overview-and-network-port-requirements-for-windows) "</t>
  </si>
  <si>
    <t>Network Traffic Flow Policy: Network communication between network security zones must be denied by default. Denied connection attempts must be logged. This applies to both, incoming and outgoing traffic. Exceptions must pass through the firewall clearing process run by the CI Network Security group. The criteria for the clearing must be agreed with C/IDS. The following protocols must NOT be used: - Telnet (standard port: 23): SSH or RDP should be used as an alternative. - FTP (standard ports: 21 for control, 20 for data transfer): FTP is allowed only with anonymous login (i.e., no passwords are transferred in clear text) and only if the data transferred is C-SC0. Otherwise alternatives must be used, e.g., FTP over SSH (SFTP), or FTP over TLS (FTPS). - HTTP (standard port: 80) must not be used, if passwords are transmitted in clear text. HTTPS (standard port: 443) must be used. - HTTP (standard port: 80) must not be used to transfer data with security class C-SC2 or higher. HTTPS (standard port: 443) must be used. - LDAP (standard port: 389) must not be used to transfer passwords in clear text. LDAP over TLS (LDAPs) (Standard port 636) must be used. - Berkeley r-commands rexec, rlogin, rsh (standard ports: 512, 513, 514): These commands are deprecated since the 1990s. - Network Information Service (NIS) ypbind (often on port 914): Deprecated. Use LDAPs instead. - SunRPC (often on port 111): Deprecated, uses unencrypted data transfer and has several security flaws. - NetBIOS (TCP/UDP: 137-139): NetBIOS has been deprecated by Microsoft and must not be used by any service or application anymore. - VNC (Standard ports: 5800, 5900): VNC is prone to several security vulnerabilities. Often data or passwords are transferred unencrypted. It is recommended to use SSH or RDP instead. The following applications, protocols, and port numbers must be used only with caution. It is strongly recommended to perform a security analysis before firewall rules are activated: - Tunneling protocols, e.g., OpenVPN (typically port 1194) or IPSec (Standard ports: UDP 500 for IKE/IKEv2, UDP 4500 for encapsulation of IPSec traffic): Tunneling protocols can be used to build virtual network tunnels. They must not be misused to bypass firewalls and the network zones concept. - Network access to Active Directory Domain Controllers from external networks, e.g., business partner network connections must be limited to the minimum necessary. Communication with LDAP must be encrypted and integrity-protected. - Microsoft SMB (TCP 445): Port 445 is used for various functions in Microsoft Windows including remote management, file sharing and RPC locator. Therefore, this protocol and port is under permanent attack from malicious software, e.g., WannaCry. Therefore, if a file share is needed, it is strongly recommended to use the fileshare service provided by CI/OSS as this service is based on Linux and is not vulnerable to most attacks on TCP port 445. - Microsoft RPC/EPMAP (TCP 135): A number of Microsoft applications and services rely on this. Because this is a multi-purpose port, like port 445, this is frequently exposed to security vulnerabilities. The relevant hardening measures must be considered. Information-Box: "For Windows servers, more information on the network port requirements can be found at this Service overview and network port requirements for Windows (https://support.microsoft.com/en-us/help/832017/service-overview-and-network-port-requirements-for-windows) "</t>
  </si>
  <si>
    <t>Reaktionsplan für Informationssicherheitsvorfälle: Bei einem Informationssicherheitsvorfall muss der Cyber Security Incident Response Plan (IRP) befolgt werden. Hinweisbox: "Der Cyber Security Incident Response Plan (IRP) (https://rb-wam.bosch.com/socos-c/SOCOS/finder.cgi?CGP-07900-002_BBL_X_EN) beschreibt den Gesamtplan für die Reaktion auf Cyber Security Vorfälle bei Bosch. Darüber hinaus definiert er Schnittstellen, Rollen, Verantwortlichkeiten sowie Anforderungen an die Meldung von Sicherheitsvorfällen."</t>
  </si>
  <si>
    <t>Information Security Incident Response Plan: In case of an information security incident, the Cyber Security Incident Response Plan (IRP) must be followed. Information-Box: "The Cyber Security Incident Response Plan (IRP) (https://rb-wam.bosch.com/socos-c/SOCOS/finder.cgi?CGP-07900-002_BBL_X_EN) describes the overall plan for responding to Cyber Security Incidents at Bosch. Furthermore, it defines interfaces, roles, responsibilities and security incident reporting requirements."</t>
  </si>
  <si>
    <t>Meldung von Sicherheitsvorfällen: Informationssicherheitsvorfälle müssen unverzüglich nach der Feststellung dem Bosch CERT gemeldet werden. Hinweisbox: "Meldewege von Sicherheitsvorfällen an das Bosch CERT (https://bgn.bosch.com/alias/bosch-cert) : - Bosch CERT E-Mail Mailbox (mailto:CERT@bosch.com) . - Bosch CERT Meldeformular (https://bgn.bosch.com/alias/security-incident) . Für Informationen zur Meldung von produktbezogenen Informations-sicherheitsvorfällen, siehe C/ISP CD 02900-001 Abschnitt A.16.1.2. Produktbezogenen Informationssicherheitsvorfälle, die an das Bosch CERT gemeldet wurden, müssen nicht noch zusätzlich an das Bosch PSIRT gemeldet werden."</t>
  </si>
  <si>
    <t>Incident Reporting: Any information security incident must be reported to Bosch CERT immediately after it has been detected. Information-Box: "Incident Reporting channels to Bosch CERT (https://bgn.bosch.com/alias/bosch-cert) : - Bosch CERT Mailbox (mailto:CERT@bosch.com) . - Bosch CERT Reporting Form (https://bgn.bosch.com/alias/security-incident) . For information regarding the reporting of product related information security incidents, see C/ISP CD 02900-001 Section A.16.1.2. Product-related information security incidents reported to Bosch CERT need not to be reported in addition to Bosch PSIRT."</t>
  </si>
  <si>
    <t>Unterstützung des Bosch CERT: Der Betreiber des IT-Systems muss das Bosch CERT während des gesamten Lebenszyklus eines Sicherheitsvorfalls unterstützen. Hinweisbox: "Der Lebenszyklus für Sicherheitsvorfälle ist im Cyber Security Incident Response Plan (IRP) (https://rb-wam.bosch.com/socos-c/SOCOS/finder.cgi?CGP-07900-002_BBL_X_EN) beschrieben."</t>
  </si>
  <si>
    <t>Support to Bosch CERT: The operator of the IT system must provide assistance to Bosch CERT during the complete incident response lifecycle. Information-Box: "The security incident response lifecycle is described in the Cyber Security Incident Response Plan (IRP) (https://rb-wam.bosch.com/socos-c/SOCOS/finder.cgi?CGP-07900-002_BBL_X_EN) ."</t>
  </si>
  <si>
    <t>Unabhängiger Penetrationstester oder -Team: Der Penetrationstest muss von einer unabhängigen Stelle durchgeführt werden, die nicht dem Entwicklungsteam angehört und über das Expertenwissen der jeweiligen Domäne verfügt. Hinweisbox: "Eine Liste von Anbietern für Penetrationstests mit abgeschlossenen Rahmenverträgen finden Sie hier (https://inside-docupedia.bosch.com/confluence/x/_X63G) ."</t>
  </si>
  <si>
    <t>Independent Penetration Agent or Team: A penetration test must be conducted by an independent party, other than the development team, and with the respective domain specific expert knowledge. Information-Box: "A list of penetration testing providers with established framework contracts can be found here (https://inside-docupedia.bosch.com/confluence/x/_X63G) ."</t>
  </si>
  <si>
    <t>Ergebnisse der Penetrationstests: Die Ergebnisse des Penetrationstests sind nach einem standardisierten Verfahren zu bewerten, z.B. CVSS (https://www.first.org/cvss) ("Common Vulnerability Scoring System") und in einem Bericht darzulegen. Der Testbericht muss dem Bosch CERT und C/IDS übermittelt werden.</t>
  </si>
  <si>
    <t>Penetration Testing Results: The identified vulnerabilities must be rated according to a standardized score, e.g., using CVSS (https://www.first.org/cvss) (Common Vulnerability Scoring System) and documented with the rating in a report. The penetration test report must be submitted to Bosch CERT and to C/IDS.</t>
  </si>
  <si>
    <t>Konformitätsprüfung: Mindestens einmal jährlich muss der Betreiber des IT-Systems die Einhaltung der IT-Sicherheitsvorschriften anhand des Dokuments "Betreiber Selbstcheck" ( CD 02900-021 (https://rb-wam.bosch.com/socos-c/SOCOS/finder.cgi?CD-02900-021_XXX_X_DE) ) überprüfen. Hinweisbox: "Werden Fragen des Betreiber Selbstchecks bei von CI betriebenen SAP-Systemen im Rahmen des SSM-Audits geprüft, so kann auf die Ergebnisse in diesem als entsprechende Anlage zum "Betreiber Selbstcheck" referenziert werden."</t>
  </si>
  <si>
    <t>Compliance Verification: At least once per year, the IT system operator must verify compliance with the IT Security regulations using the document "Operator Self-Check" ( CD 02900-021 (https://rb-wam.bosch.com/socos-c/SOCOS/finder.cgi?CD-02900-021_XXX_X_EN) ). Information-Box: "For SAP systems operated by CI: if questions of the "Operator Self-Check" are already answered during the SSM audit, it is possible to attach the audit reports as reference to the corresponding question."</t>
  </si>
  <si>
    <t>Version</t>
  </si>
  <si>
    <t>Changes</t>
  </si>
  <si>
    <t>1.0</t>
  </si>
  <si>
    <t>1.1</t>
  </si>
  <si>
    <t>Initial Version</t>
  </si>
  <si>
    <t>• New questions due to new regulations of C/IDS CD 07900
• Improved assignment of questions
• Inserting a comment column
• FAQ link on each page
• Correction of minor errors
• Added Links to Templates
• Added references to relevant regulations
• Selection for Commercial IT Applications added</t>
  </si>
  <si>
    <t>LoP2/TEF7</t>
  </si>
  <si>
    <t>KUEBLER Simon</t>
  </si>
  <si>
    <t xml:space="preserve">HELD Hubert </t>
  </si>
  <si>
    <t>Lang Stefanie</t>
  </si>
  <si>
    <t>LoP2 PORTAINER NodeRED</t>
  </si>
  <si>
    <t>Glaube das ist nicht dokumentiert bzw. klargestellt</t>
  </si>
  <si>
    <t>Was sind die Vorgaben?</t>
  </si>
  <si>
    <t>Portainer Userverwaltung als Passwortportverwaltung, nativ in der Applikation</t>
  </si>
  <si>
    <t>Sign-On über Portainer-LDAP Anbindung</t>
  </si>
  <si>
    <t>Übertragung über HTTPS ( aber nicht alle)</t>
  </si>
  <si>
    <t>Verbindungn auschließlich intern, Verbindungen in SL1 Felix?</t>
  </si>
  <si>
    <t>Selbstbetrieb ohne RB-Trust-Center</t>
  </si>
  <si>
    <t>Felix glaube sowas ist nicht implementiert, man beibt ja eingeloggt</t>
  </si>
  <si>
    <t>Apllikation nur intern im BCN erreichbar; serverseitig gehärtet, nur benötigte Funktionen/Ports sind aktiv</t>
  </si>
  <si>
    <t>Betriebshandbuch ist erstellt</t>
  </si>
  <si>
    <t>getrennte Applikation-Server und Datenbanken für Test- und Produktivsystem;
SW-Änderungen werden durch LoP2/TEF7 vor Rollout auf Testsystem geprüft</t>
  </si>
  <si>
    <t>Server ist CI-betrieben</t>
  </si>
  <si>
    <t>RHEL8: Patch durch CI, Portainer: Patch im Selbstbetrieb????</t>
  </si>
  <si>
    <t>Portainer Image ist gut dokumentiert und als vertrauenswürdig eingestuft, auch wenn es ein Drittanbieter ist</t>
  </si>
  <si>
    <t>Wir trennen nicht nach Zonen und wo die Zugriffe erfolgen</t>
  </si>
  <si>
    <t>jährlicher Self-Check wurde bisher nicht durchgeführt; ist hiermit durchgeführt und wird jährlich überprüft</t>
  </si>
  <si>
    <t>Laut CI-Stand nicht norm entsprechend, manuelle Pflege</t>
  </si>
  <si>
    <t>Sign-On über Portainer-LDAP Anbindung, Instanzen über 4*4 eigenes Passwort eingepflegt</t>
  </si>
  <si>
    <t>Ja Aufgliederung der User in Admin und Usergruppen im Portainer und Node-RED (Read, Write, no Access)</t>
  </si>
  <si>
    <t>Aktuelle WAM-Klärung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</si>
</sst>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1"/>
      <color rgb="FF000000"/>
      <name val="Segoe UI"/>
      <family val="2"/>
    </font>
    <font>
      <sz val="11"/>
      <color rgb="FF000000"/>
      <name val="Segoe UI"/>
      <family val="2"/>
    </font>
    <font>
      <b/>
      <sz val="11"/>
      <color rgb="FF000000"/>
      <name val="Segoe UI"/>
      <family val="2"/>
    </font>
    <font>
      <b/>
      <sz val="10"/>
      <color theme="1"/>
      <name val="Arial"/>
      <family val="2"/>
    </font>
    <font>
      <sz val="11"/>
      <color theme="1"/>
      <name val="Arial"/>
      <family val="2"/>
    </font>
    <font>
      <b/>
      <sz val="18"/>
      <color theme="1"/>
      <name val="Calibri"/>
      <family val="2"/>
      <scheme val="minor"/>
    </font>
    <font>
      <b/>
      <sz val="11"/>
      <color rgb="FFFF0000"/>
      <name val="Calibri"/>
      <family val="2"/>
      <scheme val="minor"/>
    </font>
    <font>
      <sz val="8"/>
      <color theme="0"/>
      <name val="Arial"/>
      <family val="2"/>
    </font>
    <font>
      <b/>
      <sz val="10"/>
      <color theme="0"/>
      <name val="Arial"/>
      <family val="2"/>
    </font>
    <font>
      <sz val="10"/>
      <color theme="0"/>
      <name val="Arial"/>
      <family val="2"/>
    </font>
    <font>
      <b/>
      <sz val="10"/>
      <color theme="3"/>
      <name val="Arial"/>
      <family val="2"/>
    </font>
    <font>
      <sz val="10"/>
      <color rgb="FF000000"/>
      <name val="Arial"/>
      <family val="2"/>
    </font>
    <font>
      <sz val="11"/>
      <color theme="3" tint="0.79998168889431442"/>
      <name val="Calibri"/>
      <family val="2"/>
      <scheme val="minor"/>
    </font>
    <font>
      <b/>
      <sz val="11"/>
      <color theme="1"/>
      <name val="Arial"/>
      <family val="2"/>
    </font>
    <font>
      <sz val="11"/>
      <color theme="0"/>
      <name val="Arial"/>
      <family val="2"/>
    </font>
    <font>
      <u/>
      <sz val="14"/>
      <color rgb="FFFF0000"/>
      <name val="Arial"/>
      <family val="2"/>
    </font>
    <font>
      <sz val="9"/>
      <color theme="1"/>
      <name val="Calibri"/>
      <family val="2"/>
      <scheme val="minor"/>
    </font>
    <font>
      <b/>
      <sz val="12"/>
      <color theme="1"/>
      <name val="Arial"/>
      <family val="2"/>
    </font>
    <font>
      <sz val="12"/>
      <name val="Arial"/>
      <family val="2"/>
    </font>
    <font>
      <sz val="12"/>
      <color theme="1"/>
      <name val="Arial"/>
      <family val="2"/>
    </font>
    <font>
      <u/>
      <sz val="11"/>
      <color theme="10"/>
      <name val="Calibri"/>
      <family val="2"/>
      <scheme val="minor"/>
    </font>
    <font>
      <u/>
      <sz val="16"/>
      <color theme="10"/>
      <name val="Calibri"/>
      <family val="2"/>
      <scheme val="minor"/>
    </font>
    <font>
      <sz val="11"/>
      <color rgb="FFFF0000"/>
      <name val="Calibri"/>
      <family val="2"/>
      <scheme val="minor"/>
    </font>
    <font>
      <sz val="18"/>
      <color rgb="FFFF0000"/>
      <name val="Calibri"/>
      <family val="2"/>
      <scheme val="minor"/>
    </font>
    <font>
      <b/>
      <sz val="16"/>
      <name val="Calibri"/>
      <family val="2"/>
      <scheme val="minor"/>
    </font>
    <font>
      <sz val="8"/>
      <color theme="1"/>
      <name val="Arial"/>
      <family val="2"/>
    </font>
    <font>
      <sz val="16"/>
      <name val="Calibri"/>
      <family val="2"/>
      <scheme val="minor"/>
    </font>
    <font>
      <u/>
      <sz val="16"/>
      <color rgb="FF00B0F0"/>
      <name val="Calibri"/>
      <family val="2"/>
      <scheme val="minor"/>
    </font>
    <font>
      <u/>
      <sz val="10"/>
      <color theme="1"/>
      <name val="Arial"/>
      <family val="2"/>
    </font>
    <font>
      <u/>
      <sz val="14"/>
      <color rgb="FF00B0F0"/>
      <name val="Calibri"/>
      <family val="2"/>
      <scheme val="minor"/>
    </font>
    <font>
      <u/>
      <sz val="12"/>
      <color rgb="FF00B0F0"/>
      <name val="Calibri"/>
      <family val="2"/>
      <scheme val="minor"/>
    </font>
    <font>
      <u/>
      <sz val="11"/>
      <color rgb="FF00B0F0"/>
      <name val="Calibri"/>
      <family val="2"/>
      <scheme val="minor"/>
    </font>
    <font>
      <i/>
      <sz val="11"/>
      <color theme="1"/>
      <name val="Arial"/>
      <family val="2"/>
    </font>
    <font>
      <sz val="12"/>
      <color theme="1"/>
      <name val="Calibri"/>
      <family val="2"/>
      <scheme val="minor"/>
    </font>
  </fonts>
  <fills count="19">
    <fill>
      <patternFill patternType="none"/>
    </fill>
    <fill>
      <patternFill patternType="gray125"/>
    </fill>
    <fill>
      <patternFill patternType="solid">
        <fgColor rgb="FFC0C0C0"/>
        <bgColor rgb="FFC0C0C0"/>
      </patternFill>
    </fill>
    <fill>
      <patternFill patternType="none">
        <fgColor rgb="FF000000"/>
        <bgColor rgb="FFFFFFFF"/>
      </patternFill>
    </fill>
    <fill>
      <patternFill patternType="none">
        <fgColor rgb="FF000000"/>
        <bgColor rgb="FFFFFFFF"/>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5"/>
        <bgColor indexed="64"/>
      </patternFill>
    </fill>
    <fill>
      <patternFill patternType="solid">
        <fgColor theme="0" tint="-0.249977111117893"/>
        <bgColor indexed="64"/>
      </patternFill>
    </fill>
    <fill>
      <patternFill patternType="solid">
        <fgColor rgb="FF00B050"/>
        <bgColor indexed="64"/>
      </patternFill>
    </fill>
    <fill>
      <patternFill patternType="solid">
        <fgColor theme="6" tint="0.39997558519241921"/>
        <bgColor indexed="64"/>
      </patternFill>
    </fill>
    <fill>
      <patternFill patternType="solid">
        <fgColor rgb="FFC00000"/>
        <bgColor indexed="64"/>
      </patternFill>
    </fill>
    <fill>
      <patternFill patternType="solid">
        <fgColor theme="1" tint="0.499984740745262"/>
        <bgColor indexed="64"/>
      </patternFill>
    </fill>
    <fill>
      <patternFill patternType="solid">
        <fgColor theme="3"/>
        <bgColor indexed="64"/>
      </patternFill>
    </fill>
    <fill>
      <patternFill patternType="solid">
        <fgColor rgb="FFFFFFCC"/>
        <bgColor indexed="64"/>
      </patternFill>
    </fill>
    <fill>
      <patternFill patternType="solid">
        <fgColor rgb="FFFFC000"/>
        <bgColor indexed="64"/>
      </patternFill>
    </fill>
    <fill>
      <patternFill patternType="solid">
        <fgColor rgb="FF92D050"/>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auto="1"/>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3" fillId="4" borderId="0"/>
    <xf numFmtId="0" fontId="34" fillId="0" borderId="0" applyNumberFormat="0" applyFill="0" applyBorder="0" applyAlignment="0" applyProtection="0"/>
  </cellStyleXfs>
  <cellXfs count="135">
    <xf numFmtId="0" fontId="0" fillId="0" borderId="0" xfId="0"/>
    <xf numFmtId="0" fontId="14" fillId="2" borderId="1" xfId="0" applyFont="1" applyFill="1" applyBorder="1" applyAlignment="1">
      <alignment horizontal="center" vertical="center"/>
    </xf>
    <xf numFmtId="0" fontId="15" fillId="4" borderId="3" xfId="0" applyFont="1" applyFill="1" applyBorder="1" applyAlignment="1">
      <alignment vertical="center" wrapText="1"/>
    </xf>
    <xf numFmtId="0" fontId="15" fillId="3" borderId="2" xfId="0" applyFont="1" applyFill="1" applyBorder="1" applyAlignment="1">
      <alignment vertical="center" wrapText="1"/>
    </xf>
    <xf numFmtId="0" fontId="16" fillId="2" borderId="4" xfId="0" applyFont="1" applyFill="1" applyBorder="1" applyAlignment="1">
      <alignment horizontal="center" vertical="center"/>
    </xf>
    <xf numFmtId="0" fontId="0" fillId="7" borderId="0" xfId="0" applyFill="1"/>
    <xf numFmtId="0" fontId="0" fillId="7" borderId="0" xfId="0" applyFill="1" applyAlignment="1">
      <alignment horizontal="right"/>
    </xf>
    <xf numFmtId="0" fontId="0" fillId="7" borderId="0" xfId="0" applyFill="1" applyAlignment="1">
      <alignment horizontal="right" indent="1"/>
    </xf>
    <xf numFmtId="0" fontId="0" fillId="8" borderId="0" xfId="0" applyFill="1"/>
    <xf numFmtId="0" fontId="18" fillId="0" borderId="0" xfId="0" applyNumberFormat="1" applyFont="1" applyFill="1" applyAlignment="1">
      <alignment vertical="top" wrapText="1"/>
    </xf>
    <xf numFmtId="0" fontId="12" fillId="6" borderId="0" xfId="0" applyFont="1" applyFill="1" applyAlignment="1">
      <alignment vertical="top" wrapText="1"/>
    </xf>
    <xf numFmtId="0" fontId="12" fillId="5" borderId="0" xfId="0" applyFont="1" applyFill="1" applyAlignment="1">
      <alignment vertical="top" wrapText="1"/>
    </xf>
    <xf numFmtId="0" fontId="18" fillId="0" borderId="5" xfId="0" applyNumberFormat="1" applyFont="1" applyFill="1" applyBorder="1" applyAlignment="1">
      <alignment vertical="top" wrapText="1"/>
    </xf>
    <xf numFmtId="0" fontId="18" fillId="0" borderId="6" xfId="0" applyNumberFormat="1" applyFont="1" applyFill="1" applyBorder="1" applyAlignment="1">
      <alignment vertical="top" wrapText="1"/>
    </xf>
    <xf numFmtId="0" fontId="21" fillId="0" borderId="6" xfId="0" applyNumberFormat="1" applyFont="1" applyFill="1" applyBorder="1" applyAlignment="1">
      <alignment vertical="top" wrapText="1"/>
    </xf>
    <xf numFmtId="0" fontId="21" fillId="0" borderId="0" xfId="0" applyNumberFormat="1" applyFont="1" applyFill="1" applyAlignment="1">
      <alignment vertical="top" wrapText="1"/>
    </xf>
    <xf numFmtId="0" fontId="21" fillId="0" borderId="0" xfId="0" applyFont="1" applyAlignment="1">
      <alignment vertical="top" wrapText="1"/>
    </xf>
    <xf numFmtId="0" fontId="20" fillId="8" borderId="0" xfId="0" applyFont="1" applyFill="1" applyAlignment="1">
      <alignment horizontal="left"/>
    </xf>
    <xf numFmtId="0" fontId="22" fillId="15" borderId="0" xfId="0" applyNumberFormat="1" applyFont="1" applyFill="1" applyAlignment="1">
      <alignment horizontal="center" vertical="center" wrapText="1"/>
    </xf>
    <xf numFmtId="0" fontId="24" fillId="15" borderId="0" xfId="0" applyNumberFormat="1" applyFont="1" applyFill="1" applyAlignment="1">
      <alignment horizontal="center" vertical="center" wrapText="1"/>
    </xf>
    <xf numFmtId="0" fontId="25" fillId="4" borderId="3" xfId="0" applyFont="1" applyFill="1" applyBorder="1" applyAlignment="1" applyProtection="1">
      <alignment vertical="center" wrapText="1"/>
    </xf>
    <xf numFmtId="0" fontId="26" fillId="7" borderId="0" xfId="0" applyFont="1" applyFill="1"/>
    <xf numFmtId="0" fontId="18" fillId="5" borderId="0" xfId="0" applyFont="1" applyFill="1" applyAlignment="1">
      <alignment horizontal="right"/>
    </xf>
    <xf numFmtId="0" fontId="27" fillId="5" borderId="0" xfId="0" applyFont="1" applyFill="1" applyAlignment="1">
      <alignment horizontal="right"/>
    </xf>
    <xf numFmtId="0" fontId="18" fillId="5" borderId="0" xfId="0" applyFont="1" applyFill="1"/>
    <xf numFmtId="0" fontId="28" fillId="5" borderId="0" xfId="0" applyFont="1" applyFill="1"/>
    <xf numFmtId="0" fontId="18" fillId="0" borderId="0" xfId="0" applyFont="1"/>
    <xf numFmtId="0" fontId="28" fillId="5" borderId="0" xfId="0" applyFont="1" applyFill="1" applyAlignment="1">
      <alignment horizontal="right"/>
    </xf>
    <xf numFmtId="0" fontId="10" fillId="0" borderId="0" xfId="0" applyFont="1" applyAlignment="1">
      <alignment vertical="top" wrapText="1"/>
    </xf>
    <xf numFmtId="0" fontId="21" fillId="0" borderId="0" xfId="0" applyFont="1"/>
    <xf numFmtId="0" fontId="27" fillId="5" borderId="0" xfId="0" applyFont="1" applyFill="1" applyAlignment="1">
      <alignment horizontal="left"/>
    </xf>
    <xf numFmtId="0" fontId="23" fillId="15" borderId="0" xfId="0" applyNumberFormat="1" applyFont="1" applyFill="1" applyAlignment="1">
      <alignment vertical="center" wrapText="1"/>
    </xf>
    <xf numFmtId="0" fontId="23" fillId="14" borderId="0" xfId="0" applyNumberFormat="1" applyFont="1" applyFill="1" applyAlignment="1">
      <alignment vertical="center" wrapText="1"/>
    </xf>
    <xf numFmtId="0" fontId="11" fillId="0" borderId="0" xfId="0" applyNumberFormat="1" applyFont="1" applyFill="1" applyAlignment="1">
      <alignment vertical="center" wrapText="1"/>
    </xf>
    <xf numFmtId="0" fontId="17" fillId="0" borderId="1" xfId="0" applyFont="1" applyBorder="1" applyAlignment="1">
      <alignment vertical="center"/>
    </xf>
    <xf numFmtId="0" fontId="29" fillId="5" borderId="0" xfId="0" applyFont="1" applyFill="1" applyAlignment="1">
      <alignment horizontal="left" vertical="center"/>
    </xf>
    <xf numFmtId="0" fontId="9" fillId="5" borderId="0" xfId="0" applyFont="1" applyFill="1" applyAlignment="1">
      <alignment vertical="top" wrapText="1"/>
    </xf>
    <xf numFmtId="0" fontId="0" fillId="7" borderId="0" xfId="0" applyFill="1" applyAlignment="1">
      <alignment wrapText="1"/>
    </xf>
    <xf numFmtId="0" fontId="0" fillId="7" borderId="0" xfId="0" applyFill="1" applyAlignment="1">
      <alignment horizontal="left"/>
    </xf>
    <xf numFmtId="0" fontId="30" fillId="7" borderId="0" xfId="0" applyFont="1" applyFill="1" applyAlignment="1">
      <alignment horizontal="left"/>
    </xf>
    <xf numFmtId="0" fontId="0" fillId="8" borderId="0" xfId="0" applyFill="1" applyAlignment="1">
      <alignment horizontal="left"/>
    </xf>
    <xf numFmtId="14" fontId="0" fillId="8" borderId="0" xfId="0" applyNumberFormat="1" applyFill="1" applyAlignment="1">
      <alignment horizontal="left"/>
    </xf>
    <xf numFmtId="0" fontId="18" fillId="5" borderId="0" xfId="0" applyFont="1" applyFill="1" applyAlignment="1">
      <alignment horizontal="left" vertical="center"/>
    </xf>
    <xf numFmtId="0" fontId="18" fillId="0" borderId="0" xfId="0" applyFont="1" applyAlignment="1">
      <alignment horizontal="left" vertical="center"/>
    </xf>
    <xf numFmtId="0" fontId="31" fillId="12" borderId="0" xfId="0" applyFont="1" applyFill="1" applyBorder="1"/>
    <xf numFmtId="0" fontId="31" fillId="9" borderId="0" xfId="0" applyFont="1" applyFill="1" applyBorder="1"/>
    <xf numFmtId="0" fontId="33" fillId="0" borderId="0" xfId="0" applyFont="1" applyBorder="1"/>
    <xf numFmtId="0" fontId="31" fillId="10" borderId="0" xfId="0" applyFont="1" applyFill="1" applyBorder="1"/>
    <xf numFmtId="0" fontId="32" fillId="5" borderId="0" xfId="0" applyFont="1" applyFill="1" applyBorder="1"/>
    <xf numFmtId="0" fontId="18" fillId="16" borderId="0" xfId="0" applyFont="1" applyFill="1" applyAlignment="1">
      <alignment horizontal="right"/>
    </xf>
    <xf numFmtId="0" fontId="27" fillId="16" borderId="0" xfId="0" applyFont="1" applyFill="1" applyAlignment="1">
      <alignment horizontal="right"/>
    </xf>
    <xf numFmtId="0" fontId="18" fillId="16" borderId="0" xfId="0" applyFont="1" applyFill="1"/>
    <xf numFmtId="0" fontId="28" fillId="16" borderId="0" xfId="0" applyFont="1" applyFill="1"/>
    <xf numFmtId="0" fontId="27" fillId="16" borderId="0" xfId="0" applyFont="1" applyFill="1" applyAlignment="1">
      <alignment horizontal="left"/>
    </xf>
    <xf numFmtId="0" fontId="28" fillId="16" borderId="0" xfId="0" applyFont="1" applyFill="1" applyAlignment="1">
      <alignment horizontal="right"/>
    </xf>
    <xf numFmtId="0" fontId="32" fillId="16" borderId="0" xfId="0" applyFont="1" applyFill="1" applyBorder="1"/>
    <xf numFmtId="0" fontId="18" fillId="16" borderId="0" xfId="0" applyFont="1" applyFill="1" applyAlignment="1">
      <alignment horizontal="left" vertical="center"/>
    </xf>
    <xf numFmtId="0" fontId="29" fillId="16" borderId="0" xfId="0" applyFont="1" applyFill="1" applyAlignment="1">
      <alignment horizontal="left" vertical="center"/>
    </xf>
    <xf numFmtId="0" fontId="27" fillId="16" borderId="0" xfId="0" applyFont="1" applyFill="1" applyAlignment="1"/>
    <xf numFmtId="0" fontId="27" fillId="16" borderId="0" xfId="0" applyFont="1" applyFill="1" applyAlignment="1">
      <alignment vertical="center"/>
    </xf>
    <xf numFmtId="0" fontId="31" fillId="17" borderId="0" xfId="0" applyFont="1" applyFill="1" applyBorder="1"/>
    <xf numFmtId="0" fontId="18" fillId="8" borderId="1" xfId="0" applyFont="1" applyFill="1" applyBorder="1" applyAlignment="1">
      <alignment horizontal="right"/>
    </xf>
    <xf numFmtId="0" fontId="18" fillId="8" borderId="1" xfId="0" applyFont="1" applyFill="1" applyBorder="1" applyAlignment="1">
      <alignment horizontal="left" vertical="center"/>
    </xf>
    <xf numFmtId="0" fontId="32" fillId="16" borderId="0" xfId="0" applyFont="1" applyFill="1" applyBorder="1" applyAlignment="1">
      <alignment horizontal="left" vertical="top"/>
    </xf>
    <xf numFmtId="0" fontId="31" fillId="10" borderId="0" xfId="0" applyFont="1" applyFill="1" applyBorder="1" applyAlignment="1">
      <alignment vertical="top"/>
    </xf>
    <xf numFmtId="0" fontId="31" fillId="13" borderId="0" xfId="0" applyFont="1" applyFill="1" applyBorder="1" applyAlignment="1">
      <alignment vertical="top"/>
    </xf>
    <xf numFmtId="0" fontId="31" fillId="18" borderId="0" xfId="0" applyFont="1" applyFill="1" applyBorder="1"/>
    <xf numFmtId="0" fontId="31" fillId="11" borderId="0" xfId="0" applyFont="1" applyFill="1" applyBorder="1"/>
    <xf numFmtId="0" fontId="31" fillId="0" borderId="0" xfId="0" applyFont="1" applyBorder="1"/>
    <xf numFmtId="0" fontId="33" fillId="16" borderId="0" xfId="0" applyFont="1" applyFill="1" applyAlignment="1">
      <alignment horizontal="left" vertical="top"/>
    </xf>
    <xf numFmtId="0" fontId="35" fillId="8" borderId="0" xfId="2" applyFont="1" applyFill="1" applyAlignment="1">
      <alignment horizontal="right"/>
    </xf>
    <xf numFmtId="0" fontId="37" fillId="8" borderId="0" xfId="0" applyFont="1" applyFill="1" applyAlignment="1"/>
    <xf numFmtId="0" fontId="0" fillId="7" borderId="0" xfId="0" applyFill="1" applyAlignment="1">
      <alignment horizontal="left" vertical="center"/>
    </xf>
    <xf numFmtId="0" fontId="36" fillId="7" borderId="0" xfId="0" applyFont="1" applyFill="1" applyAlignment="1">
      <alignment horizontal="left" vertical="center"/>
    </xf>
    <xf numFmtId="0" fontId="19" fillId="8" borderId="0" xfId="0" applyFont="1" applyFill="1" applyAlignment="1">
      <alignment horizontal="left" vertical="center"/>
    </xf>
    <xf numFmtId="0" fontId="39" fillId="16" borderId="0" xfId="0" applyFont="1" applyFill="1" applyAlignment="1">
      <alignment horizontal="right"/>
    </xf>
    <xf numFmtId="0" fontId="39" fillId="5" borderId="0" xfId="0" applyFont="1" applyFill="1" applyAlignment="1">
      <alignment horizontal="right"/>
    </xf>
    <xf numFmtId="14" fontId="27" fillId="5" borderId="0" xfId="0" applyNumberFormat="1" applyFont="1" applyFill="1" applyAlignment="1">
      <alignment horizontal="left"/>
    </xf>
    <xf numFmtId="14" fontId="27" fillId="16" borderId="0" xfId="0" applyNumberFormat="1" applyFont="1" applyFill="1" applyAlignment="1">
      <alignment horizontal="left"/>
    </xf>
    <xf numFmtId="0" fontId="38" fillId="7" borderId="0" xfId="2" applyFont="1" applyFill="1"/>
    <xf numFmtId="0" fontId="38" fillId="5" borderId="0" xfId="2" applyFont="1" applyFill="1"/>
    <xf numFmtId="0" fontId="38" fillId="16" borderId="0" xfId="2" applyFont="1" applyFill="1"/>
    <xf numFmtId="0" fontId="8" fillId="5" borderId="0" xfId="0" applyFont="1" applyFill="1" applyAlignment="1">
      <alignment vertical="top" wrapText="1"/>
    </xf>
    <xf numFmtId="0" fontId="42" fillId="0" borderId="0" xfId="0" applyFont="1" applyAlignment="1">
      <alignment vertical="center" wrapText="1"/>
    </xf>
    <xf numFmtId="0" fontId="34" fillId="5" borderId="0" xfId="2" applyFill="1"/>
    <xf numFmtId="0" fontId="34" fillId="5" borderId="0" xfId="2" applyFill="1" applyAlignment="1">
      <alignment horizontal="right"/>
    </xf>
    <xf numFmtId="0" fontId="43" fillId="5" borderId="0" xfId="2" applyFont="1" applyFill="1"/>
    <xf numFmtId="0" fontId="43" fillId="16" borderId="0" xfId="2" applyFont="1" applyFill="1"/>
    <xf numFmtId="0" fontId="7" fillId="5" borderId="0" xfId="0" applyNumberFormat="1" applyFont="1" applyFill="1" applyAlignment="1">
      <alignment vertical="center" wrapText="1"/>
    </xf>
    <xf numFmtId="0" fontId="7" fillId="0" borderId="0" xfId="0" applyNumberFormat="1" applyFont="1" applyFill="1" applyAlignment="1">
      <alignment vertical="center" wrapText="1"/>
    </xf>
    <xf numFmtId="49" fontId="7" fillId="0" borderId="0" xfId="0" applyNumberFormat="1" applyFont="1" applyFill="1" applyAlignment="1">
      <alignment vertical="center" wrapText="1"/>
    </xf>
    <xf numFmtId="0" fontId="7" fillId="4" borderId="0" xfId="0" applyNumberFormat="1" applyFont="1" applyFill="1" applyAlignment="1">
      <alignment vertical="center" wrapText="1"/>
    </xf>
    <xf numFmtId="0" fontId="7" fillId="0" borderId="1" xfId="0" applyNumberFormat="1" applyFont="1" applyFill="1" applyBorder="1" applyAlignment="1">
      <alignment vertical="center" wrapText="1"/>
    </xf>
    <xf numFmtId="49" fontId="7" fillId="0" borderId="0" xfId="0" quotePrefix="1" applyNumberFormat="1" applyFont="1" applyFill="1" applyAlignment="1">
      <alignment vertical="center" wrapText="1"/>
    </xf>
    <xf numFmtId="0" fontId="7" fillId="0" borderId="1" xfId="0" applyFont="1" applyBorder="1" applyAlignment="1">
      <alignment vertical="center"/>
    </xf>
    <xf numFmtId="0" fontId="7" fillId="0" borderId="0" xfId="0" applyFont="1" applyBorder="1" applyAlignment="1">
      <alignment vertical="center"/>
    </xf>
    <xf numFmtId="0" fontId="7" fillId="0" borderId="0" xfId="0" applyNumberFormat="1" applyFont="1" applyFill="1" applyBorder="1" applyAlignment="1">
      <alignment vertical="center" wrapText="1"/>
    </xf>
    <xf numFmtId="0" fontId="7" fillId="0" borderId="0" xfId="0" applyNumberFormat="1" applyFont="1" applyAlignment="1">
      <alignment vertical="center" wrapText="1"/>
    </xf>
    <xf numFmtId="0" fontId="7" fillId="6" borderId="0" xfId="0" applyNumberFormat="1" applyFont="1" applyFill="1" applyAlignment="1">
      <alignment vertical="center" wrapText="1"/>
    </xf>
    <xf numFmtId="0" fontId="7" fillId="0" borderId="0" xfId="0" applyFont="1" applyAlignment="1">
      <alignment vertical="top"/>
    </xf>
    <xf numFmtId="0" fontId="7" fillId="0" borderId="0" xfId="0" applyFont="1" applyAlignment="1">
      <alignment vertical="center" wrapText="1"/>
    </xf>
    <xf numFmtId="49" fontId="7" fillId="0" borderId="0" xfId="0" applyNumberFormat="1" applyFont="1" applyAlignment="1">
      <alignment wrapText="1"/>
    </xf>
    <xf numFmtId="0" fontId="7" fillId="0" borderId="0" xfId="0" applyFont="1" applyAlignment="1">
      <alignment wrapText="1"/>
    </xf>
    <xf numFmtId="0" fontId="18" fillId="5" borderId="0" xfId="0" applyFont="1" applyFill="1" applyAlignment="1">
      <alignment horizontal="right" vertical="center"/>
    </xf>
    <xf numFmtId="0" fontId="18" fillId="5" borderId="0" xfId="0" applyFont="1" applyFill="1" applyAlignment="1">
      <alignment horizontal="left" vertical="top"/>
    </xf>
    <xf numFmtId="0" fontId="27" fillId="7" borderId="0" xfId="0" applyFont="1" applyFill="1" applyAlignment="1">
      <alignment horizontal="right" vertical="top"/>
    </xf>
    <xf numFmtId="0" fontId="44" fillId="16" borderId="0" xfId="2" quotePrefix="1" applyFont="1" applyFill="1" applyBorder="1"/>
    <xf numFmtId="0" fontId="44" fillId="5" borderId="0" xfId="2" quotePrefix="1" applyFont="1" applyFill="1" applyBorder="1"/>
    <xf numFmtId="0" fontId="45" fillId="7" borderId="0" xfId="2" quotePrefix="1" applyFont="1" applyFill="1" applyBorder="1" applyAlignment="1">
      <alignment horizontal="right" vertical="top"/>
    </xf>
    <xf numFmtId="0" fontId="46" fillId="5" borderId="0" xfId="0" applyFont="1" applyFill="1" applyAlignment="1">
      <alignment horizontal="left"/>
    </xf>
    <xf numFmtId="0" fontId="46" fillId="5" borderId="0" xfId="0" applyFont="1" applyFill="1" applyAlignment="1">
      <alignment horizontal="left" vertical="center"/>
    </xf>
    <xf numFmtId="0" fontId="46" fillId="16" borderId="0" xfId="0" applyFont="1" applyFill="1" applyAlignment="1">
      <alignment horizontal="left"/>
    </xf>
    <xf numFmtId="0" fontId="6" fillId="0" borderId="0" xfId="0" applyFont="1" applyAlignment="1">
      <alignment vertical="center" wrapText="1"/>
    </xf>
    <xf numFmtId="0" fontId="0" fillId="0" borderId="0" xfId="0" applyAlignment="1">
      <alignment vertical="top"/>
    </xf>
    <xf numFmtId="49" fontId="0" fillId="0" borderId="0" xfId="0" applyNumberFormat="1" applyAlignment="1">
      <alignment vertical="top"/>
    </xf>
    <xf numFmtId="0" fontId="0" fillId="0" borderId="0" xfId="0" applyAlignment="1">
      <alignment horizontal="left" vertical="top"/>
    </xf>
    <xf numFmtId="49" fontId="47" fillId="0" borderId="7" xfId="0" applyNumberFormat="1" applyFont="1" applyBorder="1" applyAlignment="1">
      <alignment vertical="top"/>
    </xf>
    <xf numFmtId="0" fontId="47" fillId="0" borderId="8" xfId="0" applyFont="1" applyBorder="1" applyAlignment="1">
      <alignment horizontal="left" vertical="top"/>
    </xf>
    <xf numFmtId="0" fontId="47" fillId="0" borderId="9" xfId="0" applyFont="1" applyBorder="1" applyAlignment="1">
      <alignment vertical="top"/>
    </xf>
    <xf numFmtId="49" fontId="47" fillId="0" borderId="10" xfId="0" applyNumberFormat="1" applyFont="1" applyBorder="1" applyAlignment="1">
      <alignment vertical="top"/>
    </xf>
    <xf numFmtId="14" fontId="47" fillId="0" borderId="11" xfId="0" applyNumberFormat="1" applyFont="1" applyBorder="1" applyAlignment="1">
      <alignment horizontal="left" vertical="top"/>
    </xf>
    <xf numFmtId="0" fontId="47" fillId="0" borderId="12" xfId="0" applyFont="1" applyBorder="1" applyAlignment="1">
      <alignment vertical="top" wrapText="1"/>
    </xf>
    <xf numFmtId="49" fontId="47" fillId="0" borderId="13" xfId="0" applyNumberFormat="1" applyFont="1" applyBorder="1" applyAlignment="1">
      <alignment vertical="top"/>
    </xf>
    <xf numFmtId="14" fontId="47" fillId="0" borderId="14" xfId="0" applyNumberFormat="1" applyFont="1" applyBorder="1" applyAlignment="1">
      <alignment horizontal="left" vertical="top"/>
    </xf>
    <xf numFmtId="0" fontId="47" fillId="0" borderId="15" xfId="0" applyFont="1" applyBorder="1" applyAlignment="1">
      <alignment vertical="top"/>
    </xf>
    <xf numFmtId="0" fontId="5" fillId="0" borderId="0" xfId="0" applyFont="1" applyAlignment="1">
      <alignment vertical="center" wrapText="1"/>
    </xf>
    <xf numFmtId="0" fontId="5" fillId="0" borderId="0" xfId="0" applyNumberFormat="1" applyFont="1" applyFill="1" applyAlignment="1">
      <alignment vertical="center" wrapText="1"/>
    </xf>
    <xf numFmtId="0" fontId="4" fillId="0" borderId="0" xfId="0" applyFont="1" applyAlignment="1">
      <alignment vertical="center" wrapText="1"/>
    </xf>
    <xf numFmtId="0" fontId="3" fillId="0" borderId="0" xfId="0" applyNumberFormat="1" applyFont="1" applyFill="1" applyAlignment="1">
      <alignment vertical="center" wrapText="1"/>
    </xf>
    <xf numFmtId="0" fontId="18" fillId="17" borderId="0" xfId="0" applyNumberFormat="1" applyFont="1" applyFill="1" applyAlignment="1">
      <alignment vertical="top" wrapText="1"/>
    </xf>
    <xf numFmtId="0" fontId="0" fillId="17" borderId="0" xfId="0" applyFill="1"/>
    <xf numFmtId="0" fontId="18" fillId="6" borderId="0" xfId="0" applyNumberFormat="1" applyFont="1" applyFill="1" applyAlignment="1">
      <alignment vertical="top" wrapText="1"/>
    </xf>
    <xf numFmtId="0" fontId="34" fillId="0" borderId="0" xfId="2" applyNumberFormat="1" applyFill="1" applyAlignment="1">
      <alignment vertical="top" wrapText="1"/>
    </xf>
    <xf numFmtId="0" fontId="2" fillId="0" borderId="0" xfId="0" applyNumberFormat="1" applyFont="1" applyFill="1" applyAlignment="1">
      <alignment vertical="center" wrapText="1"/>
    </xf>
    <xf numFmtId="0" fontId="18" fillId="4" borderId="0" xfId="0" applyFont="1" applyFill="1" applyAlignment="1">
      <alignment vertical="top" wrapText="1"/>
    </xf>
  </cellXfs>
  <cellStyles count="3">
    <cellStyle name="Link" xfId="2" builtinId="8"/>
    <cellStyle name="Standard" xfId="0" builtinId="0"/>
    <cellStyle name="Standard 3" xfId="1" xr:uid="{00000000-0005-0000-0000-000002000000}"/>
  </cellStyles>
  <dxfs count="113">
    <dxf>
      <font>
        <b/>
        <i val="0"/>
        <strike val="0"/>
        <condense val="0"/>
        <extend val="0"/>
        <outline val="0"/>
        <shadow val="0"/>
        <u val="none"/>
        <vertAlign val="baseline"/>
        <sz val="11"/>
        <color rgb="FF000000"/>
        <name val="Segoe UI"/>
        <scheme val="none"/>
      </font>
      <fill>
        <patternFill patternType="solid">
          <fgColor rgb="FFC0C0C0"/>
          <bgColor rgb="FFC0C0C0"/>
        </patternFill>
      </fill>
      <alignment horizontal="center" vertical="center" textRotation="0" wrapText="0" indent="0" justifyLastLine="0" shrinkToFit="0" readingOrder="0"/>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ill>
        <patternFill>
          <bgColor theme="3" tint="0.79998168889431442"/>
        </patternFill>
      </fill>
      <border>
        <bottom style="thin">
          <color theme="0"/>
        </bottom>
      </border>
    </dxf>
    <dxf>
      <font>
        <b/>
        <i val="0"/>
      </font>
      <fill>
        <patternFill>
          <bgColor theme="3" tint="0.79998168889431442"/>
        </patternFill>
      </fill>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rgb="FFFFFF99"/>
        </patternFill>
      </fill>
    </dxf>
    <dxf>
      <fill>
        <patternFill>
          <bgColor theme="6" tint="0.59996337778862885"/>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ill>
        <patternFill>
          <bgColor theme="3" tint="0.79998168889431442"/>
        </patternFill>
      </fill>
      <border>
        <bottom style="thin">
          <color theme="0"/>
        </bottom>
      </border>
    </dxf>
    <dxf>
      <font>
        <b/>
        <i val="0"/>
      </font>
      <fill>
        <patternFill>
          <bgColor theme="3" tint="0.79998168889431442"/>
        </patternFill>
      </fill>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6" tint="0.59996337778862885"/>
        </patternFill>
      </fill>
    </dxf>
    <dxf>
      <fill>
        <patternFill>
          <bgColor theme="5" tint="0.39994506668294322"/>
        </patternFill>
      </fill>
    </dxf>
    <dxf>
      <fill>
        <patternFill>
          <bgColor theme="0"/>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dxf>
    <dxf>
      <font>
        <b/>
        <i val="0"/>
      </font>
      <fill>
        <patternFill>
          <bgColor theme="3" tint="0.79998168889431442"/>
        </patternFill>
      </fill>
    </dxf>
    <dxf>
      <fill>
        <patternFill>
          <bgColor theme="3" tint="0.79998168889431442"/>
        </patternFill>
      </fill>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6" tint="0.59996337778862885"/>
        </patternFill>
      </fill>
    </dxf>
    <dxf>
      <fill>
        <patternFill>
          <bgColor theme="5" tint="0.39994506668294322"/>
        </patternFill>
      </fill>
    </dxf>
    <dxf>
      <fill>
        <patternFill>
          <bgColor theme="0"/>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dxf>
    <dxf>
      <font>
        <b/>
        <i val="0"/>
      </font>
      <fill>
        <patternFill>
          <bgColor theme="3" tint="0.79998168889431442"/>
        </patternFill>
      </fill>
    </dxf>
    <dxf>
      <fill>
        <patternFill>
          <bgColor theme="3" tint="0.79998168889431442"/>
        </patternFill>
      </fill>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ill>
        <patternFill>
          <bgColor theme="3" tint="0.79998168889431442"/>
        </patternFill>
      </fill>
      <border>
        <bottom style="thin">
          <color theme="0"/>
        </bottom>
      </border>
    </dxf>
    <dxf>
      <font>
        <b/>
        <i val="0"/>
      </font>
      <fill>
        <patternFill>
          <bgColor theme="3" tint="0.79998168889431442"/>
        </patternFill>
      </fill>
    </dxf>
    <dxf>
      <font>
        <color theme="1"/>
      </font>
      <fill>
        <patternFill>
          <bgColor theme="0"/>
        </patternFill>
      </fill>
    </dxf>
    <dxf>
      <font>
        <color theme="1"/>
      </font>
      <fill>
        <patternFill>
          <bgColor theme="0"/>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5</xdr:col>
      <xdr:colOff>285750</xdr:colOff>
      <xdr:row>10</xdr:row>
      <xdr:rowOff>133350</xdr:rowOff>
    </xdr:from>
    <xdr:to>
      <xdr:col>5</xdr:col>
      <xdr:colOff>2317950</xdr:colOff>
      <xdr:row>11</xdr:row>
      <xdr:rowOff>374850</xdr:rowOff>
    </xdr:to>
    <xdr:sp macro="[0]!Filtern" textlink="">
      <xdr:nvSpPr>
        <xdr:cNvPr id="3" name="Rechteck 2">
          <a:extLst>
            <a:ext uri="{FF2B5EF4-FFF2-40B4-BE49-F238E27FC236}">
              <a16:creationId xmlns:a16="http://schemas.microsoft.com/office/drawing/2014/main" id="{00000000-0008-0000-0000-000003000000}"/>
            </a:ext>
          </a:extLst>
        </xdr:cNvPr>
        <xdr:cNvSpPr/>
      </xdr:nvSpPr>
      <xdr:spPr>
        <a:xfrm>
          <a:off x="9458325" y="2038350"/>
          <a:ext cx="2032200" cy="432000"/>
        </a:xfrm>
        <a:prstGeom prst="rect">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600" b="1"/>
            <a:t>OK</a:t>
          </a:r>
          <a:endParaRPr lang="en-US" sz="3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209550</xdr:colOff>
      <xdr:row>11</xdr:row>
      <xdr:rowOff>38099</xdr:rowOff>
    </xdr:from>
    <xdr:to>
      <xdr:col>0</xdr:col>
      <xdr:colOff>641550</xdr:colOff>
      <xdr:row>11</xdr:row>
      <xdr:rowOff>451048</xdr:rowOff>
    </xdr:to>
    <xdr:sp macro="[0]!Fragen_Und_Regelungen" textlink="">
      <xdr:nvSpPr>
        <xdr:cNvPr id="3" name="Rechteck 2">
          <a:extLst>
            <a:ext uri="{FF2B5EF4-FFF2-40B4-BE49-F238E27FC236}">
              <a16:creationId xmlns:a16="http://schemas.microsoft.com/office/drawing/2014/main" id="{00000000-0008-0000-0100-000003000000}"/>
            </a:ext>
          </a:extLst>
        </xdr:cNvPr>
        <xdr:cNvSpPr/>
      </xdr:nvSpPr>
      <xdr:spPr>
        <a:xfrm>
          <a:off x="209550" y="2895599"/>
          <a:ext cx="432000" cy="412949"/>
        </a:xfrm>
        <a:prstGeom prst="rect">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3200" b="1"/>
            <a:t>+</a:t>
          </a:r>
        </a:p>
      </xdr:txBody>
    </xdr:sp>
    <xdr:clientData/>
  </xdr:twoCellAnchor>
  <xdr:twoCellAnchor>
    <xdr:from>
      <xdr:col>5</xdr:col>
      <xdr:colOff>466725</xdr:colOff>
      <xdr:row>11</xdr:row>
      <xdr:rowOff>28575</xdr:rowOff>
    </xdr:from>
    <xdr:to>
      <xdr:col>5</xdr:col>
      <xdr:colOff>898725</xdr:colOff>
      <xdr:row>11</xdr:row>
      <xdr:rowOff>470099</xdr:rowOff>
    </xdr:to>
    <xdr:sp macro="[0]!nurFragen" textlink="">
      <xdr:nvSpPr>
        <xdr:cNvPr id="9" name="Rechteck 8">
          <a:extLst>
            <a:ext uri="{FF2B5EF4-FFF2-40B4-BE49-F238E27FC236}">
              <a16:creationId xmlns:a16="http://schemas.microsoft.com/office/drawing/2014/main" id="{00000000-0008-0000-0100-000009000000}"/>
            </a:ext>
          </a:extLst>
        </xdr:cNvPr>
        <xdr:cNvSpPr/>
      </xdr:nvSpPr>
      <xdr:spPr>
        <a:xfrm>
          <a:off x="2809875" y="2276475"/>
          <a:ext cx="432000" cy="441524"/>
        </a:xfrm>
        <a:prstGeom prst="rect">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3200" b="1"/>
            <a:t>-</a:t>
          </a:r>
        </a:p>
      </xdr:txBody>
    </xdr:sp>
    <xdr:clientData/>
  </xdr:twoCellAnchor>
  <xdr:oneCellAnchor>
    <xdr:from>
      <xdr:col>5</xdr:col>
      <xdr:colOff>876300</xdr:colOff>
      <xdr:row>11</xdr:row>
      <xdr:rowOff>38100</xdr:rowOff>
    </xdr:from>
    <xdr:ext cx="1364220" cy="468000"/>
    <xdr:sp macro="" textlink="">
      <xdr:nvSpPr>
        <xdr:cNvPr id="10" name="Textfeld 9">
          <a:extLst>
            <a:ext uri="{FF2B5EF4-FFF2-40B4-BE49-F238E27FC236}">
              <a16:creationId xmlns:a16="http://schemas.microsoft.com/office/drawing/2014/main" id="{00000000-0008-0000-0100-00000A000000}"/>
            </a:ext>
          </a:extLst>
        </xdr:cNvPr>
        <xdr:cNvSpPr txBox="1"/>
      </xdr:nvSpPr>
      <xdr:spPr>
        <a:xfrm>
          <a:off x="3219450" y="2286000"/>
          <a:ext cx="1364220" cy="46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Show only questions</a:t>
          </a:r>
        </a:p>
        <a:p>
          <a:r>
            <a:rPr lang="en-US" sz="1100"/>
            <a:t>Nur Fragen anzeigen</a:t>
          </a:r>
        </a:p>
      </xdr:txBody>
    </xdr:sp>
    <xdr:clientData/>
  </xdr:oneCellAnchor>
  <xdr:oneCellAnchor>
    <xdr:from>
      <xdr:col>0</xdr:col>
      <xdr:colOff>647700</xdr:colOff>
      <xdr:row>11</xdr:row>
      <xdr:rowOff>28575</xdr:rowOff>
    </xdr:from>
    <xdr:ext cx="2080634" cy="468000"/>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647700" y="2886075"/>
          <a:ext cx="2080634" cy="46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Show questions and regulations</a:t>
          </a:r>
        </a:p>
        <a:p>
          <a:r>
            <a:rPr lang="en-US" sz="1100"/>
            <a:t>Fragen und Regelungen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209550</xdr:colOff>
      <xdr:row>11</xdr:row>
      <xdr:rowOff>38099</xdr:rowOff>
    </xdr:from>
    <xdr:to>
      <xdr:col>0</xdr:col>
      <xdr:colOff>641550</xdr:colOff>
      <xdr:row>11</xdr:row>
      <xdr:rowOff>451048</xdr:rowOff>
    </xdr:to>
    <xdr:sp macro="[0]!Fragen_Und_Regelungen" textlink="">
      <xdr:nvSpPr>
        <xdr:cNvPr id="2" name="Rechteck 1">
          <a:extLst>
            <a:ext uri="{FF2B5EF4-FFF2-40B4-BE49-F238E27FC236}">
              <a16:creationId xmlns:a16="http://schemas.microsoft.com/office/drawing/2014/main" id="{00000000-0008-0000-0200-000002000000}"/>
            </a:ext>
          </a:extLst>
        </xdr:cNvPr>
        <xdr:cNvSpPr/>
      </xdr:nvSpPr>
      <xdr:spPr>
        <a:xfrm>
          <a:off x="209550" y="2371724"/>
          <a:ext cx="432000" cy="412949"/>
        </a:xfrm>
        <a:prstGeom prst="rect">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3200" b="1"/>
            <a:t>+</a:t>
          </a:r>
        </a:p>
      </xdr:txBody>
    </xdr:sp>
    <xdr:clientData/>
  </xdr:twoCellAnchor>
  <xdr:twoCellAnchor>
    <xdr:from>
      <xdr:col>5</xdr:col>
      <xdr:colOff>590550</xdr:colOff>
      <xdr:row>11</xdr:row>
      <xdr:rowOff>19050</xdr:rowOff>
    </xdr:from>
    <xdr:to>
      <xdr:col>5</xdr:col>
      <xdr:colOff>1022550</xdr:colOff>
      <xdr:row>11</xdr:row>
      <xdr:rowOff>460574</xdr:rowOff>
    </xdr:to>
    <xdr:sp macro="[0]!nurFragen" textlink="">
      <xdr:nvSpPr>
        <xdr:cNvPr id="3" name="Rechteck 2">
          <a:extLst>
            <a:ext uri="{FF2B5EF4-FFF2-40B4-BE49-F238E27FC236}">
              <a16:creationId xmlns:a16="http://schemas.microsoft.com/office/drawing/2014/main" id="{00000000-0008-0000-0200-000003000000}"/>
            </a:ext>
          </a:extLst>
        </xdr:cNvPr>
        <xdr:cNvSpPr/>
      </xdr:nvSpPr>
      <xdr:spPr>
        <a:xfrm>
          <a:off x="2924175" y="2552700"/>
          <a:ext cx="432000" cy="441524"/>
        </a:xfrm>
        <a:prstGeom prst="rect">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3200" b="1"/>
            <a:t>-</a:t>
          </a:r>
        </a:p>
      </xdr:txBody>
    </xdr:sp>
    <xdr:clientData/>
  </xdr:twoCellAnchor>
  <xdr:oneCellAnchor>
    <xdr:from>
      <xdr:col>5</xdr:col>
      <xdr:colOff>1000125</xdr:colOff>
      <xdr:row>11</xdr:row>
      <xdr:rowOff>28575</xdr:rowOff>
    </xdr:from>
    <xdr:ext cx="1364220" cy="468000"/>
    <xdr:sp macro="" textlink="">
      <xdr:nvSpPr>
        <xdr:cNvPr id="4" name="Textfeld 3">
          <a:extLst>
            <a:ext uri="{FF2B5EF4-FFF2-40B4-BE49-F238E27FC236}">
              <a16:creationId xmlns:a16="http://schemas.microsoft.com/office/drawing/2014/main" id="{00000000-0008-0000-0200-000004000000}"/>
            </a:ext>
          </a:extLst>
        </xdr:cNvPr>
        <xdr:cNvSpPr txBox="1"/>
      </xdr:nvSpPr>
      <xdr:spPr>
        <a:xfrm>
          <a:off x="3333750" y="2562225"/>
          <a:ext cx="1364220" cy="46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Show only questions</a:t>
          </a:r>
        </a:p>
        <a:p>
          <a:r>
            <a:rPr lang="en-US" sz="1100"/>
            <a:t>Nur Fragen anzeigen</a:t>
          </a:r>
        </a:p>
      </xdr:txBody>
    </xdr:sp>
    <xdr:clientData/>
  </xdr:oneCellAnchor>
  <xdr:oneCellAnchor>
    <xdr:from>
      <xdr:col>0</xdr:col>
      <xdr:colOff>647700</xdr:colOff>
      <xdr:row>11</xdr:row>
      <xdr:rowOff>28575</xdr:rowOff>
    </xdr:from>
    <xdr:ext cx="2080634" cy="468000"/>
    <xdr:sp macro="" textlink="">
      <xdr:nvSpPr>
        <xdr:cNvPr id="5" name="Textfeld 4">
          <a:extLst>
            <a:ext uri="{FF2B5EF4-FFF2-40B4-BE49-F238E27FC236}">
              <a16:creationId xmlns:a16="http://schemas.microsoft.com/office/drawing/2014/main" id="{00000000-0008-0000-0200-000005000000}"/>
            </a:ext>
          </a:extLst>
        </xdr:cNvPr>
        <xdr:cNvSpPr txBox="1"/>
      </xdr:nvSpPr>
      <xdr:spPr>
        <a:xfrm>
          <a:off x="647700" y="2362200"/>
          <a:ext cx="2080634" cy="46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Show questions and regulations</a:t>
          </a:r>
        </a:p>
        <a:p>
          <a:r>
            <a:rPr lang="en-US" sz="1100"/>
            <a:t>Fragen und Regelungen anzeigen</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SecurityClasses" displayName="SecurityClasses" ref="X1:X4" totalsRowShown="0" headerRowDxfId="0">
  <autoFilter ref="X1:X4" xr:uid="{00000000-0009-0000-0100-000007000000}"/>
  <tableColumns count="1">
    <tableColumn id="1" xr3:uid="{00000000-0010-0000-0000-000001000000}" name="SC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yesno" displayName="yesno" ref="Z1:AA3" totalsRowShown="0">
  <autoFilter ref="Z1:AA3" xr:uid="{00000000-0009-0000-0100-000008000000}"/>
  <tableColumns count="2">
    <tableColumn id="1" xr3:uid="{00000000-0010-0000-0100-000001000000}" name="Spalte1"/>
    <tableColumn id="2" xr3:uid="{00000000-0010-0000-0100-000002000000}" name="Language"/>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inside-docupedia.bosch.com/confluence/pages/viewpage.action?pageId=1583209483" TargetMode="External"/><Relationship Id="rId2" Type="http://schemas.openxmlformats.org/officeDocument/2006/relationships/hyperlink" Target="https://inside-docupedia.bosch.com/confluence/pages/viewpage.action?pageId=1309785977" TargetMode="External"/><Relationship Id="rId1" Type="http://schemas.openxmlformats.org/officeDocument/2006/relationships/hyperlink" Target="https://inside-docupedia.bosch.com/confluence/x/plftQg"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inside-docupedia.bosch.com/confluence/x/plftQg" TargetMode="External"/><Relationship Id="rId1" Type="http://schemas.openxmlformats.org/officeDocument/2006/relationships/hyperlink" Target="https://inside-docupedia.bosch.com/confluence/x/plftQg"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inside-docupedia.bosch.com/confluence/x/plftQg" TargetMode="External"/><Relationship Id="rId1" Type="http://schemas.openxmlformats.org/officeDocument/2006/relationships/hyperlink" Target="https://inside-docupedia.bosch.com/confluence/x/plftQg"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tabColor theme="3" tint="0.79998168889431442"/>
    <pageSetUpPr fitToPage="1"/>
  </sheetPr>
  <dimension ref="A1:Q79"/>
  <sheetViews>
    <sheetView topLeftCell="A7" zoomScaleNormal="100" workbookViewId="0">
      <selection activeCell="C7" sqref="C7"/>
    </sheetView>
  </sheetViews>
  <sheetFormatPr baseColWidth="10" defaultColWidth="11.42578125" defaultRowHeight="15" x14ac:dyDescent="0.25"/>
  <cols>
    <col min="1" max="1" width="68.7109375" customWidth="1"/>
    <col min="2" max="2" width="2.28515625" customWidth="1"/>
    <col min="3" max="3" width="12.42578125" customWidth="1"/>
    <col min="4" max="4" width="10.5703125" customWidth="1"/>
    <col min="5" max="5" width="43.5703125" style="8" customWidth="1"/>
    <col min="6" max="6" width="34.7109375" style="8" customWidth="1"/>
    <col min="7" max="7" width="3" style="8" customWidth="1"/>
    <col min="8" max="8" width="18.28515625" style="8" customWidth="1"/>
    <col min="9" max="17" width="62.5703125" style="8" customWidth="1"/>
  </cols>
  <sheetData>
    <row r="1" spans="1:7" ht="21" x14ac:dyDescent="0.35">
      <c r="A1" s="79" t="s">
        <v>873</v>
      </c>
      <c r="B1" s="5"/>
      <c r="C1" s="5"/>
      <c r="D1" s="5"/>
      <c r="E1" s="5"/>
      <c r="F1" s="5"/>
      <c r="G1" s="5"/>
    </row>
    <row r="2" spans="1:7" x14ac:dyDescent="0.25">
      <c r="A2" s="6" t="s">
        <v>320</v>
      </c>
      <c r="B2" s="5"/>
      <c r="C2" s="8" t="s">
        <v>322</v>
      </c>
      <c r="D2" s="5"/>
      <c r="E2" s="5" t="str">
        <f>IF($C$2="Deutsch","Organisationseinheit:","Organizational office:")</f>
        <v>Organisationseinheit:</v>
      </c>
      <c r="F2" s="40" t="s">
        <v>1791</v>
      </c>
      <c r="G2" s="5"/>
    </row>
    <row r="3" spans="1:7" x14ac:dyDescent="0.25">
      <c r="A3" s="5"/>
      <c r="B3" s="5"/>
      <c r="C3" s="5"/>
      <c r="D3" s="5"/>
      <c r="E3" s="5"/>
      <c r="F3" s="38"/>
      <c r="G3" s="5"/>
    </row>
    <row r="4" spans="1:7" x14ac:dyDescent="0.25">
      <c r="A4" s="6" t="str">
        <f>IF($C$2="Deutsch","Für welche Art von System sind Sie Verantwortlich?","Which kind of system are you responsible for?")</f>
        <v>Für welche Art von System sind Sie Verantwortlich?</v>
      </c>
      <c r="B4" s="6"/>
      <c r="C4" s="8" t="s">
        <v>6</v>
      </c>
      <c r="D4" s="5"/>
      <c r="E4" s="37" t="str">
        <f>IF($C$2="Deutsch","Name/Referenz des IT-Systems:","Name/reference of the system:")</f>
        <v>Name/Referenz des IT-Systems:</v>
      </c>
      <c r="F4" s="40" t="s">
        <v>1795</v>
      </c>
      <c r="G4" s="5"/>
    </row>
    <row r="5" spans="1:7" x14ac:dyDescent="0.25">
      <c r="A5" s="6" t="str">
        <f>IF(C2="Deutsch",IF(C4="Application","Handelt es sich um eine kaufmännische IT Anwendung?",""),IF(C4="Application","Is it a commercial IT application?",""))</f>
        <v>Handelt es sich um eine kaufmännische IT Anwendung?</v>
      </c>
      <c r="B5" s="6"/>
      <c r="C5" s="21" t="s">
        <v>318</v>
      </c>
      <c r="D5" s="5"/>
      <c r="E5" s="39" t="s">
        <v>670</v>
      </c>
      <c r="F5" s="38"/>
      <c r="G5" s="5"/>
    </row>
    <row r="6" spans="1:7" x14ac:dyDescent="0.25">
      <c r="A6" s="6" t="str">
        <f>IF(C2="Deutsch",IF(OR(C4="Application",C4="Webserver"),"Bis zu welcher Art von Daten wird das System genutzt?",""),IF(OR(C4="Application",C4="Webserver"),"Up to which data is your system suited for?",""))</f>
        <v>Bis zu welcher Art von Daten wird das System genutzt?</v>
      </c>
      <c r="B6" s="6"/>
      <c r="C6" s="21" t="s">
        <v>4</v>
      </c>
      <c r="D6" s="5"/>
      <c r="E6" s="5" t="str">
        <f>IF($C$2="Deutsch","Verantwortliche Führungskraft:","Responsible manager:")</f>
        <v>Verantwortliche Führungskraft:</v>
      </c>
      <c r="F6" s="40" t="s">
        <v>1792</v>
      </c>
      <c r="G6" s="5"/>
    </row>
    <row r="7" spans="1:7" x14ac:dyDescent="0.25">
      <c r="A7" s="7" t="str">
        <f>IF(C2="Deutsch","Verwendet Ihr System Bosch SSO (Active Directory/IdM)?","Is the system using Bosch Single Sign On (Active Directory/IdM)?")</f>
        <v>Verwendet Ihr System Bosch SSO (Active Directory/IdM)?</v>
      </c>
      <c r="B7" s="7"/>
      <c r="C7" s="8" t="s">
        <v>318</v>
      </c>
      <c r="D7" s="5"/>
      <c r="E7" s="5"/>
      <c r="F7" s="38"/>
      <c r="G7" s="5"/>
    </row>
    <row r="8" spans="1:7" x14ac:dyDescent="0.25">
      <c r="A8" s="6" t="str">
        <f>IF(C2="Deutsch","Wird das System in einer externen Cloud betrieben (z.B. MS Azure, AWS)","Is the system hosted in an external Cloud (e.g. MS Azure, AWS)?")</f>
        <v>Wird das System in einer externen Cloud betrieben (z.B. MS Azure, AWS)</v>
      </c>
      <c r="B8" s="6"/>
      <c r="C8" s="8" t="s">
        <v>318</v>
      </c>
      <c r="D8" s="5"/>
      <c r="E8" s="5" t="str">
        <f>IF($C$2="Deutsch","Datum:","Date:")</f>
        <v>Datum:</v>
      </c>
      <c r="F8" s="41">
        <v>44909</v>
      </c>
      <c r="G8" s="5"/>
    </row>
    <row r="9" spans="1:7" x14ac:dyDescent="0.25">
      <c r="A9" s="5"/>
      <c r="B9" s="5"/>
      <c r="C9" s="5"/>
      <c r="D9" s="5"/>
      <c r="E9" s="5"/>
      <c r="F9" s="38"/>
      <c r="G9" s="5"/>
    </row>
    <row r="10" spans="1:7" x14ac:dyDescent="0.25">
      <c r="A10" s="105" t="str">
        <f>IF(Scoping!$C$2="Deutsch",IF(OR(Scoping!$C$8="Yes",Scoping!$C$4="Network"),"Ausfüllhinweise / Templates",""),IF(OR(Scoping!$C$8="Yes",Scoping!$C$4="Network"),"Fill in intructions/Templates",""))</f>
        <v/>
      </c>
      <c r="B10" s="5"/>
      <c r="C10" s="5"/>
      <c r="D10" s="5"/>
      <c r="E10" s="5" t="str">
        <f>IF($C$2="Deutsch","Prüfung durchgeführt von (Name):","Check done by (name):")</f>
        <v>Prüfung durchgeführt von (Name):</v>
      </c>
      <c r="F10" s="40" t="s">
        <v>1793</v>
      </c>
      <c r="G10" s="5"/>
    </row>
    <row r="11" spans="1:7" x14ac:dyDescent="0.25">
      <c r="A11" s="108" t="str">
        <f>IF(Scoping!$C$2="Deutsch",IF(OR(Scoping!$C$8="Yes"),"Cloud (für MS Azzure und AWS)",""),IF(OR(Scoping!$C$8="Yes"),"Cloud (for MS Azzure und AWS)",""))</f>
        <v/>
      </c>
      <c r="B11" s="5"/>
      <c r="C11" s="5"/>
      <c r="D11" s="5"/>
      <c r="E11" s="5"/>
      <c r="F11" s="5"/>
      <c r="G11" s="5"/>
    </row>
    <row r="12" spans="1:7" ht="37.5" customHeight="1" x14ac:dyDescent="0.25">
      <c r="A12" s="108" t="str">
        <f>IF(Scoping!$C$2="Deutsch",IF(OR(Scoping!$C$4="Network"),"Netzwerk",""),IF(OR(Scoping!$C$4="Network"),"Network",""))</f>
        <v/>
      </c>
      <c r="B12" s="5"/>
      <c r="C12" s="5"/>
      <c r="D12" s="73" t="s">
        <v>869</v>
      </c>
      <c r="E12" s="72"/>
      <c r="F12" s="5"/>
      <c r="G12" s="5"/>
    </row>
    <row r="13" spans="1:7" s="8" customFormat="1" x14ac:dyDescent="0.25"/>
    <row r="14" spans="1:7" s="8" customFormat="1" ht="23.25" x14ac:dyDescent="0.25">
      <c r="A14" s="74" t="str">
        <f>IF($C$2="Deutsch","Anleitung: Bitte füllen Sie alle Felder in diesem Formular aus, drücken Sie auf OK und bewerten Sie anschließend die aufgelisteten Fragen. ","Please fill in all fields in this form, click OK and rate then the listed questions.")</f>
        <v xml:space="preserve">Anleitung: Bitte füllen Sie alle Felder in diesem Formular aus, drücken Sie auf OK und bewerten Sie anschließend die aufgelisteten Fragen. </v>
      </c>
    </row>
    <row r="15" spans="1:7" s="8" customFormat="1" x14ac:dyDescent="0.25"/>
    <row r="16" spans="1:7" s="8" customFormat="1" ht="23.25" x14ac:dyDescent="0.35">
      <c r="A16" s="17"/>
      <c r="E16" s="71"/>
      <c r="F16" s="70"/>
    </row>
    <row r="17" spans="1:1" s="8" customFormat="1" x14ac:dyDescent="0.25"/>
    <row r="18" spans="1:1" s="8" customFormat="1" x14ac:dyDescent="0.25"/>
    <row r="19" spans="1:1" s="8" customFormat="1" x14ac:dyDescent="0.25"/>
    <row r="20" spans="1:1" s="8" customFormat="1" x14ac:dyDescent="0.25"/>
    <row r="21" spans="1:1" s="8" customFormat="1" x14ac:dyDescent="0.25">
      <c r="A21" s="8" t="s">
        <v>874</v>
      </c>
    </row>
    <row r="22" spans="1:1" s="8" customFormat="1" x14ac:dyDescent="0.25"/>
    <row r="23" spans="1:1" s="8" customFormat="1" x14ac:dyDescent="0.25"/>
    <row r="24" spans="1:1" s="8" customFormat="1" x14ac:dyDescent="0.25"/>
    <row r="25" spans="1:1" s="8" customFormat="1" x14ac:dyDescent="0.25"/>
    <row r="26" spans="1:1" s="8" customFormat="1" x14ac:dyDescent="0.25"/>
    <row r="27" spans="1:1" s="8" customFormat="1" x14ac:dyDescent="0.25"/>
    <row r="28" spans="1:1" s="8" customFormat="1" x14ac:dyDescent="0.25"/>
    <row r="29" spans="1:1" s="8" customFormat="1" x14ac:dyDescent="0.25"/>
    <row r="30" spans="1:1" s="8" customFormat="1" x14ac:dyDescent="0.25"/>
    <row r="31" spans="1:1" s="8" customFormat="1" x14ac:dyDescent="0.25"/>
    <row r="32" spans="1:1" s="8" customFormat="1" x14ac:dyDescent="0.25"/>
    <row r="33" s="8" customFormat="1" x14ac:dyDescent="0.25"/>
    <row r="34" s="8" customFormat="1" x14ac:dyDescent="0.25"/>
    <row r="35" s="8" customFormat="1" x14ac:dyDescent="0.25"/>
    <row r="36" s="8" customFormat="1" x14ac:dyDescent="0.25"/>
    <row r="37" s="8" customFormat="1" x14ac:dyDescent="0.25"/>
    <row r="38" s="8" customFormat="1" x14ac:dyDescent="0.25"/>
    <row r="39" s="8" customFormat="1" x14ac:dyDescent="0.25"/>
    <row r="40" s="8" customFormat="1" x14ac:dyDescent="0.25"/>
    <row r="41" s="8" customFormat="1" x14ac:dyDescent="0.25"/>
    <row r="42" s="8" customFormat="1" x14ac:dyDescent="0.25"/>
    <row r="43" s="8" customFormat="1" x14ac:dyDescent="0.25"/>
    <row r="44" s="8" customFormat="1" x14ac:dyDescent="0.25"/>
    <row r="45" s="8" customFormat="1" x14ac:dyDescent="0.25"/>
    <row r="46" s="8" customFormat="1" x14ac:dyDescent="0.25"/>
    <row r="47" s="8" customFormat="1" x14ac:dyDescent="0.25"/>
    <row r="48" s="8" customFormat="1" x14ac:dyDescent="0.25"/>
    <row r="49" s="8" customFormat="1" x14ac:dyDescent="0.25"/>
    <row r="50" s="8" customFormat="1" x14ac:dyDescent="0.25"/>
    <row r="51" s="8" customFormat="1" x14ac:dyDescent="0.25"/>
    <row r="52" s="8" customFormat="1" x14ac:dyDescent="0.25"/>
    <row r="53" s="8" customFormat="1" x14ac:dyDescent="0.25"/>
    <row r="54" s="8" customFormat="1" x14ac:dyDescent="0.25"/>
    <row r="55" s="8" customFormat="1" x14ac:dyDescent="0.25"/>
    <row r="56" s="8" customFormat="1" x14ac:dyDescent="0.25"/>
    <row r="57" s="8" customFormat="1" x14ac:dyDescent="0.25"/>
    <row r="58" s="8" customFormat="1" x14ac:dyDescent="0.25"/>
    <row r="59" s="8" customFormat="1" x14ac:dyDescent="0.25"/>
    <row r="60" s="8" customFormat="1" x14ac:dyDescent="0.25"/>
    <row r="61" s="8" customFormat="1" x14ac:dyDescent="0.25"/>
    <row r="62" s="8" customFormat="1" x14ac:dyDescent="0.25"/>
    <row r="63" s="8" customFormat="1" x14ac:dyDescent="0.25"/>
    <row r="64" s="8" customFormat="1" x14ac:dyDescent="0.25"/>
    <row r="65" s="8" customFormat="1" x14ac:dyDescent="0.25"/>
    <row r="66" s="8" customFormat="1" x14ac:dyDescent="0.25"/>
    <row r="67" s="8" customFormat="1" x14ac:dyDescent="0.25"/>
    <row r="68" s="8" customFormat="1" x14ac:dyDescent="0.25"/>
    <row r="69" s="8" customFormat="1" x14ac:dyDescent="0.25"/>
    <row r="70" s="8" customFormat="1" x14ac:dyDescent="0.25"/>
    <row r="71" s="8" customFormat="1" x14ac:dyDescent="0.25"/>
    <row r="72" s="8" customFormat="1" x14ac:dyDescent="0.25"/>
    <row r="73" s="8" customFormat="1" x14ac:dyDescent="0.25"/>
    <row r="74" s="8" customFormat="1" x14ac:dyDescent="0.25"/>
    <row r="75" s="8" customFormat="1" x14ac:dyDescent="0.25"/>
    <row r="76" s="8" customFormat="1" x14ac:dyDescent="0.25"/>
    <row r="77" s="8" customFormat="1" x14ac:dyDescent="0.25"/>
    <row r="78" s="8" customFormat="1" x14ac:dyDescent="0.25"/>
    <row r="79" s="8" customFormat="1" x14ac:dyDescent="0.25"/>
  </sheetData>
  <conditionalFormatting sqref="C6">
    <cfRule type="expression" dxfId="112" priority="6">
      <formula>OR($C$4="Application",$C$4="Webserver")</formula>
    </cfRule>
  </conditionalFormatting>
  <conditionalFormatting sqref="C5">
    <cfRule type="expression" dxfId="111" priority="3">
      <formula>($C$4="Application")</formula>
    </cfRule>
  </conditionalFormatting>
  <conditionalFormatting sqref="A10">
    <cfRule type="expression" dxfId="110" priority="2">
      <formula>IF($E10="q",1,0)</formula>
    </cfRule>
  </conditionalFormatting>
  <conditionalFormatting sqref="A10">
    <cfRule type="expression" dxfId="109" priority="1">
      <formula>IF($E10="q",1,0)</formula>
    </cfRule>
  </conditionalFormatting>
  <hyperlinks>
    <hyperlink ref="A1" r:id="rId1" display="Scoping (click here for further information an FAQ)" xr:uid="{00000000-0004-0000-0000-000000000000}"/>
    <hyperlink ref="A11" r:id="rId2" display="https://inside-docupedia.bosch.com/confluence/pages/viewpage.action?pageId=1309785977" xr:uid="{00000000-0004-0000-0000-000001000000}"/>
    <hyperlink ref="A12" r:id="rId3" display="https://inside-docupedia.bosch.com/confluence/pages/viewpage.action?pageId=1583209483" xr:uid="{00000000-0004-0000-0000-000002000000}"/>
  </hyperlinks>
  <pageMargins left="0.7" right="0.7" top="0.78740157499999996" bottom="0.78740157499999996" header="0.3" footer="0.3"/>
  <pageSetup paperSize="9" scale="74" fitToHeight="0" orientation="landscape" r:id="rId4"/>
  <drawing r:id="rId5"/>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Filter!$W$1:$W$4</xm:f>
          </x14:formula1>
          <xm:sqref>C4</xm:sqref>
        </x14:dataValidation>
        <x14:dataValidation type="list" allowBlank="1" showInputMessage="1" showErrorMessage="1" xr:uid="{00000000-0002-0000-0000-000001000000}">
          <x14:formula1>
            <xm:f>Filter!$X$1:$X$4</xm:f>
          </x14:formula1>
          <xm:sqref>C6</xm:sqref>
        </x14:dataValidation>
        <x14:dataValidation type="list" allowBlank="1" showInputMessage="1" showErrorMessage="1" xr:uid="{00000000-0002-0000-0000-000002000000}">
          <x14:formula1>
            <xm:f>Filter!$Z$2:$Z$3</xm:f>
          </x14:formula1>
          <xm:sqref>C7:C8 C5</xm:sqref>
        </x14:dataValidation>
        <x14:dataValidation type="list" allowBlank="1" showInputMessage="1" showErrorMessage="1" xr:uid="{00000000-0002-0000-0000-000003000000}">
          <x14:formula1>
            <xm:f>Filter!$AA$2:$AA$3</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9" filterMode="1">
    <tabColor theme="6"/>
    <pageSetUpPr fitToPage="1"/>
  </sheetPr>
  <dimension ref="A1:AE1048499"/>
  <sheetViews>
    <sheetView tabSelected="1" topLeftCell="A2" zoomScaleNormal="100" workbookViewId="0">
      <selection activeCell="I144" sqref="I144"/>
    </sheetView>
  </sheetViews>
  <sheetFormatPr baseColWidth="10" defaultColWidth="11.42578125" defaultRowHeight="14.25" x14ac:dyDescent="0.2"/>
  <cols>
    <col min="1" max="1" width="16.28515625" style="26" customWidth="1"/>
    <col min="2" max="2" width="8.5703125" style="26" customWidth="1"/>
    <col min="3" max="3" width="0.42578125" style="26" customWidth="1"/>
    <col min="4" max="4" width="9.28515625" style="26" customWidth="1"/>
    <col min="5" max="5" width="0.42578125" style="29" customWidth="1"/>
    <col min="6" max="6" width="108.5703125" style="26" customWidth="1"/>
    <col min="7" max="7" width="17.5703125" style="26" customWidth="1"/>
    <col min="8" max="8" width="14.42578125" style="26" customWidth="1"/>
    <col min="9" max="9" width="45.42578125" style="26" customWidth="1"/>
    <col min="10" max="10" width="39.42578125" style="26" customWidth="1"/>
    <col min="11" max="29" width="11.42578125" style="26"/>
    <col min="30" max="31" width="13.7109375" style="26" customWidth="1"/>
    <col min="32" max="16384" width="11.42578125" style="26"/>
  </cols>
  <sheetData>
    <row r="1" spans="1:31" ht="20.25" customHeight="1" x14ac:dyDescent="0.35">
      <c r="A1" s="80" t="s">
        <v>1451</v>
      </c>
      <c r="B1" s="85"/>
      <c r="C1" s="84"/>
      <c r="D1" s="84"/>
      <c r="E1" s="84"/>
      <c r="F1" s="86" t="s">
        <v>1452</v>
      </c>
      <c r="G1" s="80"/>
      <c r="H1" s="30"/>
      <c r="I1" s="30"/>
      <c r="J1" s="30"/>
      <c r="K1" s="30"/>
    </row>
    <row r="2" spans="1:31" ht="24.75" customHeight="1" x14ac:dyDescent="0.25">
      <c r="A2" s="22" t="s">
        <v>615</v>
      </c>
      <c r="B2" s="30" t="str">
        <f>Scoping!$C$4</f>
        <v>Application</v>
      </c>
      <c r="C2" s="24"/>
      <c r="D2" s="24"/>
      <c r="E2" s="25"/>
      <c r="F2" s="22" t="str">
        <f>Scoping!$E$2</f>
        <v>Organisationseinheit:</v>
      </c>
      <c r="G2" s="30" t="str">
        <f>Scoping!$F$2</f>
        <v>LoP2/TEF7</v>
      </c>
      <c r="H2" s="30" t="s">
        <v>654</v>
      </c>
      <c r="I2" s="30"/>
      <c r="J2" s="30"/>
      <c r="K2" s="48"/>
    </row>
    <row r="3" spans="1:31" ht="14.25" customHeight="1" x14ac:dyDescent="0.25">
      <c r="A3" s="22" t="str">
        <f>IF(Scoping!$C$4="Application","Commercial?","")</f>
        <v>Commercial?</v>
      </c>
      <c r="B3" s="30" t="str">
        <f>IF(A3&lt;&gt;"",Scoping!$C$5,"")</f>
        <v>No</v>
      </c>
      <c r="C3" s="22"/>
      <c r="D3" s="22"/>
      <c r="E3" s="27"/>
      <c r="F3" s="22" t="str">
        <f>Scoping!$E$4</f>
        <v>Name/Referenz des IT-Systems:</v>
      </c>
      <c r="G3" s="30" t="str">
        <f>Scoping!$F$4</f>
        <v>LoP2 PORTAINER NodeRED</v>
      </c>
      <c r="H3" s="44">
        <f>SUM($AB14:$AB501)</f>
        <v>13</v>
      </c>
      <c r="I3" s="48" t="s">
        <v>616</v>
      </c>
      <c r="J3" s="107"/>
      <c r="K3" s="48"/>
    </row>
    <row r="4" spans="1:31" ht="15.75" x14ac:dyDescent="0.25">
      <c r="A4" s="22" t="str">
        <f>IF(OR(Scoping!$C$4="Application",Scoping!$C$4="Webserver"),"SC?","")</f>
        <v>SC?</v>
      </c>
      <c r="B4" s="30" t="str">
        <f>IF(A4&lt;&gt;"",Scoping!$C$6,"")</f>
        <v>SC2</v>
      </c>
      <c r="C4" s="22"/>
      <c r="D4" s="22"/>
      <c r="E4" s="27"/>
      <c r="F4" s="22" t="str">
        <f>Scoping!$E$6</f>
        <v>Verantwortliche Führungskraft:</v>
      </c>
      <c r="G4" s="30" t="str">
        <f>Scoping!$F$6</f>
        <v>KUEBLER Simon</v>
      </c>
      <c r="H4" s="45">
        <f>SUM($AC14:$AC501)</f>
        <v>10</v>
      </c>
      <c r="I4" s="48" t="s">
        <v>617</v>
      </c>
      <c r="J4" s="107"/>
      <c r="K4" s="48"/>
    </row>
    <row r="5" spans="1:31" ht="15.75" x14ac:dyDescent="0.25">
      <c r="A5" s="22"/>
      <c r="B5" s="23"/>
      <c r="C5" s="22"/>
      <c r="D5" s="22"/>
      <c r="E5" s="27"/>
      <c r="F5" s="22" t="str">
        <f>Scoping!$E$8</f>
        <v>Datum:</v>
      </c>
      <c r="G5" s="77">
        <v>44851</v>
      </c>
      <c r="H5" s="46">
        <f>SUM($AE14:$AE501)</f>
        <v>3</v>
      </c>
      <c r="I5" s="48" t="s">
        <v>619</v>
      </c>
      <c r="J5" s="48"/>
      <c r="K5" s="48"/>
    </row>
    <row r="6" spans="1:31" ht="15.75" x14ac:dyDescent="0.25">
      <c r="A6" s="22" t="s">
        <v>613</v>
      </c>
      <c r="B6" s="30" t="str">
        <f>Scoping!$C$7</f>
        <v>No</v>
      </c>
      <c r="C6" s="22"/>
      <c r="D6" s="22"/>
      <c r="E6" s="27"/>
      <c r="F6" s="22" t="str">
        <f>Scoping!$E$10</f>
        <v>Prüfung durchgeführt von (Name):</v>
      </c>
      <c r="G6" s="30" t="s">
        <v>1794</v>
      </c>
      <c r="H6" s="47">
        <f>SUM($AD14:$AD501)</f>
        <v>0</v>
      </c>
      <c r="I6" s="48" t="s">
        <v>618</v>
      </c>
      <c r="J6" s="48"/>
      <c r="K6" s="22"/>
    </row>
    <row r="7" spans="1:31" ht="14.25" customHeight="1" x14ac:dyDescent="0.25">
      <c r="A7" s="22"/>
      <c r="B7" s="30"/>
      <c r="C7" s="22"/>
      <c r="D7" s="22"/>
      <c r="E7" s="27"/>
      <c r="F7" s="22"/>
      <c r="G7" s="30"/>
      <c r="H7" s="22"/>
      <c r="I7" s="22"/>
      <c r="J7" s="22"/>
      <c r="K7" s="22"/>
    </row>
    <row r="8" spans="1:31" ht="15" customHeight="1" x14ac:dyDescent="0.25">
      <c r="A8" s="22" t="s">
        <v>614</v>
      </c>
      <c r="B8" s="30" t="str">
        <f>Scoping!$C$8</f>
        <v>No</v>
      </c>
      <c r="C8" s="22"/>
      <c r="D8" s="22"/>
      <c r="E8" s="27"/>
      <c r="F8" s="22" t="str">
        <f>IF(Scoping!C2="Deutsch",Filter!AF1,Filter!AF9)</f>
        <v>Relevante Regelungen:</v>
      </c>
      <c r="G8" s="109" t="str">
        <f>IF(Scoping!C2="Deutsch",Filter!AF2,Filter!AF10)</f>
        <v>C/ISP CD 02900-001 "Anlage A: Informationssicherheitsmanagement-System"</v>
      </c>
      <c r="H8" s="22"/>
      <c r="I8" s="22"/>
      <c r="J8" s="22"/>
      <c r="K8" s="22"/>
    </row>
    <row r="9" spans="1:31" ht="19.5" customHeight="1" x14ac:dyDescent="0.2">
      <c r="A9" s="22"/>
      <c r="B9" s="22"/>
      <c r="C9" s="22"/>
      <c r="D9" s="22"/>
      <c r="E9" s="27"/>
      <c r="F9" s="22"/>
      <c r="G9" s="110" t="str">
        <f>IF(Scoping!C2="Deutsch",IF(Scoping!C4="Application",IF(Scoping!C5="Yes",Filter!AF15,Filter!AF11),IF(Scoping!C4="Server",Filter!AF12,IF(Scoping!C4="Webserver",Filter!AF13,IF(Scoping!C4="Network",Filter!AF14,"")))),IF(Scoping!C4="Application",IF(Scoping!C5="Yes",Filter!AF7,Filter!AF3),IF(Scoping!C4="Server",Filter!AF4,IF(Scoping!C4="Webserver",Filter!AF5,IF(Scoping!C4="Network",Filter!AF6,"")))))</f>
        <v xml:space="preserve">C/IDS CD 07900-001 "IT-System Sicherheit" </v>
      </c>
      <c r="H9" s="22"/>
      <c r="I9" s="22"/>
      <c r="J9" s="22"/>
      <c r="K9" s="22"/>
    </row>
    <row r="10" spans="1:31" ht="6.75" customHeight="1" x14ac:dyDescent="0.2">
      <c r="A10" s="22"/>
      <c r="B10" s="22"/>
      <c r="C10" s="22"/>
      <c r="D10" s="22"/>
      <c r="E10" s="22"/>
      <c r="F10" s="22"/>
      <c r="G10" s="22"/>
      <c r="H10" s="22"/>
      <c r="I10" s="22"/>
      <c r="J10" s="22"/>
      <c r="K10" s="22"/>
    </row>
    <row r="11" spans="1:31" s="43" customFormat="1" ht="24" customHeight="1" x14ac:dyDescent="0.25">
      <c r="A11" s="42"/>
      <c r="B11" s="35" t="str">
        <f>IF(Scoping!C2="Deutsch",IF(OR(Scoping!C4="Application",Scoping!C4="Webserver"),"Hinweis:Falls Sie selbst für den Betrieb der Server verantwortlich sind, müssen sie für diese einen zusätzlichen Selbscheck vornehmen.",""),IF(OR(Scoping!C4="Application",Scoping!C4="Webserver"),"Hint: If you also are responsible for operating the server for your application, you have to perform for these an additional selfcheck.",""))</f>
        <v>Hinweis:Falls Sie selbst für den Betrieb der Server verantwortlich sind, müssen sie für diese einen zusätzlichen Selbscheck vornehmen.</v>
      </c>
      <c r="C11" s="42"/>
      <c r="D11" s="42"/>
      <c r="E11" s="42"/>
      <c r="F11" s="103"/>
      <c r="G11" s="42"/>
      <c r="H11" s="42"/>
      <c r="I11" s="42"/>
      <c r="J11" s="42"/>
      <c r="K11" s="42"/>
    </row>
    <row r="12" spans="1:31" ht="42.75" customHeight="1" x14ac:dyDescent="0.2">
      <c r="A12" s="22"/>
      <c r="B12" s="22"/>
      <c r="C12" s="22"/>
      <c r="D12" s="22"/>
      <c r="E12" s="22"/>
      <c r="F12" s="27"/>
      <c r="G12" s="104"/>
      <c r="H12" s="27"/>
      <c r="I12" s="76"/>
      <c r="J12" s="76" t="str">
        <f>Scoping!$A$21</f>
        <v>Operator self check V1.1</v>
      </c>
      <c r="K12" s="27"/>
    </row>
    <row r="13" spans="1:31" ht="22.5" customHeight="1" x14ac:dyDescent="0.2">
      <c r="A13" s="18" t="s">
        <v>325</v>
      </c>
      <c r="B13" s="18" t="s">
        <v>326</v>
      </c>
      <c r="C13" s="18"/>
      <c r="D13" s="19">
        <v>2</v>
      </c>
      <c r="E13" s="19">
        <v>3</v>
      </c>
      <c r="F13" s="18" t="s">
        <v>324</v>
      </c>
      <c r="G13" s="18" t="s">
        <v>328</v>
      </c>
      <c r="H13" s="18" t="s">
        <v>1450</v>
      </c>
      <c r="I13" s="18" t="s">
        <v>875</v>
      </c>
      <c r="J13" s="18" t="s">
        <v>1730</v>
      </c>
      <c r="K13" s="18" t="s">
        <v>671</v>
      </c>
    </row>
    <row r="14" spans="1:31" ht="25.5" x14ac:dyDescent="0.25">
      <c r="A14" s="89" t="s">
        <v>868</v>
      </c>
      <c r="B14" s="89" t="s">
        <v>56</v>
      </c>
      <c r="C14" s="89"/>
      <c r="D14" s="89" t="s">
        <v>612</v>
      </c>
      <c r="E14" s="89" t="s">
        <v>309</v>
      </c>
      <c r="F14" s="89" t="s">
        <v>1454</v>
      </c>
      <c r="G14" s="89"/>
      <c r="H14" s="89" t="s">
        <v>617</v>
      </c>
      <c r="I14" s="133" t="s">
        <v>1796</v>
      </c>
      <c r="J14" s="9"/>
      <c r="K14" s="9"/>
      <c r="AB14">
        <f>IF(AND($D14="Question",$H14="OK"),1,0)</f>
        <v>0</v>
      </c>
      <c r="AC14">
        <f>IF(AND($D14="Question",$H14="Not OK"),1,0)</f>
        <v>1</v>
      </c>
      <c r="AD14">
        <f>IF(AND($D14="Question",$H14=""),1,0)</f>
        <v>0</v>
      </c>
      <c r="AE14">
        <f t="shared" ref="AE14:AE77" si="0">IF(AND($D14="Question",$H14="Not applicable"),1,0)</f>
        <v>0</v>
      </c>
    </row>
    <row r="15" spans="1:31" customFormat="1" ht="25.5" hidden="1" x14ac:dyDescent="0.25">
      <c r="A15" s="89" t="s">
        <v>868</v>
      </c>
      <c r="B15" s="89" t="s">
        <v>56</v>
      </c>
      <c r="C15" s="89"/>
      <c r="D15" s="89" t="s">
        <v>601</v>
      </c>
      <c r="E15" s="89" t="s">
        <v>8</v>
      </c>
      <c r="F15" s="89" t="s">
        <v>57</v>
      </c>
      <c r="G15" s="89"/>
      <c r="H15" s="89"/>
      <c r="I15" s="9"/>
      <c r="J15" s="9"/>
      <c r="K15" s="9"/>
      <c r="AB15">
        <f t="shared" ref="AB15:AB78" si="1">IF(AND($D15="Question",$H15="OK"),1,0)</f>
        <v>0</v>
      </c>
      <c r="AC15">
        <f t="shared" ref="AC15:AC78" si="2">IF(AND($D15="Question",$H15="Not OK"),1,0)</f>
        <v>0</v>
      </c>
      <c r="AD15">
        <f t="shared" ref="AD15:AD78" si="3">IF(AND($D15="Question",$H15=""),1,0)</f>
        <v>0</v>
      </c>
      <c r="AE15">
        <f t="shared" si="0"/>
        <v>0</v>
      </c>
    </row>
    <row r="16" spans="1:31" customFormat="1" ht="25.5" hidden="1" x14ac:dyDescent="0.25">
      <c r="A16" s="89" t="s">
        <v>868</v>
      </c>
      <c r="B16" s="89" t="s">
        <v>56</v>
      </c>
      <c r="C16" s="89"/>
      <c r="D16" s="89" t="s">
        <v>602</v>
      </c>
      <c r="E16" s="89" t="s">
        <v>8</v>
      </c>
      <c r="F16" s="89" t="s">
        <v>58</v>
      </c>
      <c r="G16" s="89"/>
      <c r="H16" s="89"/>
      <c r="I16" s="9"/>
      <c r="J16" s="9"/>
      <c r="K16" s="9"/>
      <c r="AB16">
        <f t="shared" si="1"/>
        <v>0</v>
      </c>
      <c r="AC16">
        <f t="shared" si="2"/>
        <v>0</v>
      </c>
      <c r="AD16">
        <f t="shared" si="3"/>
        <v>0</v>
      </c>
      <c r="AE16">
        <f t="shared" si="0"/>
        <v>0</v>
      </c>
    </row>
    <row r="17" spans="1:31" customFormat="1" ht="30" x14ac:dyDescent="0.25">
      <c r="A17" s="89" t="s">
        <v>868</v>
      </c>
      <c r="B17" s="89" t="s">
        <v>71</v>
      </c>
      <c r="C17" s="89"/>
      <c r="D17" s="89" t="s">
        <v>612</v>
      </c>
      <c r="E17" s="89" t="s">
        <v>309</v>
      </c>
      <c r="F17" s="89" t="s">
        <v>79</v>
      </c>
      <c r="G17" s="89"/>
      <c r="H17" s="89" t="s">
        <v>617</v>
      </c>
      <c r="I17" s="132" t="s">
        <v>1812</v>
      </c>
      <c r="J17" s="9"/>
      <c r="K17" s="9"/>
      <c r="AB17">
        <f t="shared" si="1"/>
        <v>0</v>
      </c>
      <c r="AC17">
        <f t="shared" si="2"/>
        <v>1</v>
      </c>
      <c r="AD17">
        <f t="shared" si="3"/>
        <v>0</v>
      </c>
      <c r="AE17">
        <f t="shared" si="0"/>
        <v>0</v>
      </c>
    </row>
    <row r="18" spans="1:31" ht="25.5" hidden="1" x14ac:dyDescent="0.25">
      <c r="A18" s="89" t="s">
        <v>868</v>
      </c>
      <c r="B18" s="89" t="s">
        <v>71</v>
      </c>
      <c r="C18" s="89"/>
      <c r="D18" s="89" t="s">
        <v>602</v>
      </c>
      <c r="E18" s="89" t="s">
        <v>8</v>
      </c>
      <c r="F18" s="89" t="s">
        <v>73</v>
      </c>
      <c r="G18" s="89"/>
      <c r="H18" s="89"/>
      <c r="I18" s="9"/>
      <c r="J18" s="9"/>
      <c r="K18" s="9"/>
      <c r="AB18">
        <f t="shared" si="1"/>
        <v>0</v>
      </c>
      <c r="AC18">
        <f t="shared" si="2"/>
        <v>0</v>
      </c>
      <c r="AD18">
        <f t="shared" si="3"/>
        <v>0</v>
      </c>
      <c r="AE18">
        <f t="shared" si="0"/>
        <v>0</v>
      </c>
    </row>
    <row r="19" spans="1:31" customFormat="1" ht="25.5" hidden="1" x14ac:dyDescent="0.25">
      <c r="A19" s="89" t="s">
        <v>868</v>
      </c>
      <c r="B19" s="89" t="s">
        <v>71</v>
      </c>
      <c r="C19" s="89"/>
      <c r="D19" s="89" t="s">
        <v>603</v>
      </c>
      <c r="E19" s="89" t="s">
        <v>8</v>
      </c>
      <c r="F19" s="89" t="s">
        <v>438</v>
      </c>
      <c r="G19" s="89"/>
      <c r="H19" s="89"/>
      <c r="I19" s="9"/>
      <c r="J19" s="9"/>
      <c r="K19" s="9"/>
      <c r="AB19">
        <f t="shared" si="1"/>
        <v>0</v>
      </c>
      <c r="AC19">
        <f t="shared" si="2"/>
        <v>0</v>
      </c>
      <c r="AD19">
        <f t="shared" si="3"/>
        <v>0</v>
      </c>
      <c r="AE19">
        <f t="shared" si="0"/>
        <v>0</v>
      </c>
    </row>
    <row r="20" spans="1:31" customFormat="1" ht="25.5" x14ac:dyDescent="0.25">
      <c r="A20" s="89" t="s">
        <v>867</v>
      </c>
      <c r="B20" s="89" t="s">
        <v>80</v>
      </c>
      <c r="C20" s="89"/>
      <c r="D20" s="89" t="s">
        <v>612</v>
      </c>
      <c r="E20" s="89" t="s">
        <v>309</v>
      </c>
      <c r="F20" s="89" t="s">
        <v>666</v>
      </c>
      <c r="G20" s="89"/>
      <c r="H20" s="89" t="s">
        <v>619</v>
      </c>
      <c r="I20" s="9"/>
      <c r="J20" s="9"/>
      <c r="K20" s="9"/>
      <c r="AB20">
        <f t="shared" si="1"/>
        <v>0</v>
      </c>
      <c r="AC20">
        <f t="shared" si="2"/>
        <v>0</v>
      </c>
      <c r="AD20">
        <f t="shared" si="3"/>
        <v>0</v>
      </c>
      <c r="AE20">
        <f t="shared" si="0"/>
        <v>1</v>
      </c>
    </row>
    <row r="21" spans="1:31" ht="25.5" hidden="1" x14ac:dyDescent="0.25">
      <c r="A21" s="89" t="s">
        <v>868</v>
      </c>
      <c r="B21" s="89" t="s">
        <v>80</v>
      </c>
      <c r="C21" s="89"/>
      <c r="D21" s="89" t="s">
        <v>601</v>
      </c>
      <c r="E21" s="89" t="s">
        <v>8</v>
      </c>
      <c r="F21" s="89" t="s">
        <v>440</v>
      </c>
      <c r="G21" s="89"/>
      <c r="H21" s="89"/>
      <c r="I21" s="9"/>
      <c r="J21" s="9"/>
      <c r="K21" s="9"/>
      <c r="AB21">
        <f t="shared" si="1"/>
        <v>0</v>
      </c>
      <c r="AC21">
        <f t="shared" si="2"/>
        <v>0</v>
      </c>
      <c r="AD21">
        <f t="shared" si="3"/>
        <v>0</v>
      </c>
      <c r="AE21">
        <f t="shared" si="0"/>
        <v>0</v>
      </c>
    </row>
    <row r="22" spans="1:31" customFormat="1" ht="114.75" hidden="1" x14ac:dyDescent="0.25">
      <c r="A22" s="89" t="s">
        <v>867</v>
      </c>
      <c r="B22" s="89" t="s">
        <v>80</v>
      </c>
      <c r="C22" s="89"/>
      <c r="D22" s="89" t="s">
        <v>601</v>
      </c>
      <c r="E22" s="89" t="s">
        <v>0</v>
      </c>
      <c r="F22" s="89" t="s">
        <v>1495</v>
      </c>
      <c r="G22" s="89" t="s">
        <v>894</v>
      </c>
      <c r="H22" s="89"/>
      <c r="I22" s="9"/>
      <c r="J22" s="9"/>
      <c r="K22" s="9"/>
      <c r="AB22">
        <f t="shared" si="1"/>
        <v>0</v>
      </c>
      <c r="AC22">
        <f t="shared" si="2"/>
        <v>0</v>
      </c>
      <c r="AD22">
        <f t="shared" si="3"/>
        <v>0</v>
      </c>
      <c r="AE22">
        <f t="shared" si="0"/>
        <v>0</v>
      </c>
    </row>
    <row r="23" spans="1:31" customFormat="1" ht="114.75" hidden="1" x14ac:dyDescent="0.25">
      <c r="A23" s="89" t="s">
        <v>867</v>
      </c>
      <c r="B23" s="89" t="s">
        <v>80</v>
      </c>
      <c r="C23" s="89"/>
      <c r="D23" s="89" t="s">
        <v>602</v>
      </c>
      <c r="E23" s="89" t="s">
        <v>0</v>
      </c>
      <c r="F23" s="89" t="s">
        <v>1731</v>
      </c>
      <c r="G23" s="89" t="s">
        <v>683</v>
      </c>
      <c r="H23" s="89"/>
      <c r="I23" s="9"/>
      <c r="J23" s="9"/>
      <c r="K23" s="9"/>
      <c r="AB23">
        <f t="shared" si="1"/>
        <v>0</v>
      </c>
      <c r="AC23">
        <f t="shared" si="2"/>
        <v>0</v>
      </c>
      <c r="AD23">
        <f t="shared" si="3"/>
        <v>0</v>
      </c>
      <c r="AE23">
        <f t="shared" si="0"/>
        <v>0</v>
      </c>
    </row>
    <row r="24" spans="1:31" ht="102" hidden="1" x14ac:dyDescent="0.25">
      <c r="A24" s="89" t="s">
        <v>867</v>
      </c>
      <c r="B24" s="89" t="s">
        <v>80</v>
      </c>
      <c r="C24" s="89"/>
      <c r="D24" s="89" t="s">
        <v>603</v>
      </c>
      <c r="E24" s="89" t="s">
        <v>0</v>
      </c>
      <c r="F24" s="89" t="s">
        <v>1497</v>
      </c>
      <c r="G24" s="89" t="s">
        <v>685</v>
      </c>
      <c r="H24" s="89"/>
      <c r="I24" s="9"/>
      <c r="J24" s="9"/>
      <c r="K24" s="9"/>
      <c r="AB24">
        <f t="shared" si="1"/>
        <v>0</v>
      </c>
      <c r="AC24">
        <f t="shared" si="2"/>
        <v>0</v>
      </c>
      <c r="AD24">
        <f t="shared" si="3"/>
        <v>0</v>
      </c>
      <c r="AE24">
        <f t="shared" si="0"/>
        <v>0</v>
      </c>
    </row>
    <row r="25" spans="1:31" customFormat="1" ht="102" hidden="1" x14ac:dyDescent="0.25">
      <c r="A25" s="89" t="s">
        <v>867</v>
      </c>
      <c r="B25" s="89" t="s">
        <v>80</v>
      </c>
      <c r="C25" s="89"/>
      <c r="D25" s="89" t="s">
        <v>604</v>
      </c>
      <c r="E25" s="89" t="s">
        <v>0</v>
      </c>
      <c r="F25" s="89" t="s">
        <v>1499</v>
      </c>
      <c r="G25" s="89" t="s">
        <v>904</v>
      </c>
      <c r="H25" s="89"/>
      <c r="I25" s="9"/>
      <c r="J25" s="9"/>
      <c r="K25" s="9"/>
      <c r="AB25">
        <f t="shared" si="1"/>
        <v>0</v>
      </c>
      <c r="AC25">
        <f t="shared" si="2"/>
        <v>0</v>
      </c>
      <c r="AD25">
        <f t="shared" si="3"/>
        <v>0</v>
      </c>
      <c r="AE25">
        <f t="shared" si="0"/>
        <v>0</v>
      </c>
    </row>
    <row r="26" spans="1:31" ht="45" x14ac:dyDescent="0.25">
      <c r="A26" s="89" t="s">
        <v>868</v>
      </c>
      <c r="B26" s="89" t="s">
        <v>84</v>
      </c>
      <c r="C26" s="89"/>
      <c r="D26" s="89" t="s">
        <v>612</v>
      </c>
      <c r="E26" s="89" t="s">
        <v>309</v>
      </c>
      <c r="F26" s="89" t="s">
        <v>1455</v>
      </c>
      <c r="G26" s="89"/>
      <c r="H26" s="89" t="s">
        <v>616</v>
      </c>
      <c r="I26" s="131" t="s">
        <v>1813</v>
      </c>
      <c r="J26" s="9"/>
      <c r="K26" s="9"/>
      <c r="AB26">
        <f t="shared" si="1"/>
        <v>1</v>
      </c>
      <c r="AC26">
        <f t="shared" si="2"/>
        <v>0</v>
      </c>
      <c r="AD26">
        <f t="shared" si="3"/>
        <v>0</v>
      </c>
      <c r="AE26">
        <f t="shared" si="0"/>
        <v>0</v>
      </c>
    </row>
    <row r="27" spans="1:31" customFormat="1" ht="25.5" hidden="1" x14ac:dyDescent="0.25">
      <c r="A27" s="89" t="s">
        <v>868</v>
      </c>
      <c r="B27" s="89" t="s">
        <v>84</v>
      </c>
      <c r="C27" s="89"/>
      <c r="D27" s="89" t="s">
        <v>606</v>
      </c>
      <c r="E27" s="89" t="s">
        <v>8</v>
      </c>
      <c r="F27" s="89" t="s">
        <v>464</v>
      </c>
      <c r="G27" s="89"/>
      <c r="H27" s="89"/>
      <c r="I27" s="9"/>
      <c r="J27" s="9"/>
      <c r="K27" s="9"/>
      <c r="AB27">
        <f t="shared" si="1"/>
        <v>0</v>
      </c>
      <c r="AC27">
        <f t="shared" si="2"/>
        <v>0</v>
      </c>
      <c r="AD27">
        <f t="shared" si="3"/>
        <v>0</v>
      </c>
      <c r="AE27">
        <f t="shared" si="0"/>
        <v>0</v>
      </c>
    </row>
    <row r="28" spans="1:31" customFormat="1" ht="25.5" x14ac:dyDescent="0.25">
      <c r="A28" s="89" t="s">
        <v>867</v>
      </c>
      <c r="B28" s="89" t="s">
        <v>84</v>
      </c>
      <c r="C28" s="89"/>
      <c r="D28" s="89" t="s">
        <v>612</v>
      </c>
      <c r="E28" s="89" t="s">
        <v>330</v>
      </c>
      <c r="F28" s="89" t="s">
        <v>1468</v>
      </c>
      <c r="G28" s="89"/>
      <c r="H28" s="89" t="s">
        <v>617</v>
      </c>
      <c r="I28" s="9" t="s">
        <v>1815</v>
      </c>
      <c r="J28" s="129"/>
      <c r="K28" s="9"/>
      <c r="AB28">
        <f t="shared" si="1"/>
        <v>0</v>
      </c>
      <c r="AC28">
        <f t="shared" si="2"/>
        <v>1</v>
      </c>
      <c r="AD28">
        <f t="shared" si="3"/>
        <v>0</v>
      </c>
      <c r="AE28">
        <f t="shared" si="0"/>
        <v>0</v>
      </c>
    </row>
    <row r="29" spans="1:31" customFormat="1" ht="89.25" hidden="1" x14ac:dyDescent="0.25">
      <c r="A29" s="89" t="s">
        <v>867</v>
      </c>
      <c r="B29" s="89" t="s">
        <v>84</v>
      </c>
      <c r="C29" s="89"/>
      <c r="D29" s="89" t="s">
        <v>601</v>
      </c>
      <c r="E29" s="89" t="s">
        <v>0</v>
      </c>
      <c r="F29" s="89" t="s">
        <v>1507</v>
      </c>
      <c r="G29" s="89" t="s">
        <v>923</v>
      </c>
      <c r="H29" s="89"/>
      <c r="I29" s="9"/>
      <c r="J29" s="9"/>
      <c r="K29" s="9"/>
      <c r="AB29">
        <f t="shared" si="1"/>
        <v>0</v>
      </c>
      <c r="AC29">
        <f t="shared" si="2"/>
        <v>0</v>
      </c>
      <c r="AD29">
        <f t="shared" si="3"/>
        <v>0</v>
      </c>
      <c r="AE29">
        <f t="shared" si="0"/>
        <v>0</v>
      </c>
    </row>
    <row r="30" spans="1:31" customFormat="1" ht="153" hidden="1" x14ac:dyDescent="0.25">
      <c r="A30" s="89" t="s">
        <v>867</v>
      </c>
      <c r="B30" s="89" t="s">
        <v>84</v>
      </c>
      <c r="C30" s="89"/>
      <c r="D30" s="89" t="s">
        <v>602</v>
      </c>
      <c r="E30" s="89" t="s">
        <v>0</v>
      </c>
      <c r="F30" s="89" t="s">
        <v>1733</v>
      </c>
      <c r="G30" s="89" t="s">
        <v>1470</v>
      </c>
      <c r="H30" s="89"/>
      <c r="I30" s="9"/>
      <c r="J30" s="9"/>
      <c r="K30" s="9"/>
      <c r="AB30">
        <f t="shared" si="1"/>
        <v>0</v>
      </c>
      <c r="AC30">
        <f t="shared" si="2"/>
        <v>0</v>
      </c>
      <c r="AD30">
        <f t="shared" si="3"/>
        <v>0</v>
      </c>
      <c r="AE30">
        <f t="shared" si="0"/>
        <v>0</v>
      </c>
    </row>
    <row r="31" spans="1:31" customFormat="1" ht="140.25" hidden="1" x14ac:dyDescent="0.25">
      <c r="A31" s="89" t="s">
        <v>867</v>
      </c>
      <c r="B31" s="89" t="s">
        <v>84</v>
      </c>
      <c r="C31" s="89"/>
      <c r="D31" s="89" t="s">
        <v>603</v>
      </c>
      <c r="E31" s="89" t="s">
        <v>0</v>
      </c>
      <c r="F31" s="89" t="s">
        <v>1735</v>
      </c>
      <c r="G31" s="89" t="s">
        <v>932</v>
      </c>
      <c r="H31" s="89"/>
      <c r="I31" s="9"/>
      <c r="J31" s="9"/>
      <c r="K31" s="9"/>
      <c r="AB31">
        <f t="shared" si="1"/>
        <v>0</v>
      </c>
      <c r="AC31">
        <f t="shared" si="2"/>
        <v>0</v>
      </c>
      <c r="AD31">
        <f t="shared" si="3"/>
        <v>0</v>
      </c>
      <c r="AE31">
        <f t="shared" si="0"/>
        <v>0</v>
      </c>
    </row>
    <row r="32" spans="1:31" customFormat="1" ht="127.5" hidden="1" x14ac:dyDescent="0.25">
      <c r="A32" s="89" t="s">
        <v>867</v>
      </c>
      <c r="B32" s="89" t="s">
        <v>84</v>
      </c>
      <c r="C32" s="89"/>
      <c r="D32" s="89" t="s">
        <v>604</v>
      </c>
      <c r="E32" s="89" t="s">
        <v>0</v>
      </c>
      <c r="F32" s="89" t="s">
        <v>1509</v>
      </c>
      <c r="G32" s="89" t="s">
        <v>937</v>
      </c>
      <c r="H32" s="89"/>
      <c r="I32" s="9"/>
      <c r="J32" s="9"/>
      <c r="K32" s="9"/>
      <c r="AB32">
        <f t="shared" si="1"/>
        <v>0</v>
      </c>
      <c r="AC32">
        <f t="shared" si="2"/>
        <v>0</v>
      </c>
      <c r="AD32">
        <f t="shared" si="3"/>
        <v>0</v>
      </c>
      <c r="AE32">
        <f t="shared" si="0"/>
        <v>0</v>
      </c>
    </row>
    <row r="33" spans="1:31" customFormat="1" ht="45" x14ac:dyDescent="0.25">
      <c r="A33" s="89" t="s">
        <v>867</v>
      </c>
      <c r="B33" s="89" t="s">
        <v>90</v>
      </c>
      <c r="C33" s="89"/>
      <c r="D33" s="89" t="s">
        <v>612</v>
      </c>
      <c r="E33" s="89" t="s">
        <v>309</v>
      </c>
      <c r="F33" s="89" t="s">
        <v>392</v>
      </c>
      <c r="G33" s="89"/>
      <c r="H33" s="89" t="s">
        <v>616</v>
      </c>
      <c r="I33" s="132" t="s">
        <v>1814</v>
      </c>
      <c r="J33" s="9"/>
      <c r="K33" s="9"/>
      <c r="AB33">
        <f t="shared" si="1"/>
        <v>1</v>
      </c>
      <c r="AC33">
        <f t="shared" si="2"/>
        <v>0</v>
      </c>
      <c r="AD33">
        <f t="shared" si="3"/>
        <v>0</v>
      </c>
      <c r="AE33">
        <f t="shared" si="0"/>
        <v>0</v>
      </c>
    </row>
    <row r="34" spans="1:31" customFormat="1" ht="165.75" hidden="1" x14ac:dyDescent="0.25">
      <c r="A34" s="89" t="s">
        <v>868</v>
      </c>
      <c r="B34" s="89" t="s">
        <v>90</v>
      </c>
      <c r="C34" s="89"/>
      <c r="D34" s="89" t="s">
        <v>601</v>
      </c>
      <c r="E34" s="89" t="s">
        <v>8</v>
      </c>
      <c r="F34" s="89" t="s">
        <v>661</v>
      </c>
      <c r="G34" s="89"/>
      <c r="H34" s="89"/>
      <c r="I34" s="9"/>
      <c r="J34" s="9"/>
      <c r="K34" s="9"/>
      <c r="AB34">
        <f t="shared" si="1"/>
        <v>0</v>
      </c>
      <c r="AC34">
        <f t="shared" si="2"/>
        <v>0</v>
      </c>
      <c r="AD34">
        <f t="shared" si="3"/>
        <v>0</v>
      </c>
      <c r="AE34">
        <f t="shared" si="0"/>
        <v>0</v>
      </c>
    </row>
    <row r="35" spans="1:31" customFormat="1" ht="38.25" hidden="1" x14ac:dyDescent="0.25">
      <c r="A35" s="89" t="s">
        <v>868</v>
      </c>
      <c r="B35" s="89" t="s">
        <v>90</v>
      </c>
      <c r="C35" s="89"/>
      <c r="D35" s="89" t="s">
        <v>602</v>
      </c>
      <c r="E35" s="89" t="s">
        <v>8</v>
      </c>
      <c r="F35" s="89" t="s">
        <v>467</v>
      </c>
      <c r="G35" s="89"/>
      <c r="H35" s="89"/>
      <c r="I35" s="9"/>
      <c r="J35" s="9"/>
      <c r="K35" s="9"/>
      <c r="AB35">
        <f t="shared" si="1"/>
        <v>0</v>
      </c>
      <c r="AC35">
        <f t="shared" si="2"/>
        <v>0</v>
      </c>
      <c r="AD35">
        <f t="shared" si="3"/>
        <v>0</v>
      </c>
      <c r="AE35">
        <f t="shared" si="0"/>
        <v>0</v>
      </c>
    </row>
    <row r="36" spans="1:31" customFormat="1" ht="76.5" hidden="1" x14ac:dyDescent="0.25">
      <c r="A36" s="89" t="s">
        <v>867</v>
      </c>
      <c r="B36" s="89" t="s">
        <v>90</v>
      </c>
      <c r="C36" s="89"/>
      <c r="D36" s="89" t="s">
        <v>601</v>
      </c>
      <c r="E36" s="89" t="s">
        <v>0</v>
      </c>
      <c r="F36" s="89" t="s">
        <v>1511</v>
      </c>
      <c r="G36" s="89" t="s">
        <v>694</v>
      </c>
      <c r="H36" s="89"/>
      <c r="I36" s="9"/>
      <c r="J36" s="9"/>
      <c r="K36" s="9"/>
      <c r="AB36">
        <f t="shared" si="1"/>
        <v>0</v>
      </c>
      <c r="AC36">
        <f t="shared" si="2"/>
        <v>0</v>
      </c>
      <c r="AD36">
        <f t="shared" si="3"/>
        <v>0</v>
      </c>
      <c r="AE36">
        <f t="shared" si="0"/>
        <v>0</v>
      </c>
    </row>
    <row r="37" spans="1:31" customFormat="1" ht="63.75" hidden="1" x14ac:dyDescent="0.25">
      <c r="A37" s="89" t="s">
        <v>867</v>
      </c>
      <c r="B37" s="89" t="s">
        <v>90</v>
      </c>
      <c r="C37" s="89"/>
      <c r="D37" s="89" t="s">
        <v>602</v>
      </c>
      <c r="E37" s="89" t="s">
        <v>0</v>
      </c>
      <c r="F37" s="89" t="s">
        <v>1513</v>
      </c>
      <c r="G37" s="89" t="s">
        <v>696</v>
      </c>
      <c r="H37" s="89"/>
      <c r="I37" s="9"/>
      <c r="J37" s="9"/>
      <c r="K37" s="9"/>
      <c r="AB37">
        <f t="shared" si="1"/>
        <v>0</v>
      </c>
      <c r="AC37">
        <f t="shared" si="2"/>
        <v>0</v>
      </c>
      <c r="AD37">
        <f t="shared" si="3"/>
        <v>0</v>
      </c>
      <c r="AE37">
        <f t="shared" si="0"/>
        <v>0</v>
      </c>
    </row>
    <row r="38" spans="1:31" ht="51" hidden="1" x14ac:dyDescent="0.25">
      <c r="A38" s="89" t="s">
        <v>867</v>
      </c>
      <c r="B38" s="89" t="s">
        <v>90</v>
      </c>
      <c r="C38" s="89"/>
      <c r="D38" s="89" t="s">
        <v>603</v>
      </c>
      <c r="E38" s="89" t="s">
        <v>0</v>
      </c>
      <c r="F38" s="89" t="s">
        <v>1515</v>
      </c>
      <c r="G38" s="89" t="s">
        <v>697</v>
      </c>
      <c r="H38" s="89"/>
      <c r="I38" s="9"/>
      <c r="J38" s="9"/>
      <c r="K38" s="9"/>
      <c r="AB38">
        <f t="shared" si="1"/>
        <v>0</v>
      </c>
      <c r="AC38">
        <f t="shared" si="2"/>
        <v>0</v>
      </c>
      <c r="AD38">
        <f t="shared" si="3"/>
        <v>0</v>
      </c>
      <c r="AE38">
        <f t="shared" si="0"/>
        <v>0</v>
      </c>
    </row>
    <row r="39" spans="1:31" customFormat="1" ht="102" hidden="1" x14ac:dyDescent="0.25">
      <c r="A39" s="89" t="s">
        <v>867</v>
      </c>
      <c r="B39" s="89" t="s">
        <v>90</v>
      </c>
      <c r="C39" s="89"/>
      <c r="D39" s="89" t="s">
        <v>604</v>
      </c>
      <c r="E39" s="89" t="s">
        <v>0</v>
      </c>
      <c r="F39" s="89" t="s">
        <v>1517</v>
      </c>
      <c r="G39" s="89" t="s">
        <v>698</v>
      </c>
      <c r="H39" s="89"/>
      <c r="I39" s="9"/>
      <c r="J39" s="9"/>
      <c r="K39" s="9"/>
      <c r="AB39">
        <f t="shared" si="1"/>
        <v>0</v>
      </c>
      <c r="AC39">
        <f t="shared" si="2"/>
        <v>0</v>
      </c>
      <c r="AD39">
        <f t="shared" si="3"/>
        <v>0</v>
      </c>
      <c r="AE39">
        <f t="shared" si="0"/>
        <v>0</v>
      </c>
    </row>
    <row r="40" spans="1:31" customFormat="1" ht="204" hidden="1" x14ac:dyDescent="0.25">
      <c r="A40" s="89" t="s">
        <v>867</v>
      </c>
      <c r="B40" s="89" t="s">
        <v>90</v>
      </c>
      <c r="C40" s="89"/>
      <c r="D40" s="89" t="s">
        <v>605</v>
      </c>
      <c r="E40" s="89" t="s">
        <v>0</v>
      </c>
      <c r="F40" s="89" t="s">
        <v>1519</v>
      </c>
      <c r="G40" s="89" t="s">
        <v>700</v>
      </c>
      <c r="H40" s="89"/>
      <c r="I40" s="9"/>
      <c r="J40" s="9"/>
      <c r="K40" s="9"/>
      <c r="AB40">
        <f t="shared" si="1"/>
        <v>0</v>
      </c>
      <c r="AC40">
        <f t="shared" si="2"/>
        <v>0</v>
      </c>
      <c r="AD40">
        <f t="shared" si="3"/>
        <v>0</v>
      </c>
      <c r="AE40">
        <f t="shared" si="0"/>
        <v>0</v>
      </c>
    </row>
    <row r="41" spans="1:31" customFormat="1" ht="89.25" hidden="1" x14ac:dyDescent="0.25">
      <c r="A41" s="89" t="s">
        <v>867</v>
      </c>
      <c r="B41" s="89" t="s">
        <v>90</v>
      </c>
      <c r="C41" s="89"/>
      <c r="D41" s="89" t="s">
        <v>606</v>
      </c>
      <c r="E41" s="89" t="s">
        <v>0</v>
      </c>
      <c r="F41" s="89" t="s">
        <v>1521</v>
      </c>
      <c r="G41" s="89" t="s">
        <v>701</v>
      </c>
      <c r="H41" s="89"/>
      <c r="I41" s="9"/>
      <c r="J41" s="9"/>
      <c r="K41" s="9"/>
      <c r="AB41">
        <f t="shared" si="1"/>
        <v>0</v>
      </c>
      <c r="AC41">
        <f t="shared" si="2"/>
        <v>0</v>
      </c>
      <c r="AD41">
        <f t="shared" si="3"/>
        <v>0</v>
      </c>
      <c r="AE41">
        <f t="shared" si="0"/>
        <v>0</v>
      </c>
    </row>
    <row r="42" spans="1:31" customFormat="1" ht="63.75" hidden="1" x14ac:dyDescent="0.25">
      <c r="A42" s="89" t="s">
        <v>867</v>
      </c>
      <c r="B42" s="89" t="s">
        <v>90</v>
      </c>
      <c r="C42" s="89"/>
      <c r="D42" s="89" t="s">
        <v>608</v>
      </c>
      <c r="E42" s="89" t="s">
        <v>0</v>
      </c>
      <c r="F42" s="89" t="s">
        <v>1523</v>
      </c>
      <c r="G42" s="89" t="s">
        <v>703</v>
      </c>
      <c r="H42" s="89"/>
      <c r="I42" s="9"/>
      <c r="J42" s="9"/>
      <c r="K42" s="9"/>
      <c r="AB42">
        <f t="shared" si="1"/>
        <v>0</v>
      </c>
      <c r="AC42">
        <f t="shared" si="2"/>
        <v>0</v>
      </c>
      <c r="AD42">
        <f t="shared" si="3"/>
        <v>0</v>
      </c>
      <c r="AE42">
        <f t="shared" si="0"/>
        <v>0</v>
      </c>
    </row>
    <row r="43" spans="1:31" ht="30" x14ac:dyDescent="0.25">
      <c r="A43" s="89" t="s">
        <v>868</v>
      </c>
      <c r="B43" s="89" t="s">
        <v>94</v>
      </c>
      <c r="C43" s="89"/>
      <c r="D43" s="89" t="s">
        <v>612</v>
      </c>
      <c r="E43" s="89" t="s">
        <v>309</v>
      </c>
      <c r="F43" s="89" t="s">
        <v>97</v>
      </c>
      <c r="G43" s="89"/>
      <c r="H43" s="89" t="s">
        <v>616</v>
      </c>
      <c r="I43" s="132" t="s">
        <v>1798</v>
      </c>
      <c r="J43" s="9"/>
      <c r="K43" s="9"/>
      <c r="AB43">
        <f t="shared" si="1"/>
        <v>1</v>
      </c>
      <c r="AC43">
        <f t="shared" si="2"/>
        <v>0</v>
      </c>
      <c r="AD43">
        <f t="shared" si="3"/>
        <v>0</v>
      </c>
      <c r="AE43">
        <f t="shared" si="0"/>
        <v>0</v>
      </c>
    </row>
    <row r="44" spans="1:31" customFormat="1" ht="38.25" hidden="1" x14ac:dyDescent="0.25">
      <c r="A44" s="89" t="s">
        <v>868</v>
      </c>
      <c r="B44" s="89" t="s">
        <v>94</v>
      </c>
      <c r="C44" s="89"/>
      <c r="D44" s="89" t="s">
        <v>601</v>
      </c>
      <c r="E44" s="89" t="s">
        <v>8</v>
      </c>
      <c r="F44" s="89" t="s">
        <v>469</v>
      </c>
      <c r="G44" s="89"/>
      <c r="H44" s="89"/>
      <c r="I44" s="9"/>
      <c r="J44" s="9"/>
      <c r="K44" s="9"/>
      <c r="AB44">
        <f t="shared" si="1"/>
        <v>0</v>
      </c>
      <c r="AC44">
        <f t="shared" si="2"/>
        <v>0</v>
      </c>
      <c r="AD44">
        <f t="shared" si="3"/>
        <v>0</v>
      </c>
      <c r="AE44">
        <f t="shared" si="0"/>
        <v>0</v>
      </c>
    </row>
    <row r="45" spans="1:31" customFormat="1" ht="63.75" hidden="1" x14ac:dyDescent="0.25">
      <c r="A45" s="89" t="s">
        <v>868</v>
      </c>
      <c r="B45" s="89" t="s">
        <v>94</v>
      </c>
      <c r="C45" s="89"/>
      <c r="D45" s="89" t="s">
        <v>602</v>
      </c>
      <c r="E45" s="89" t="s">
        <v>8</v>
      </c>
      <c r="F45" s="89" t="s">
        <v>471</v>
      </c>
      <c r="G45" s="89"/>
      <c r="H45" s="89"/>
      <c r="I45" s="9"/>
      <c r="J45" s="9"/>
      <c r="K45" s="9"/>
      <c r="AB45">
        <f t="shared" si="1"/>
        <v>0</v>
      </c>
      <c r="AC45">
        <f t="shared" si="2"/>
        <v>0</v>
      </c>
      <c r="AD45">
        <f t="shared" si="3"/>
        <v>0</v>
      </c>
      <c r="AE45">
        <f t="shared" si="0"/>
        <v>0</v>
      </c>
    </row>
    <row r="46" spans="1:31" customFormat="1" ht="25.5" hidden="1" x14ac:dyDescent="0.25">
      <c r="A46" s="89" t="s">
        <v>868</v>
      </c>
      <c r="B46" s="89" t="s">
        <v>94</v>
      </c>
      <c r="C46" s="89"/>
      <c r="D46" s="89" t="s">
        <v>603</v>
      </c>
      <c r="E46" s="89" t="s">
        <v>8</v>
      </c>
      <c r="F46" s="89" t="s">
        <v>95</v>
      </c>
      <c r="G46" s="89"/>
      <c r="H46" s="89"/>
      <c r="I46" s="9"/>
      <c r="J46" s="9"/>
      <c r="K46" s="9"/>
      <c r="AB46">
        <f t="shared" si="1"/>
        <v>0</v>
      </c>
      <c r="AC46">
        <f t="shared" si="2"/>
        <v>0</v>
      </c>
      <c r="AD46">
        <f t="shared" si="3"/>
        <v>0</v>
      </c>
      <c r="AE46">
        <f t="shared" si="0"/>
        <v>0</v>
      </c>
    </row>
    <row r="47" spans="1:31" customFormat="1" ht="15" x14ac:dyDescent="0.25">
      <c r="A47" s="89" t="s">
        <v>867</v>
      </c>
      <c r="B47" s="89" t="s">
        <v>103</v>
      </c>
      <c r="C47" s="89"/>
      <c r="D47" s="89" t="s">
        <v>612</v>
      </c>
      <c r="E47" s="89" t="s">
        <v>330</v>
      </c>
      <c r="F47" s="89" t="s">
        <v>669</v>
      </c>
      <c r="G47" s="89"/>
      <c r="H47" s="89" t="s">
        <v>617</v>
      </c>
      <c r="I47" s="132" t="s">
        <v>1797</v>
      </c>
      <c r="J47" s="9"/>
      <c r="K47" s="9"/>
      <c r="AB47">
        <f t="shared" si="1"/>
        <v>0</v>
      </c>
      <c r="AC47">
        <f t="shared" si="2"/>
        <v>1</v>
      </c>
      <c r="AD47">
        <f t="shared" si="3"/>
        <v>0</v>
      </c>
      <c r="AE47">
        <f t="shared" si="0"/>
        <v>0</v>
      </c>
    </row>
    <row r="48" spans="1:31" customFormat="1" ht="89.25" hidden="1" x14ac:dyDescent="0.25">
      <c r="A48" s="89" t="s">
        <v>867</v>
      </c>
      <c r="B48" s="89" t="s">
        <v>103</v>
      </c>
      <c r="C48" s="89"/>
      <c r="D48" s="89" t="s">
        <v>601</v>
      </c>
      <c r="E48" s="89" t="s">
        <v>0</v>
      </c>
      <c r="F48" s="89" t="s">
        <v>1531</v>
      </c>
      <c r="G48" s="89" t="s">
        <v>710</v>
      </c>
      <c r="H48" s="89"/>
      <c r="I48" s="9"/>
      <c r="J48" s="9"/>
      <c r="K48" s="9"/>
      <c r="AB48">
        <f t="shared" si="1"/>
        <v>0</v>
      </c>
      <c r="AC48">
        <f t="shared" si="2"/>
        <v>0</v>
      </c>
      <c r="AD48">
        <f t="shared" si="3"/>
        <v>0</v>
      </c>
      <c r="AE48">
        <f t="shared" si="0"/>
        <v>0</v>
      </c>
    </row>
    <row r="49" spans="1:31" customFormat="1" ht="51" hidden="1" x14ac:dyDescent="0.25">
      <c r="A49" s="89" t="s">
        <v>867</v>
      </c>
      <c r="B49" s="89" t="s">
        <v>103</v>
      </c>
      <c r="C49" s="89"/>
      <c r="D49" s="89" t="s">
        <v>602</v>
      </c>
      <c r="E49" s="89" t="s">
        <v>0</v>
      </c>
      <c r="F49" s="89" t="s">
        <v>1533</v>
      </c>
      <c r="G49" s="89" t="s">
        <v>991</v>
      </c>
      <c r="H49" s="89"/>
      <c r="I49" s="9"/>
      <c r="J49" s="9"/>
      <c r="K49" s="9"/>
      <c r="AB49">
        <f t="shared" si="1"/>
        <v>0</v>
      </c>
      <c r="AC49">
        <f t="shared" si="2"/>
        <v>0</v>
      </c>
      <c r="AD49">
        <f t="shared" si="3"/>
        <v>0</v>
      </c>
      <c r="AE49">
        <f t="shared" si="0"/>
        <v>0</v>
      </c>
    </row>
    <row r="50" spans="1:31" customFormat="1" ht="63.75" hidden="1" x14ac:dyDescent="0.25">
      <c r="A50" s="89" t="s">
        <v>867</v>
      </c>
      <c r="B50" s="89" t="s">
        <v>103</v>
      </c>
      <c r="C50" s="89"/>
      <c r="D50" s="89" t="s">
        <v>603</v>
      </c>
      <c r="E50" s="89" t="s">
        <v>0</v>
      </c>
      <c r="F50" s="89" t="s">
        <v>1535</v>
      </c>
      <c r="G50" s="89" t="s">
        <v>712</v>
      </c>
      <c r="H50" s="89"/>
      <c r="I50" s="9"/>
      <c r="J50" s="9"/>
      <c r="K50" s="9"/>
      <c r="AB50">
        <f t="shared" si="1"/>
        <v>0</v>
      </c>
      <c r="AC50">
        <f t="shared" si="2"/>
        <v>0</v>
      </c>
      <c r="AD50">
        <f t="shared" si="3"/>
        <v>0</v>
      </c>
      <c r="AE50">
        <f t="shared" si="0"/>
        <v>0</v>
      </c>
    </row>
    <row r="51" spans="1:31" customFormat="1" ht="153" hidden="1" x14ac:dyDescent="0.25">
      <c r="A51" s="89" t="s">
        <v>867</v>
      </c>
      <c r="B51" s="89" t="s">
        <v>103</v>
      </c>
      <c r="C51" s="89"/>
      <c r="D51" s="89" t="s">
        <v>604</v>
      </c>
      <c r="E51" s="89" t="s">
        <v>0</v>
      </c>
      <c r="F51" s="89" t="s">
        <v>1537</v>
      </c>
      <c r="G51" s="89" t="s">
        <v>714</v>
      </c>
      <c r="H51" s="89"/>
      <c r="I51" s="9"/>
      <c r="J51" s="9"/>
      <c r="K51" s="9"/>
      <c r="AB51">
        <f t="shared" si="1"/>
        <v>0</v>
      </c>
      <c r="AC51">
        <f t="shared" si="2"/>
        <v>0</v>
      </c>
      <c r="AD51">
        <f t="shared" si="3"/>
        <v>0</v>
      </c>
      <c r="AE51">
        <f t="shared" si="0"/>
        <v>0</v>
      </c>
    </row>
    <row r="52" spans="1:31" ht="63.75" hidden="1" x14ac:dyDescent="0.25">
      <c r="A52" s="89" t="s">
        <v>867</v>
      </c>
      <c r="B52" s="89" t="s">
        <v>103</v>
      </c>
      <c r="C52" s="89"/>
      <c r="D52" s="89" t="s">
        <v>606</v>
      </c>
      <c r="E52" s="89" t="s">
        <v>0</v>
      </c>
      <c r="F52" s="89" t="s">
        <v>1539</v>
      </c>
      <c r="G52" s="89" t="s">
        <v>715</v>
      </c>
      <c r="H52" s="89"/>
      <c r="I52" s="9"/>
      <c r="J52" s="9"/>
      <c r="K52" s="9"/>
      <c r="AB52">
        <f t="shared" si="1"/>
        <v>0</v>
      </c>
      <c r="AC52">
        <f t="shared" si="2"/>
        <v>0</v>
      </c>
      <c r="AD52">
        <f t="shared" si="3"/>
        <v>0</v>
      </c>
      <c r="AE52">
        <f t="shared" si="0"/>
        <v>0</v>
      </c>
    </row>
    <row r="53" spans="1:31" ht="38.25" hidden="1" x14ac:dyDescent="0.25">
      <c r="A53" s="89" t="s">
        <v>867</v>
      </c>
      <c r="B53" s="89" t="s">
        <v>103</v>
      </c>
      <c r="C53" s="89"/>
      <c r="D53" s="89" t="s">
        <v>608</v>
      </c>
      <c r="E53" s="89" t="s">
        <v>0</v>
      </c>
      <c r="F53" s="89" t="s">
        <v>1541</v>
      </c>
      <c r="G53" s="89" t="s">
        <v>717</v>
      </c>
      <c r="H53" s="89"/>
      <c r="I53" s="9"/>
      <c r="J53" s="9"/>
      <c r="K53" s="9"/>
      <c r="AB53">
        <f t="shared" si="1"/>
        <v>0</v>
      </c>
      <c r="AC53">
        <f t="shared" si="2"/>
        <v>0</v>
      </c>
      <c r="AD53">
        <f t="shared" si="3"/>
        <v>0</v>
      </c>
      <c r="AE53">
        <f t="shared" si="0"/>
        <v>0</v>
      </c>
    </row>
    <row r="54" spans="1:31" customFormat="1" ht="63.75" hidden="1" x14ac:dyDescent="0.25">
      <c r="A54" s="89" t="s">
        <v>867</v>
      </c>
      <c r="B54" s="89" t="s">
        <v>103</v>
      </c>
      <c r="C54" s="89"/>
      <c r="D54" s="89" t="s">
        <v>609</v>
      </c>
      <c r="E54" s="89" t="s">
        <v>0</v>
      </c>
      <c r="F54" s="89" t="s">
        <v>1543</v>
      </c>
      <c r="G54" s="89" t="s">
        <v>719</v>
      </c>
      <c r="H54" s="89"/>
      <c r="I54" s="9"/>
      <c r="J54" s="9"/>
      <c r="K54" s="9"/>
      <c r="AB54">
        <f t="shared" si="1"/>
        <v>0</v>
      </c>
      <c r="AC54">
        <f t="shared" si="2"/>
        <v>0</v>
      </c>
      <c r="AD54">
        <f t="shared" si="3"/>
        <v>0</v>
      </c>
      <c r="AE54">
        <f t="shared" si="0"/>
        <v>0</v>
      </c>
    </row>
    <row r="55" spans="1:31" customFormat="1" ht="102" hidden="1" x14ac:dyDescent="0.25">
      <c r="A55" s="89" t="s">
        <v>867</v>
      </c>
      <c r="B55" s="89" t="s">
        <v>103</v>
      </c>
      <c r="C55" s="89"/>
      <c r="D55" s="89" t="s">
        <v>610</v>
      </c>
      <c r="E55" s="89" t="s">
        <v>0</v>
      </c>
      <c r="F55" s="89" t="s">
        <v>1545</v>
      </c>
      <c r="G55" s="89" t="s">
        <v>1010</v>
      </c>
      <c r="H55" s="89"/>
      <c r="I55" s="9"/>
      <c r="J55" s="9"/>
      <c r="K55" s="9"/>
      <c r="AB55">
        <f t="shared" si="1"/>
        <v>0</v>
      </c>
      <c r="AC55">
        <f t="shared" si="2"/>
        <v>0</v>
      </c>
      <c r="AD55">
        <f t="shared" si="3"/>
        <v>0</v>
      </c>
      <c r="AE55">
        <f t="shared" si="0"/>
        <v>0</v>
      </c>
    </row>
    <row r="56" spans="1:31" customFormat="1" ht="89.25" hidden="1" x14ac:dyDescent="0.25">
      <c r="A56" s="89" t="s">
        <v>867</v>
      </c>
      <c r="B56" s="89" t="s">
        <v>103</v>
      </c>
      <c r="C56" s="89"/>
      <c r="D56" s="89" t="s">
        <v>607</v>
      </c>
      <c r="E56" s="89" t="s">
        <v>0</v>
      </c>
      <c r="F56" s="89" t="s">
        <v>1547</v>
      </c>
      <c r="G56" s="89" t="s">
        <v>1015</v>
      </c>
      <c r="H56" s="89"/>
      <c r="I56" s="9"/>
      <c r="J56" s="9"/>
      <c r="K56" s="9"/>
      <c r="AB56">
        <f t="shared" si="1"/>
        <v>0</v>
      </c>
      <c r="AC56">
        <f t="shared" si="2"/>
        <v>0</v>
      </c>
      <c r="AD56">
        <f t="shared" si="3"/>
        <v>0</v>
      </c>
      <c r="AE56">
        <f t="shared" si="0"/>
        <v>0</v>
      </c>
    </row>
    <row r="57" spans="1:31" customFormat="1" ht="76.5" hidden="1" x14ac:dyDescent="0.25">
      <c r="A57" s="89" t="s">
        <v>868</v>
      </c>
      <c r="B57" s="89" t="s">
        <v>103</v>
      </c>
      <c r="C57" s="89"/>
      <c r="D57" s="89" t="s">
        <v>607</v>
      </c>
      <c r="E57" s="89" t="s">
        <v>8</v>
      </c>
      <c r="F57" s="89" t="s">
        <v>474</v>
      </c>
      <c r="G57" s="89"/>
      <c r="H57" s="89"/>
      <c r="I57" s="9"/>
      <c r="J57" s="9"/>
      <c r="K57" s="9"/>
      <c r="AB57">
        <f t="shared" si="1"/>
        <v>0</v>
      </c>
      <c r="AC57">
        <f t="shared" si="2"/>
        <v>0</v>
      </c>
      <c r="AD57">
        <f t="shared" si="3"/>
        <v>0</v>
      </c>
      <c r="AE57">
        <f t="shared" si="0"/>
        <v>0</v>
      </c>
    </row>
    <row r="58" spans="1:31" customFormat="1" ht="15" x14ac:dyDescent="0.25">
      <c r="A58" s="89" t="s">
        <v>868</v>
      </c>
      <c r="B58" s="89" t="s">
        <v>119</v>
      </c>
      <c r="C58" s="89"/>
      <c r="D58" s="89" t="s">
        <v>612</v>
      </c>
      <c r="E58" s="89" t="s">
        <v>309</v>
      </c>
      <c r="F58" s="89" t="s">
        <v>122</v>
      </c>
      <c r="G58" s="89"/>
      <c r="H58" s="89" t="s">
        <v>616</v>
      </c>
      <c r="I58" s="131" t="s">
        <v>1799</v>
      </c>
      <c r="J58" s="9"/>
      <c r="K58" s="9"/>
      <c r="AB58">
        <f t="shared" si="1"/>
        <v>1</v>
      </c>
      <c r="AC58">
        <f t="shared" si="2"/>
        <v>0</v>
      </c>
      <c r="AD58">
        <f t="shared" si="3"/>
        <v>0</v>
      </c>
      <c r="AE58">
        <f t="shared" si="0"/>
        <v>0</v>
      </c>
    </row>
    <row r="59" spans="1:31" customFormat="1" ht="25.5" hidden="1" x14ac:dyDescent="0.25">
      <c r="A59" s="89" t="s">
        <v>868</v>
      </c>
      <c r="B59" s="89" t="s">
        <v>119</v>
      </c>
      <c r="C59" s="89"/>
      <c r="D59" s="89" t="s">
        <v>601</v>
      </c>
      <c r="E59" s="89" t="s">
        <v>8</v>
      </c>
      <c r="F59" s="89" t="s">
        <v>476</v>
      </c>
      <c r="G59" s="89"/>
      <c r="H59" s="89"/>
      <c r="I59" s="9"/>
      <c r="J59" s="9"/>
      <c r="K59" s="9"/>
      <c r="AB59">
        <f t="shared" si="1"/>
        <v>0</v>
      </c>
      <c r="AC59">
        <f t="shared" si="2"/>
        <v>0</v>
      </c>
      <c r="AD59">
        <f t="shared" si="3"/>
        <v>0</v>
      </c>
      <c r="AE59">
        <f t="shared" si="0"/>
        <v>0</v>
      </c>
    </row>
    <row r="60" spans="1:31" ht="25.5" hidden="1" x14ac:dyDescent="0.25">
      <c r="A60" s="89" t="s">
        <v>868</v>
      </c>
      <c r="B60" s="89" t="s">
        <v>119</v>
      </c>
      <c r="C60" s="89"/>
      <c r="D60" s="89" t="s">
        <v>602</v>
      </c>
      <c r="E60" s="89" t="s">
        <v>8</v>
      </c>
      <c r="F60" s="89" t="s">
        <v>478</v>
      </c>
      <c r="G60" s="89"/>
      <c r="H60" s="89"/>
      <c r="I60" s="9"/>
      <c r="J60" s="9"/>
      <c r="K60" s="9"/>
      <c r="AB60">
        <f t="shared" si="1"/>
        <v>0</v>
      </c>
      <c r="AC60">
        <f t="shared" si="2"/>
        <v>0</v>
      </c>
      <c r="AD60">
        <f t="shared" si="3"/>
        <v>0</v>
      </c>
      <c r="AE60">
        <f t="shared" si="0"/>
        <v>0</v>
      </c>
    </row>
    <row r="61" spans="1:31" customFormat="1" ht="25.5" hidden="1" x14ac:dyDescent="0.25">
      <c r="A61" s="89" t="s">
        <v>868</v>
      </c>
      <c r="B61" s="89" t="s">
        <v>119</v>
      </c>
      <c r="C61" s="89"/>
      <c r="D61" s="89" t="s">
        <v>603</v>
      </c>
      <c r="E61" s="89" t="s">
        <v>8</v>
      </c>
      <c r="F61" s="89" t="s">
        <v>120</v>
      </c>
      <c r="G61" s="89"/>
      <c r="H61" s="89"/>
      <c r="I61" s="9"/>
      <c r="J61" s="9"/>
      <c r="K61" s="9"/>
      <c r="AB61">
        <f t="shared" si="1"/>
        <v>0</v>
      </c>
      <c r="AC61">
        <f t="shared" si="2"/>
        <v>0</v>
      </c>
      <c r="AD61">
        <f t="shared" si="3"/>
        <v>0</v>
      </c>
      <c r="AE61">
        <f t="shared" si="0"/>
        <v>0</v>
      </c>
    </row>
    <row r="62" spans="1:31" s="130" customFormat="1" ht="15" x14ac:dyDescent="0.25">
      <c r="A62" s="89" t="s">
        <v>868</v>
      </c>
      <c r="B62" s="89" t="s">
        <v>123</v>
      </c>
      <c r="C62" s="89"/>
      <c r="D62" s="89" t="s">
        <v>612</v>
      </c>
      <c r="E62" s="89" t="s">
        <v>309</v>
      </c>
      <c r="F62" s="89" t="s">
        <v>129</v>
      </c>
      <c r="G62" s="89"/>
      <c r="H62" s="89" t="s">
        <v>616</v>
      </c>
      <c r="I62" s="131" t="s">
        <v>1799</v>
      </c>
      <c r="J62" s="129"/>
      <c r="K62" s="129"/>
      <c r="AB62" s="130">
        <f t="shared" si="1"/>
        <v>1</v>
      </c>
      <c r="AC62" s="130">
        <f t="shared" si="2"/>
        <v>0</v>
      </c>
      <c r="AD62" s="130">
        <f t="shared" si="3"/>
        <v>0</v>
      </c>
      <c r="AE62" s="130">
        <f t="shared" si="0"/>
        <v>0</v>
      </c>
    </row>
    <row r="63" spans="1:31" ht="15" hidden="1" x14ac:dyDescent="0.25">
      <c r="A63" s="89" t="s">
        <v>868</v>
      </c>
      <c r="B63" s="89" t="s">
        <v>123</v>
      </c>
      <c r="C63" s="89"/>
      <c r="D63" s="89" t="s">
        <v>601</v>
      </c>
      <c r="E63" s="89" t="s">
        <v>8</v>
      </c>
      <c r="F63" s="89" t="s">
        <v>124</v>
      </c>
      <c r="G63" s="89"/>
      <c r="H63" s="89"/>
      <c r="I63" s="9"/>
      <c r="J63" s="9"/>
      <c r="K63" s="9"/>
      <c r="AB63">
        <f t="shared" si="1"/>
        <v>0</v>
      </c>
      <c r="AC63">
        <f t="shared" si="2"/>
        <v>0</v>
      </c>
      <c r="AD63">
        <f t="shared" si="3"/>
        <v>0</v>
      </c>
      <c r="AE63">
        <f t="shared" si="0"/>
        <v>0</v>
      </c>
    </row>
    <row r="64" spans="1:31" customFormat="1" ht="15" hidden="1" x14ac:dyDescent="0.25">
      <c r="A64" s="89" t="s">
        <v>868</v>
      </c>
      <c r="B64" s="89" t="s">
        <v>123</v>
      </c>
      <c r="C64" s="89"/>
      <c r="D64" s="89" t="s">
        <v>602</v>
      </c>
      <c r="E64" s="89" t="s">
        <v>8</v>
      </c>
      <c r="F64" s="89" t="s">
        <v>482</v>
      </c>
      <c r="G64" s="89"/>
      <c r="H64" s="89"/>
      <c r="I64" s="9"/>
      <c r="J64" s="9"/>
      <c r="K64" s="9"/>
      <c r="AB64">
        <f t="shared" si="1"/>
        <v>0</v>
      </c>
      <c r="AC64">
        <f t="shared" si="2"/>
        <v>0</v>
      </c>
      <c r="AD64">
        <f t="shared" si="3"/>
        <v>0</v>
      </c>
      <c r="AE64">
        <f t="shared" si="0"/>
        <v>0</v>
      </c>
    </row>
    <row r="65" spans="1:31" customFormat="1" ht="38.25" hidden="1" x14ac:dyDescent="0.25">
      <c r="A65" s="89" t="s">
        <v>868</v>
      </c>
      <c r="B65" s="89" t="s">
        <v>123</v>
      </c>
      <c r="C65" s="89"/>
      <c r="D65" s="89" t="s">
        <v>604</v>
      </c>
      <c r="E65" s="89" t="s">
        <v>8</v>
      </c>
      <c r="F65" s="89" t="s">
        <v>484</v>
      </c>
      <c r="G65" s="89"/>
      <c r="H65" s="89"/>
      <c r="I65" s="9"/>
      <c r="J65" s="9"/>
      <c r="K65" s="9"/>
      <c r="AB65">
        <f t="shared" si="1"/>
        <v>0</v>
      </c>
      <c r="AC65">
        <f t="shared" si="2"/>
        <v>0</v>
      </c>
      <c r="AD65">
        <f t="shared" si="3"/>
        <v>0</v>
      </c>
      <c r="AE65">
        <f t="shared" si="0"/>
        <v>0</v>
      </c>
    </row>
    <row r="66" spans="1:31" ht="38.25" hidden="1" x14ac:dyDescent="0.25">
      <c r="A66" s="89" t="s">
        <v>868</v>
      </c>
      <c r="B66" s="89" t="s">
        <v>123</v>
      </c>
      <c r="C66" s="89"/>
      <c r="D66" s="89" t="s">
        <v>606</v>
      </c>
      <c r="E66" s="89" t="s">
        <v>8</v>
      </c>
      <c r="F66" s="89" t="s">
        <v>486</v>
      </c>
      <c r="G66" s="89"/>
      <c r="H66" s="89"/>
      <c r="I66" s="9"/>
      <c r="J66" s="9"/>
      <c r="K66" s="9"/>
      <c r="AB66">
        <f t="shared" si="1"/>
        <v>0</v>
      </c>
      <c r="AC66">
        <f t="shared" si="2"/>
        <v>0</v>
      </c>
      <c r="AD66">
        <f t="shared" si="3"/>
        <v>0</v>
      </c>
      <c r="AE66">
        <f t="shared" si="0"/>
        <v>0</v>
      </c>
    </row>
    <row r="67" spans="1:31" customFormat="1" ht="15" x14ac:dyDescent="0.25">
      <c r="A67" s="89" t="s">
        <v>867</v>
      </c>
      <c r="B67" s="89" t="s">
        <v>123</v>
      </c>
      <c r="C67" s="89"/>
      <c r="D67" s="89" t="s">
        <v>612</v>
      </c>
      <c r="E67" s="89" t="s">
        <v>330</v>
      </c>
      <c r="F67" s="89" t="s">
        <v>1020</v>
      </c>
      <c r="G67" s="89"/>
      <c r="H67" s="89" t="s">
        <v>616</v>
      </c>
      <c r="I67" s="131" t="s">
        <v>1799</v>
      </c>
      <c r="J67" s="9"/>
      <c r="K67" s="9"/>
      <c r="AB67">
        <f t="shared" si="1"/>
        <v>1</v>
      </c>
      <c r="AC67">
        <f t="shared" si="2"/>
        <v>0</v>
      </c>
      <c r="AD67">
        <f t="shared" si="3"/>
        <v>0</v>
      </c>
      <c r="AE67">
        <f t="shared" si="0"/>
        <v>0</v>
      </c>
    </row>
    <row r="68" spans="1:31" customFormat="1" ht="76.5" hidden="1" x14ac:dyDescent="0.25">
      <c r="A68" s="89" t="s">
        <v>867</v>
      </c>
      <c r="B68" s="89" t="s">
        <v>123</v>
      </c>
      <c r="C68" s="89"/>
      <c r="D68" s="89" t="s">
        <v>601</v>
      </c>
      <c r="E68" s="89" t="s">
        <v>0</v>
      </c>
      <c r="F68" s="89" t="s">
        <v>1549</v>
      </c>
      <c r="G68" s="89" t="s">
        <v>720</v>
      </c>
      <c r="H68" s="89"/>
      <c r="I68" s="9"/>
      <c r="J68" s="9"/>
      <c r="K68" s="9"/>
      <c r="AB68">
        <f t="shared" si="1"/>
        <v>0</v>
      </c>
      <c r="AC68">
        <f t="shared" si="2"/>
        <v>0</v>
      </c>
      <c r="AD68">
        <f t="shared" si="3"/>
        <v>0</v>
      </c>
      <c r="AE68">
        <f t="shared" si="0"/>
        <v>0</v>
      </c>
    </row>
    <row r="69" spans="1:31" customFormat="1" ht="63.75" hidden="1" x14ac:dyDescent="0.25">
      <c r="A69" s="89" t="s">
        <v>867</v>
      </c>
      <c r="B69" s="89" t="s">
        <v>123</v>
      </c>
      <c r="C69" s="89"/>
      <c r="D69" s="89" t="s">
        <v>602</v>
      </c>
      <c r="E69" s="89" t="s">
        <v>0</v>
      </c>
      <c r="F69" s="89" t="s">
        <v>1551</v>
      </c>
      <c r="G69" s="89" t="s">
        <v>722</v>
      </c>
      <c r="H69" s="89"/>
      <c r="I69" s="9"/>
      <c r="J69" s="9"/>
      <c r="K69" s="9"/>
      <c r="AB69">
        <f t="shared" si="1"/>
        <v>0</v>
      </c>
      <c r="AC69">
        <f t="shared" si="2"/>
        <v>0</v>
      </c>
      <c r="AD69">
        <f t="shared" si="3"/>
        <v>0</v>
      </c>
      <c r="AE69">
        <f t="shared" si="0"/>
        <v>0</v>
      </c>
    </row>
    <row r="70" spans="1:31" customFormat="1" ht="114.75" hidden="1" x14ac:dyDescent="0.25">
      <c r="A70" s="89" t="s">
        <v>867</v>
      </c>
      <c r="B70" s="89" t="s">
        <v>123</v>
      </c>
      <c r="C70" s="89"/>
      <c r="D70" s="89" t="s">
        <v>603</v>
      </c>
      <c r="E70" s="89" t="s">
        <v>0</v>
      </c>
      <c r="F70" s="89" t="s">
        <v>1553</v>
      </c>
      <c r="G70" s="89" t="s">
        <v>723</v>
      </c>
      <c r="H70" s="89"/>
      <c r="I70" s="9"/>
      <c r="J70" s="9"/>
      <c r="K70" s="9"/>
      <c r="AB70">
        <f t="shared" si="1"/>
        <v>0</v>
      </c>
      <c r="AC70">
        <f t="shared" si="2"/>
        <v>0</v>
      </c>
      <c r="AD70">
        <f t="shared" si="3"/>
        <v>0</v>
      </c>
      <c r="AE70">
        <f t="shared" si="0"/>
        <v>0</v>
      </c>
    </row>
    <row r="71" spans="1:31" customFormat="1" ht="76.5" hidden="1" x14ac:dyDescent="0.25">
      <c r="A71" s="89" t="s">
        <v>867</v>
      </c>
      <c r="B71" s="89" t="s">
        <v>123</v>
      </c>
      <c r="C71" s="89"/>
      <c r="D71" s="89" t="s">
        <v>604</v>
      </c>
      <c r="E71" s="89" t="s">
        <v>0</v>
      </c>
      <c r="F71" s="89" t="s">
        <v>1555</v>
      </c>
      <c r="G71" s="89" t="s">
        <v>724</v>
      </c>
      <c r="H71" s="89"/>
      <c r="I71" s="9"/>
      <c r="J71" s="9"/>
      <c r="K71" s="9"/>
      <c r="AB71">
        <f t="shared" si="1"/>
        <v>0</v>
      </c>
      <c r="AC71">
        <f t="shared" si="2"/>
        <v>0</v>
      </c>
      <c r="AD71">
        <f t="shared" si="3"/>
        <v>0</v>
      </c>
      <c r="AE71">
        <f t="shared" si="0"/>
        <v>0</v>
      </c>
    </row>
    <row r="72" spans="1:31" customFormat="1" ht="38.25" hidden="1" x14ac:dyDescent="0.25">
      <c r="A72" s="89" t="s">
        <v>867</v>
      </c>
      <c r="B72" s="89" t="s">
        <v>123</v>
      </c>
      <c r="C72" s="89"/>
      <c r="D72" s="89" t="s">
        <v>605</v>
      </c>
      <c r="E72" s="89" t="s">
        <v>0</v>
      </c>
      <c r="F72" s="89" t="s">
        <v>1557</v>
      </c>
      <c r="G72" s="89" t="s">
        <v>726</v>
      </c>
      <c r="H72" s="89"/>
      <c r="I72" s="9"/>
      <c r="J72" s="9"/>
      <c r="K72" s="9"/>
      <c r="AB72">
        <f t="shared" si="1"/>
        <v>0</v>
      </c>
      <c r="AC72">
        <f t="shared" si="2"/>
        <v>0</v>
      </c>
      <c r="AD72">
        <f t="shared" si="3"/>
        <v>0</v>
      </c>
      <c r="AE72">
        <f t="shared" si="0"/>
        <v>0</v>
      </c>
    </row>
    <row r="73" spans="1:31" ht="242.25" hidden="1" x14ac:dyDescent="0.25">
      <c r="A73" s="89" t="s">
        <v>867</v>
      </c>
      <c r="B73" s="89" t="s">
        <v>123</v>
      </c>
      <c r="C73" s="89"/>
      <c r="D73" s="89" t="s">
        <v>606</v>
      </c>
      <c r="E73" s="89" t="s">
        <v>0</v>
      </c>
      <c r="F73" s="89" t="s">
        <v>1559</v>
      </c>
      <c r="G73" s="89" t="s">
        <v>1039</v>
      </c>
      <c r="H73" s="89"/>
      <c r="I73" s="9"/>
      <c r="J73" s="9"/>
      <c r="K73" s="9"/>
      <c r="AB73">
        <f t="shared" si="1"/>
        <v>0</v>
      </c>
      <c r="AC73">
        <f t="shared" si="2"/>
        <v>0</v>
      </c>
      <c r="AD73">
        <f t="shared" si="3"/>
        <v>0</v>
      </c>
      <c r="AE73">
        <f t="shared" si="0"/>
        <v>0</v>
      </c>
    </row>
    <row r="74" spans="1:31" customFormat="1" ht="127.5" hidden="1" x14ac:dyDescent="0.25">
      <c r="A74" s="89" t="s">
        <v>867</v>
      </c>
      <c r="B74" s="89" t="s">
        <v>123</v>
      </c>
      <c r="C74" s="89"/>
      <c r="D74" s="89" t="s">
        <v>608</v>
      </c>
      <c r="E74" s="89" t="s">
        <v>0</v>
      </c>
      <c r="F74" s="89" t="s">
        <v>1561</v>
      </c>
      <c r="G74" s="89" t="s">
        <v>727</v>
      </c>
      <c r="H74" s="89"/>
      <c r="I74" s="9"/>
      <c r="J74" s="9"/>
      <c r="K74" s="9"/>
      <c r="AB74">
        <f t="shared" si="1"/>
        <v>0</v>
      </c>
      <c r="AC74">
        <f t="shared" si="2"/>
        <v>0</v>
      </c>
      <c r="AD74">
        <f t="shared" si="3"/>
        <v>0</v>
      </c>
      <c r="AE74">
        <f t="shared" si="0"/>
        <v>0</v>
      </c>
    </row>
    <row r="75" spans="1:31" customFormat="1" ht="153" hidden="1" x14ac:dyDescent="0.25">
      <c r="A75" s="89" t="s">
        <v>867</v>
      </c>
      <c r="B75" s="89" t="s">
        <v>123</v>
      </c>
      <c r="C75" s="89"/>
      <c r="D75" s="89" t="s">
        <v>609</v>
      </c>
      <c r="E75" s="89" t="s">
        <v>0</v>
      </c>
      <c r="F75" s="89" t="s">
        <v>1563</v>
      </c>
      <c r="G75" s="89" t="s">
        <v>729</v>
      </c>
      <c r="H75" s="89"/>
      <c r="I75" s="9"/>
      <c r="J75" s="9"/>
      <c r="K75" s="9"/>
      <c r="AB75">
        <f t="shared" si="1"/>
        <v>0</v>
      </c>
      <c r="AC75">
        <f t="shared" si="2"/>
        <v>0</v>
      </c>
      <c r="AD75">
        <f t="shared" si="3"/>
        <v>0</v>
      </c>
      <c r="AE75">
        <f t="shared" si="0"/>
        <v>0</v>
      </c>
    </row>
    <row r="76" spans="1:31" customFormat="1" ht="15" x14ac:dyDescent="0.25">
      <c r="A76" s="89" t="s">
        <v>868</v>
      </c>
      <c r="B76" s="89" t="s">
        <v>137</v>
      </c>
      <c r="C76" s="89"/>
      <c r="D76" s="89" t="s">
        <v>612</v>
      </c>
      <c r="E76" s="89" t="s">
        <v>309</v>
      </c>
      <c r="F76" s="89" t="s">
        <v>142</v>
      </c>
      <c r="G76" s="89"/>
      <c r="H76" s="89" t="s">
        <v>616</v>
      </c>
      <c r="I76" s="129" t="s">
        <v>1800</v>
      </c>
      <c r="J76" s="129"/>
      <c r="K76" s="9"/>
      <c r="AB76">
        <f t="shared" si="1"/>
        <v>1</v>
      </c>
      <c r="AC76">
        <f t="shared" si="2"/>
        <v>0</v>
      </c>
      <c r="AD76">
        <f t="shared" si="3"/>
        <v>0</v>
      </c>
      <c r="AE76">
        <f t="shared" si="0"/>
        <v>0</v>
      </c>
    </row>
    <row r="77" spans="1:31" customFormat="1" ht="25.5" hidden="1" x14ac:dyDescent="0.25">
      <c r="A77" s="89" t="s">
        <v>868</v>
      </c>
      <c r="B77" s="89" t="s">
        <v>137</v>
      </c>
      <c r="C77" s="89"/>
      <c r="D77" s="89" t="s">
        <v>601</v>
      </c>
      <c r="E77" s="89" t="s">
        <v>8</v>
      </c>
      <c r="F77" s="89" t="s">
        <v>496</v>
      </c>
      <c r="G77" s="89"/>
      <c r="H77" s="89"/>
      <c r="I77" s="9"/>
      <c r="J77" s="9"/>
      <c r="K77" s="9"/>
      <c r="AB77">
        <f t="shared" si="1"/>
        <v>0</v>
      </c>
      <c r="AC77">
        <f t="shared" si="2"/>
        <v>0</v>
      </c>
      <c r="AD77">
        <f t="shared" si="3"/>
        <v>0</v>
      </c>
      <c r="AE77">
        <f t="shared" si="0"/>
        <v>0</v>
      </c>
    </row>
    <row r="78" spans="1:31" customFormat="1" ht="15" hidden="1" x14ac:dyDescent="0.25">
      <c r="A78" s="89" t="s">
        <v>868</v>
      </c>
      <c r="B78" s="89" t="s">
        <v>137</v>
      </c>
      <c r="C78" s="89"/>
      <c r="D78" s="89" t="s">
        <v>602</v>
      </c>
      <c r="E78" s="89" t="s">
        <v>8</v>
      </c>
      <c r="F78" s="89" t="s">
        <v>498</v>
      </c>
      <c r="G78" s="89"/>
      <c r="H78" s="89"/>
      <c r="I78" s="9"/>
      <c r="J78" s="9"/>
      <c r="K78" s="9"/>
      <c r="AB78">
        <f t="shared" si="1"/>
        <v>0</v>
      </c>
      <c r="AC78">
        <f t="shared" si="2"/>
        <v>0</v>
      </c>
      <c r="AD78">
        <f t="shared" si="3"/>
        <v>0</v>
      </c>
      <c r="AE78">
        <f t="shared" ref="AE78:AE141" si="4">IF(AND($D78="Question",$H78="Not applicable"),1,0)</f>
        <v>0</v>
      </c>
    </row>
    <row r="79" spans="1:31" ht="25.5" hidden="1" x14ac:dyDescent="0.25">
      <c r="A79" s="89" t="s">
        <v>868</v>
      </c>
      <c r="B79" s="89" t="s">
        <v>137</v>
      </c>
      <c r="C79" s="89"/>
      <c r="D79" s="89" t="s">
        <v>604</v>
      </c>
      <c r="E79" s="89" t="s">
        <v>8</v>
      </c>
      <c r="F79" s="89" t="s">
        <v>138</v>
      </c>
      <c r="G79" s="89"/>
      <c r="H79" s="89"/>
      <c r="I79" s="9"/>
      <c r="J79" s="9"/>
      <c r="K79" s="9"/>
      <c r="AB79">
        <f t="shared" ref="AB79:AB142" si="5">IF(AND($D79="Question",$H79="OK"),1,0)</f>
        <v>0</v>
      </c>
      <c r="AC79">
        <f t="shared" ref="AC79:AC142" si="6">IF(AND($D79="Question",$H79="Not OK"),1,0)</f>
        <v>0</v>
      </c>
      <c r="AD79">
        <f t="shared" ref="AD79:AD142" si="7">IF(AND($D79="Question",$H79=""),1,0)</f>
        <v>0</v>
      </c>
      <c r="AE79">
        <f t="shared" si="4"/>
        <v>0</v>
      </c>
    </row>
    <row r="80" spans="1:31" customFormat="1" ht="38.25" hidden="1" x14ac:dyDescent="0.25">
      <c r="A80" s="89" t="s">
        <v>868</v>
      </c>
      <c r="B80" s="89" t="s">
        <v>137</v>
      </c>
      <c r="C80" s="89"/>
      <c r="D80" s="89" t="s">
        <v>605</v>
      </c>
      <c r="E80" s="89" t="s">
        <v>8</v>
      </c>
      <c r="F80" s="89" t="s">
        <v>503</v>
      </c>
      <c r="G80" s="89"/>
      <c r="H80" s="89"/>
      <c r="I80" s="9"/>
      <c r="J80" s="9"/>
      <c r="K80" s="9"/>
      <c r="AB80">
        <f t="shared" si="5"/>
        <v>0</v>
      </c>
      <c r="AC80">
        <f t="shared" si="6"/>
        <v>0</v>
      </c>
      <c r="AD80">
        <f t="shared" si="7"/>
        <v>0</v>
      </c>
      <c r="AE80">
        <f t="shared" si="4"/>
        <v>0</v>
      </c>
    </row>
    <row r="81" spans="1:31" customFormat="1" ht="15" hidden="1" x14ac:dyDescent="0.25">
      <c r="A81" s="89" t="s">
        <v>868</v>
      </c>
      <c r="B81" s="89" t="s">
        <v>137</v>
      </c>
      <c r="C81" s="89"/>
      <c r="D81" s="89" t="s">
        <v>606</v>
      </c>
      <c r="E81" s="89" t="s">
        <v>8</v>
      </c>
      <c r="F81" s="89" t="s">
        <v>505</v>
      </c>
      <c r="G81" s="89"/>
      <c r="H81" s="89"/>
      <c r="I81" s="9"/>
      <c r="J81" s="9"/>
      <c r="K81" s="9"/>
      <c r="AB81">
        <f t="shared" si="5"/>
        <v>0</v>
      </c>
      <c r="AC81">
        <f t="shared" si="6"/>
        <v>0</v>
      </c>
      <c r="AD81">
        <f t="shared" si="7"/>
        <v>0</v>
      </c>
      <c r="AE81">
        <f t="shared" si="4"/>
        <v>0</v>
      </c>
    </row>
    <row r="82" spans="1:31" customFormat="1" ht="63.75" hidden="1" x14ac:dyDescent="0.25">
      <c r="A82" s="89" t="s">
        <v>868</v>
      </c>
      <c r="B82" s="89" t="s">
        <v>137</v>
      </c>
      <c r="C82" s="89"/>
      <c r="D82" s="89" t="s">
        <v>28</v>
      </c>
      <c r="E82" s="89" t="s">
        <v>8</v>
      </c>
      <c r="F82" s="89" t="s">
        <v>507</v>
      </c>
      <c r="G82" s="89"/>
      <c r="H82" s="89"/>
      <c r="I82" s="9"/>
      <c r="J82" s="9"/>
      <c r="K82" s="9"/>
      <c r="AB82">
        <f t="shared" si="5"/>
        <v>0</v>
      </c>
      <c r="AC82">
        <f t="shared" si="6"/>
        <v>0</v>
      </c>
      <c r="AD82">
        <f t="shared" si="7"/>
        <v>0</v>
      </c>
      <c r="AE82">
        <f t="shared" si="4"/>
        <v>0</v>
      </c>
    </row>
    <row r="83" spans="1:31" customFormat="1" ht="25.5" hidden="1" x14ac:dyDescent="0.25">
      <c r="A83" s="89" t="s">
        <v>868</v>
      </c>
      <c r="B83" s="89" t="s">
        <v>137</v>
      </c>
      <c r="C83" s="89"/>
      <c r="D83" s="89" t="s">
        <v>608</v>
      </c>
      <c r="E83" s="89" t="s">
        <v>8</v>
      </c>
      <c r="F83" s="89" t="s">
        <v>509</v>
      </c>
      <c r="G83" s="89"/>
      <c r="H83" s="89"/>
      <c r="I83" s="9"/>
      <c r="J83" s="9"/>
      <c r="K83" s="9"/>
      <c r="AB83">
        <f t="shared" si="5"/>
        <v>0</v>
      </c>
      <c r="AC83">
        <f t="shared" si="6"/>
        <v>0</v>
      </c>
      <c r="AD83">
        <f t="shared" si="7"/>
        <v>0</v>
      </c>
      <c r="AE83">
        <f t="shared" si="4"/>
        <v>0</v>
      </c>
    </row>
    <row r="84" spans="1:31" customFormat="1" ht="51" hidden="1" x14ac:dyDescent="0.25">
      <c r="A84" s="89" t="s">
        <v>868</v>
      </c>
      <c r="B84" s="89" t="s">
        <v>137</v>
      </c>
      <c r="C84" s="89"/>
      <c r="D84" s="89" t="s">
        <v>609</v>
      </c>
      <c r="E84" s="89" t="s">
        <v>8</v>
      </c>
      <c r="F84" s="89" t="s">
        <v>511</v>
      </c>
      <c r="G84" s="89"/>
      <c r="H84" s="89"/>
      <c r="I84" s="9"/>
      <c r="J84" s="9"/>
      <c r="K84" s="9"/>
      <c r="AB84">
        <f t="shared" si="5"/>
        <v>0</v>
      </c>
      <c r="AC84">
        <f t="shared" si="6"/>
        <v>0</v>
      </c>
      <c r="AD84">
        <f t="shared" si="7"/>
        <v>0</v>
      </c>
      <c r="AE84">
        <f t="shared" si="4"/>
        <v>0</v>
      </c>
    </row>
    <row r="85" spans="1:31" customFormat="1" ht="216.75" hidden="1" x14ac:dyDescent="0.25">
      <c r="A85" s="89" t="s">
        <v>867</v>
      </c>
      <c r="B85" s="89" t="s">
        <v>137</v>
      </c>
      <c r="C85" s="89"/>
      <c r="D85" s="89" t="s">
        <v>601</v>
      </c>
      <c r="E85" s="89" t="s">
        <v>0</v>
      </c>
      <c r="F85" s="89" t="s">
        <v>1739</v>
      </c>
      <c r="G85" s="89" t="s">
        <v>731</v>
      </c>
      <c r="H85" s="89"/>
      <c r="I85" s="9"/>
      <c r="J85" s="9"/>
      <c r="K85" s="9"/>
      <c r="AB85">
        <f t="shared" si="5"/>
        <v>0</v>
      </c>
      <c r="AC85">
        <f t="shared" si="6"/>
        <v>0</v>
      </c>
      <c r="AD85">
        <f t="shared" si="7"/>
        <v>0</v>
      </c>
      <c r="AE85">
        <f t="shared" si="4"/>
        <v>0</v>
      </c>
    </row>
    <row r="86" spans="1:31" customFormat="1" ht="409.5" hidden="1" x14ac:dyDescent="0.25">
      <c r="A86" s="89" t="s">
        <v>867</v>
      </c>
      <c r="B86" s="89" t="s">
        <v>137</v>
      </c>
      <c r="C86" s="89"/>
      <c r="D86" s="89" t="s">
        <v>603</v>
      </c>
      <c r="E86" s="89" t="s">
        <v>0</v>
      </c>
      <c r="F86" s="89" t="s">
        <v>1741</v>
      </c>
      <c r="G86" s="89" t="s">
        <v>732</v>
      </c>
      <c r="H86" s="89"/>
      <c r="I86" s="9"/>
      <c r="J86" s="9"/>
      <c r="K86" s="9"/>
      <c r="AB86">
        <f t="shared" si="5"/>
        <v>0</v>
      </c>
      <c r="AC86">
        <f t="shared" si="6"/>
        <v>0</v>
      </c>
      <c r="AD86">
        <f t="shared" si="7"/>
        <v>0</v>
      </c>
      <c r="AE86">
        <f t="shared" si="4"/>
        <v>0</v>
      </c>
    </row>
    <row r="87" spans="1:31" customFormat="1" ht="76.5" hidden="1" x14ac:dyDescent="0.25">
      <c r="A87" s="89" t="s">
        <v>867</v>
      </c>
      <c r="B87" s="89" t="s">
        <v>137</v>
      </c>
      <c r="C87" s="89"/>
      <c r="D87" s="89" t="s">
        <v>605</v>
      </c>
      <c r="E87" s="89" t="s">
        <v>0</v>
      </c>
      <c r="F87" s="89" t="s">
        <v>1569</v>
      </c>
      <c r="G87" s="89" t="s">
        <v>736</v>
      </c>
      <c r="H87" s="89"/>
      <c r="I87" s="9"/>
      <c r="J87" s="9"/>
      <c r="K87" s="9"/>
      <c r="AB87">
        <f t="shared" si="5"/>
        <v>0</v>
      </c>
      <c r="AC87">
        <f t="shared" si="6"/>
        <v>0</v>
      </c>
      <c r="AD87">
        <f t="shared" si="7"/>
        <v>0</v>
      </c>
      <c r="AE87">
        <f t="shared" si="4"/>
        <v>0</v>
      </c>
    </row>
    <row r="88" spans="1:31" customFormat="1" ht="30" x14ac:dyDescent="0.25">
      <c r="A88" s="89" t="s">
        <v>867</v>
      </c>
      <c r="B88" s="89" t="s">
        <v>137</v>
      </c>
      <c r="C88" s="89"/>
      <c r="D88" s="89" t="s">
        <v>612</v>
      </c>
      <c r="E88" s="89" t="s">
        <v>330</v>
      </c>
      <c r="F88" s="89" t="s">
        <v>1475</v>
      </c>
      <c r="G88" s="89"/>
      <c r="H88" s="89" t="s">
        <v>616</v>
      </c>
      <c r="I88" s="129" t="s">
        <v>1801</v>
      </c>
      <c r="J88" s="129"/>
      <c r="K88" s="9"/>
      <c r="AB88">
        <f t="shared" si="5"/>
        <v>1</v>
      </c>
      <c r="AC88">
        <f t="shared" si="6"/>
        <v>0</v>
      </c>
      <c r="AD88">
        <f t="shared" si="7"/>
        <v>0</v>
      </c>
      <c r="AE88">
        <f t="shared" si="4"/>
        <v>0</v>
      </c>
    </row>
    <row r="89" spans="1:31" ht="140.25" hidden="1" x14ac:dyDescent="0.25">
      <c r="A89" s="89" t="s">
        <v>867</v>
      </c>
      <c r="B89" s="89" t="s">
        <v>137</v>
      </c>
      <c r="C89" s="89"/>
      <c r="D89" s="89" t="s">
        <v>601</v>
      </c>
      <c r="E89" s="89" t="s">
        <v>0</v>
      </c>
      <c r="F89" s="89" t="s">
        <v>1573</v>
      </c>
      <c r="G89" s="89" t="s">
        <v>740</v>
      </c>
      <c r="H89" s="89"/>
      <c r="I89" s="9"/>
      <c r="J89" s="9"/>
      <c r="K89" s="9"/>
      <c r="AB89">
        <f t="shared" si="5"/>
        <v>0</v>
      </c>
      <c r="AC89">
        <f t="shared" si="6"/>
        <v>0</v>
      </c>
      <c r="AD89">
        <f t="shared" si="7"/>
        <v>0</v>
      </c>
      <c r="AE89">
        <f t="shared" si="4"/>
        <v>0</v>
      </c>
    </row>
    <row r="90" spans="1:31" customFormat="1" ht="153" hidden="1" x14ac:dyDescent="0.25">
      <c r="A90" s="89" t="s">
        <v>867</v>
      </c>
      <c r="B90" s="89" t="s">
        <v>137</v>
      </c>
      <c r="C90" s="89"/>
      <c r="D90" s="89" t="s">
        <v>602</v>
      </c>
      <c r="E90" s="89" t="s">
        <v>0</v>
      </c>
      <c r="F90" s="89" t="s">
        <v>1575</v>
      </c>
      <c r="G90" s="89" t="s">
        <v>396</v>
      </c>
      <c r="H90" s="89"/>
      <c r="I90" s="9"/>
      <c r="J90" s="9"/>
      <c r="K90" s="9"/>
      <c r="AB90">
        <f t="shared" si="5"/>
        <v>0</v>
      </c>
      <c r="AC90">
        <f t="shared" si="6"/>
        <v>0</v>
      </c>
      <c r="AD90">
        <f t="shared" si="7"/>
        <v>0</v>
      </c>
      <c r="AE90">
        <f t="shared" si="4"/>
        <v>0</v>
      </c>
    </row>
    <row r="91" spans="1:31" customFormat="1" ht="89.25" hidden="1" x14ac:dyDescent="0.25">
      <c r="A91" s="89" t="s">
        <v>867</v>
      </c>
      <c r="B91" s="89" t="s">
        <v>137</v>
      </c>
      <c r="C91" s="89"/>
      <c r="D91" s="89" t="s">
        <v>603</v>
      </c>
      <c r="E91" s="89" t="s">
        <v>0</v>
      </c>
      <c r="F91" s="89" t="s">
        <v>1577</v>
      </c>
      <c r="G91" s="89" t="s">
        <v>741</v>
      </c>
      <c r="H91" s="89"/>
      <c r="I91" s="9"/>
      <c r="J91" s="9"/>
      <c r="K91" s="9"/>
      <c r="AB91">
        <f t="shared" si="5"/>
        <v>0</v>
      </c>
      <c r="AC91">
        <f t="shared" si="6"/>
        <v>0</v>
      </c>
      <c r="AD91">
        <f t="shared" si="7"/>
        <v>0</v>
      </c>
      <c r="AE91">
        <f t="shared" si="4"/>
        <v>0</v>
      </c>
    </row>
    <row r="92" spans="1:31" customFormat="1" ht="102" hidden="1" x14ac:dyDescent="0.25">
      <c r="A92" s="89" t="s">
        <v>867</v>
      </c>
      <c r="B92" s="89" t="s">
        <v>137</v>
      </c>
      <c r="C92" s="89"/>
      <c r="D92" s="89" t="s">
        <v>604</v>
      </c>
      <c r="E92" s="89" t="s">
        <v>0</v>
      </c>
      <c r="F92" s="89" t="s">
        <v>1579</v>
      </c>
      <c r="G92" s="89" t="s">
        <v>743</v>
      </c>
      <c r="H92" s="89"/>
      <c r="I92" s="9"/>
      <c r="J92" s="9"/>
      <c r="K92" s="9"/>
      <c r="AB92">
        <f t="shared" si="5"/>
        <v>0</v>
      </c>
      <c r="AC92">
        <f t="shared" si="6"/>
        <v>0</v>
      </c>
      <c r="AD92">
        <f t="shared" si="7"/>
        <v>0</v>
      </c>
      <c r="AE92">
        <f t="shared" si="4"/>
        <v>0</v>
      </c>
    </row>
    <row r="93" spans="1:31" customFormat="1" ht="153" hidden="1" x14ac:dyDescent="0.25">
      <c r="A93" s="89" t="s">
        <v>867</v>
      </c>
      <c r="B93" s="89" t="s">
        <v>137</v>
      </c>
      <c r="C93" s="89"/>
      <c r="D93" s="89" t="s">
        <v>605</v>
      </c>
      <c r="E93" s="89" t="s">
        <v>0</v>
      </c>
      <c r="F93" s="89" t="s">
        <v>1581</v>
      </c>
      <c r="G93" s="89" t="s">
        <v>745</v>
      </c>
      <c r="H93" s="89"/>
      <c r="I93" s="9"/>
      <c r="J93" s="9"/>
      <c r="K93" s="9"/>
      <c r="AB93">
        <f t="shared" si="5"/>
        <v>0</v>
      </c>
      <c r="AC93">
        <f t="shared" si="6"/>
        <v>0</v>
      </c>
      <c r="AD93">
        <f t="shared" si="7"/>
        <v>0</v>
      </c>
      <c r="AE93">
        <f t="shared" si="4"/>
        <v>0</v>
      </c>
    </row>
    <row r="94" spans="1:31" customFormat="1" ht="153" hidden="1" x14ac:dyDescent="0.25">
      <c r="A94" s="89" t="s">
        <v>867</v>
      </c>
      <c r="B94" s="89" t="s">
        <v>137</v>
      </c>
      <c r="C94" s="89"/>
      <c r="D94" s="89" t="s">
        <v>606</v>
      </c>
      <c r="E94" s="89" t="s">
        <v>0</v>
      </c>
      <c r="F94" s="89" t="s">
        <v>1583</v>
      </c>
      <c r="G94" s="89" t="s">
        <v>747</v>
      </c>
      <c r="H94" s="89"/>
      <c r="I94" s="9"/>
      <c r="J94" s="9"/>
      <c r="K94" s="9"/>
      <c r="AB94">
        <f t="shared" si="5"/>
        <v>0</v>
      </c>
      <c r="AC94">
        <f t="shared" si="6"/>
        <v>0</v>
      </c>
      <c r="AD94">
        <f t="shared" si="7"/>
        <v>0</v>
      </c>
      <c r="AE94">
        <f t="shared" si="4"/>
        <v>0</v>
      </c>
    </row>
    <row r="95" spans="1:31" customFormat="1" ht="102" hidden="1" x14ac:dyDescent="0.25">
      <c r="A95" s="89" t="s">
        <v>867</v>
      </c>
      <c r="B95" s="89" t="s">
        <v>137</v>
      </c>
      <c r="C95" s="89"/>
      <c r="D95" s="89" t="s">
        <v>608</v>
      </c>
      <c r="E95" s="89" t="s">
        <v>0</v>
      </c>
      <c r="F95" s="89" t="s">
        <v>1743</v>
      </c>
      <c r="G95" s="89" t="s">
        <v>749</v>
      </c>
      <c r="H95" s="89"/>
      <c r="I95" s="9"/>
      <c r="J95" s="9"/>
      <c r="K95" s="9"/>
      <c r="AB95">
        <f t="shared" si="5"/>
        <v>0</v>
      </c>
      <c r="AC95">
        <f t="shared" si="6"/>
        <v>0</v>
      </c>
      <c r="AD95">
        <f t="shared" si="7"/>
        <v>0</v>
      </c>
      <c r="AE95">
        <f t="shared" si="4"/>
        <v>0</v>
      </c>
    </row>
    <row r="96" spans="1:31" customFormat="1" ht="25.5" x14ac:dyDescent="0.25">
      <c r="A96" s="89" t="s">
        <v>868</v>
      </c>
      <c r="B96" s="89" t="s">
        <v>143</v>
      </c>
      <c r="C96" s="89"/>
      <c r="D96" s="89" t="s">
        <v>612</v>
      </c>
      <c r="E96" s="89" t="s">
        <v>309</v>
      </c>
      <c r="F96" s="89" t="s">
        <v>1467</v>
      </c>
      <c r="G96" s="89"/>
      <c r="H96" s="89" t="s">
        <v>619</v>
      </c>
      <c r="I96" s="9" t="s">
        <v>1802</v>
      </c>
      <c r="J96" s="9"/>
      <c r="K96" s="9"/>
      <c r="AB96">
        <f t="shared" si="5"/>
        <v>0</v>
      </c>
      <c r="AC96">
        <f t="shared" si="6"/>
        <v>0</v>
      </c>
      <c r="AD96">
        <f t="shared" si="7"/>
        <v>0</v>
      </c>
      <c r="AE96">
        <f t="shared" si="4"/>
        <v>1</v>
      </c>
    </row>
    <row r="97" spans="1:31" customFormat="1" ht="25.5" hidden="1" x14ac:dyDescent="0.25">
      <c r="A97" s="89" t="s">
        <v>868</v>
      </c>
      <c r="B97" s="89" t="s">
        <v>143</v>
      </c>
      <c r="C97" s="89"/>
      <c r="D97" s="89" t="s">
        <v>601</v>
      </c>
      <c r="E97" s="89" t="s">
        <v>8</v>
      </c>
      <c r="F97" s="89" t="s">
        <v>513</v>
      </c>
      <c r="G97" s="89"/>
      <c r="H97" s="89"/>
      <c r="I97" s="9"/>
      <c r="J97" s="9"/>
      <c r="K97" s="9"/>
      <c r="AB97">
        <f t="shared" si="5"/>
        <v>0</v>
      </c>
      <c r="AC97">
        <f t="shared" si="6"/>
        <v>0</v>
      </c>
      <c r="AD97">
        <f t="shared" si="7"/>
        <v>0</v>
      </c>
      <c r="AE97">
        <f t="shared" si="4"/>
        <v>0</v>
      </c>
    </row>
    <row r="98" spans="1:31" ht="63.75" hidden="1" x14ac:dyDescent="0.25">
      <c r="A98" s="89" t="s">
        <v>868</v>
      </c>
      <c r="B98" s="89" t="s">
        <v>143</v>
      </c>
      <c r="C98" s="89"/>
      <c r="D98" s="89" t="s">
        <v>603</v>
      </c>
      <c r="E98" s="89" t="s">
        <v>8</v>
      </c>
      <c r="F98" s="89" t="s">
        <v>662</v>
      </c>
      <c r="G98" s="89"/>
      <c r="H98" s="89"/>
      <c r="I98" s="9"/>
      <c r="J98" s="9"/>
      <c r="K98" s="9"/>
      <c r="AB98">
        <f t="shared" si="5"/>
        <v>0</v>
      </c>
      <c r="AC98">
        <f t="shared" si="6"/>
        <v>0</v>
      </c>
      <c r="AD98">
        <f t="shared" si="7"/>
        <v>0</v>
      </c>
      <c r="AE98">
        <f t="shared" si="4"/>
        <v>0</v>
      </c>
    </row>
    <row r="99" spans="1:31" customFormat="1" ht="15" hidden="1" x14ac:dyDescent="0.25">
      <c r="A99" s="89" t="s">
        <v>868</v>
      </c>
      <c r="B99" s="89" t="s">
        <v>143</v>
      </c>
      <c r="C99" s="89"/>
      <c r="D99" s="89" t="s">
        <v>604</v>
      </c>
      <c r="E99" s="89" t="s">
        <v>8</v>
      </c>
      <c r="F99" s="89" t="s">
        <v>516</v>
      </c>
      <c r="G99" s="89"/>
      <c r="H99" s="89"/>
      <c r="I99" s="9"/>
      <c r="J99" s="9"/>
      <c r="K99" s="9"/>
      <c r="AB99">
        <f t="shared" si="5"/>
        <v>0</v>
      </c>
      <c r="AC99">
        <f t="shared" si="6"/>
        <v>0</v>
      </c>
      <c r="AD99">
        <f t="shared" si="7"/>
        <v>0</v>
      </c>
      <c r="AE99">
        <f t="shared" si="4"/>
        <v>0</v>
      </c>
    </row>
    <row r="100" spans="1:31" ht="25.5" hidden="1" x14ac:dyDescent="0.25">
      <c r="A100" s="89" t="s">
        <v>868</v>
      </c>
      <c r="B100" s="89" t="s">
        <v>143</v>
      </c>
      <c r="C100" s="89"/>
      <c r="D100" s="89" t="s">
        <v>605</v>
      </c>
      <c r="E100" s="89" t="s">
        <v>8</v>
      </c>
      <c r="F100" s="89" t="s">
        <v>518</v>
      </c>
      <c r="G100" s="89"/>
      <c r="H100" s="89"/>
      <c r="I100" s="9"/>
      <c r="J100" s="9"/>
      <c r="K100" s="9"/>
      <c r="AB100">
        <f t="shared" si="5"/>
        <v>0</v>
      </c>
      <c r="AC100">
        <f t="shared" si="6"/>
        <v>0</v>
      </c>
      <c r="AD100">
        <f t="shared" si="7"/>
        <v>0</v>
      </c>
      <c r="AE100">
        <f t="shared" si="4"/>
        <v>0</v>
      </c>
    </row>
    <row r="101" spans="1:31" customFormat="1" ht="15" hidden="1" x14ac:dyDescent="0.25">
      <c r="A101" s="89" t="s">
        <v>868</v>
      </c>
      <c r="B101" s="89" t="s">
        <v>143</v>
      </c>
      <c r="C101" s="89"/>
      <c r="D101" s="89" t="s">
        <v>606</v>
      </c>
      <c r="E101" s="89" t="s">
        <v>8</v>
      </c>
      <c r="F101" s="89" t="s">
        <v>520</v>
      </c>
      <c r="G101" s="89"/>
      <c r="H101" s="89"/>
      <c r="I101" s="9"/>
      <c r="J101" s="9"/>
      <c r="K101" s="9"/>
      <c r="AB101">
        <f t="shared" si="5"/>
        <v>0</v>
      </c>
      <c r="AC101">
        <f t="shared" si="6"/>
        <v>0</v>
      </c>
      <c r="AD101">
        <f t="shared" si="7"/>
        <v>0</v>
      </c>
      <c r="AE101">
        <f t="shared" si="4"/>
        <v>0</v>
      </c>
    </row>
    <row r="102" spans="1:31" customFormat="1" ht="30" x14ac:dyDescent="0.25">
      <c r="A102" s="89" t="s">
        <v>867</v>
      </c>
      <c r="B102" s="89" t="s">
        <v>143</v>
      </c>
      <c r="C102" s="89"/>
      <c r="D102" s="89" t="s">
        <v>612</v>
      </c>
      <c r="E102" s="89" t="s">
        <v>330</v>
      </c>
      <c r="F102" s="89" t="s">
        <v>400</v>
      </c>
      <c r="G102" s="89"/>
      <c r="H102" s="89" t="s">
        <v>617</v>
      </c>
      <c r="I102" s="9" t="s">
        <v>1803</v>
      </c>
      <c r="J102" s="9"/>
      <c r="K102" s="9"/>
      <c r="AB102">
        <f t="shared" si="5"/>
        <v>0</v>
      </c>
      <c r="AC102">
        <f t="shared" si="6"/>
        <v>1</v>
      </c>
      <c r="AD102">
        <f t="shared" si="7"/>
        <v>0</v>
      </c>
      <c r="AE102">
        <f t="shared" si="4"/>
        <v>0</v>
      </c>
    </row>
    <row r="103" spans="1:31" customFormat="1" ht="267.75" hidden="1" x14ac:dyDescent="0.25">
      <c r="A103" s="89" t="s">
        <v>867</v>
      </c>
      <c r="B103" s="89" t="s">
        <v>143</v>
      </c>
      <c r="C103" s="89"/>
      <c r="D103" s="89" t="s">
        <v>603</v>
      </c>
      <c r="E103" s="89" t="s">
        <v>0</v>
      </c>
      <c r="F103" s="89" t="s">
        <v>1749</v>
      </c>
      <c r="G103" s="89" t="s">
        <v>754</v>
      </c>
      <c r="H103" s="89"/>
      <c r="I103" s="9"/>
      <c r="J103" s="9"/>
      <c r="K103" s="9"/>
      <c r="AB103">
        <f t="shared" si="5"/>
        <v>0</v>
      </c>
      <c r="AC103">
        <f t="shared" si="6"/>
        <v>0</v>
      </c>
      <c r="AD103">
        <f t="shared" si="7"/>
        <v>0</v>
      </c>
      <c r="AE103">
        <f t="shared" si="4"/>
        <v>0</v>
      </c>
    </row>
    <row r="104" spans="1:31" customFormat="1" ht="178.5" hidden="1" x14ac:dyDescent="0.25">
      <c r="A104" s="89" t="s">
        <v>867</v>
      </c>
      <c r="B104" s="89" t="s">
        <v>143</v>
      </c>
      <c r="C104" s="89"/>
      <c r="D104" s="89" t="s">
        <v>604</v>
      </c>
      <c r="E104" s="89" t="s">
        <v>0</v>
      </c>
      <c r="F104" s="89" t="s">
        <v>1751</v>
      </c>
      <c r="G104" s="89" t="s">
        <v>401</v>
      </c>
      <c r="H104" s="89"/>
      <c r="I104" s="9"/>
      <c r="J104" s="9"/>
      <c r="K104" s="9"/>
      <c r="AB104">
        <f t="shared" si="5"/>
        <v>0</v>
      </c>
      <c r="AC104">
        <f t="shared" si="6"/>
        <v>0</v>
      </c>
      <c r="AD104">
        <f t="shared" si="7"/>
        <v>0</v>
      </c>
      <c r="AE104">
        <f t="shared" si="4"/>
        <v>0</v>
      </c>
    </row>
    <row r="105" spans="1:31" customFormat="1" ht="45" x14ac:dyDescent="0.25">
      <c r="A105" s="89" t="s">
        <v>867</v>
      </c>
      <c r="B105" s="89" t="s">
        <v>383</v>
      </c>
      <c r="C105" s="89"/>
      <c r="D105" s="89" t="s">
        <v>612</v>
      </c>
      <c r="E105" s="89" t="s">
        <v>330</v>
      </c>
      <c r="F105" s="89" t="s">
        <v>405</v>
      </c>
      <c r="G105" s="89"/>
      <c r="H105" s="89" t="s">
        <v>616</v>
      </c>
      <c r="I105" s="134" t="s">
        <v>1804</v>
      </c>
      <c r="J105" s="9"/>
      <c r="K105" s="9"/>
      <c r="AB105">
        <f t="shared" si="5"/>
        <v>1</v>
      </c>
      <c r="AC105">
        <f t="shared" si="6"/>
        <v>0</v>
      </c>
      <c r="AD105">
        <f t="shared" si="7"/>
        <v>0</v>
      </c>
      <c r="AE105">
        <f t="shared" si="4"/>
        <v>0</v>
      </c>
    </row>
    <row r="106" spans="1:31" ht="63.75" hidden="1" x14ac:dyDescent="0.25">
      <c r="A106" s="89" t="s">
        <v>867</v>
      </c>
      <c r="B106" s="89" t="s">
        <v>383</v>
      </c>
      <c r="C106" s="89"/>
      <c r="D106" s="89" t="s">
        <v>602</v>
      </c>
      <c r="E106" s="89" t="s">
        <v>0</v>
      </c>
      <c r="F106" s="89" t="s">
        <v>1591</v>
      </c>
      <c r="G106" s="89" t="s">
        <v>759</v>
      </c>
      <c r="H106" s="89"/>
      <c r="I106" s="9"/>
      <c r="J106" s="9"/>
      <c r="K106" s="9"/>
      <c r="AB106">
        <f t="shared" si="5"/>
        <v>0</v>
      </c>
      <c r="AC106">
        <f t="shared" si="6"/>
        <v>0</v>
      </c>
      <c r="AD106">
        <f t="shared" si="7"/>
        <v>0</v>
      </c>
      <c r="AE106">
        <f t="shared" si="4"/>
        <v>0</v>
      </c>
    </row>
    <row r="107" spans="1:31" customFormat="1" ht="102" hidden="1" x14ac:dyDescent="0.25">
      <c r="A107" s="89" t="s">
        <v>867</v>
      </c>
      <c r="B107" s="89" t="s">
        <v>383</v>
      </c>
      <c r="C107" s="89"/>
      <c r="D107" s="89" t="s">
        <v>603</v>
      </c>
      <c r="E107" s="89" t="s">
        <v>0</v>
      </c>
      <c r="F107" s="89" t="s">
        <v>1593</v>
      </c>
      <c r="G107" s="89" t="s">
        <v>1134</v>
      </c>
      <c r="H107" s="89"/>
      <c r="I107" s="9"/>
      <c r="J107" s="9"/>
      <c r="K107" s="9"/>
      <c r="AB107">
        <f t="shared" si="5"/>
        <v>0</v>
      </c>
      <c r="AC107">
        <f t="shared" si="6"/>
        <v>0</v>
      </c>
      <c r="AD107">
        <f t="shared" si="7"/>
        <v>0</v>
      </c>
      <c r="AE107">
        <f t="shared" si="4"/>
        <v>0</v>
      </c>
    </row>
    <row r="108" spans="1:31" customFormat="1" ht="38.25" x14ac:dyDescent="0.25">
      <c r="A108" s="89" t="s">
        <v>868</v>
      </c>
      <c r="B108" s="89" t="s">
        <v>166</v>
      </c>
      <c r="C108" s="89"/>
      <c r="D108" s="89" t="s">
        <v>612</v>
      </c>
      <c r="E108" s="89" t="s">
        <v>309</v>
      </c>
      <c r="F108" s="89" t="s">
        <v>1464</v>
      </c>
      <c r="G108" s="89"/>
      <c r="H108" s="89" t="s">
        <v>616</v>
      </c>
      <c r="I108" s="134" t="s">
        <v>1805</v>
      </c>
      <c r="J108" s="132"/>
      <c r="K108" s="9"/>
      <c r="AB108">
        <f t="shared" si="5"/>
        <v>1</v>
      </c>
      <c r="AC108">
        <f t="shared" si="6"/>
        <v>0</v>
      </c>
      <c r="AD108">
        <f t="shared" si="7"/>
        <v>0</v>
      </c>
      <c r="AE108">
        <f t="shared" si="4"/>
        <v>0</v>
      </c>
    </row>
    <row r="109" spans="1:31" ht="25.5" hidden="1" x14ac:dyDescent="0.25">
      <c r="A109" s="89" t="s">
        <v>868</v>
      </c>
      <c r="B109" s="89" t="s">
        <v>166</v>
      </c>
      <c r="C109" s="89"/>
      <c r="D109" s="89" t="s">
        <v>601</v>
      </c>
      <c r="E109" s="89" t="s">
        <v>8</v>
      </c>
      <c r="F109" s="89" t="s">
        <v>526</v>
      </c>
      <c r="G109" s="89"/>
      <c r="H109" s="89"/>
      <c r="I109" s="9"/>
      <c r="J109" s="9"/>
      <c r="K109" s="9"/>
      <c r="AB109">
        <f t="shared" si="5"/>
        <v>0</v>
      </c>
      <c r="AC109">
        <f t="shared" si="6"/>
        <v>0</v>
      </c>
      <c r="AD109">
        <f t="shared" si="7"/>
        <v>0</v>
      </c>
      <c r="AE109">
        <f t="shared" si="4"/>
        <v>0</v>
      </c>
    </row>
    <row r="110" spans="1:31" customFormat="1" ht="25.5" hidden="1" x14ac:dyDescent="0.25">
      <c r="A110" s="89" t="s">
        <v>868</v>
      </c>
      <c r="B110" s="89" t="s">
        <v>166</v>
      </c>
      <c r="C110" s="89"/>
      <c r="D110" s="89" t="s">
        <v>602</v>
      </c>
      <c r="E110" s="89" t="s">
        <v>8</v>
      </c>
      <c r="F110" s="89" t="s">
        <v>528</v>
      </c>
      <c r="G110" s="89"/>
      <c r="H110" s="89"/>
      <c r="I110" s="9"/>
      <c r="J110" s="9"/>
      <c r="K110" s="9"/>
      <c r="AB110">
        <f t="shared" si="5"/>
        <v>0</v>
      </c>
      <c r="AC110">
        <f t="shared" si="6"/>
        <v>0</v>
      </c>
      <c r="AD110">
        <f t="shared" si="7"/>
        <v>0</v>
      </c>
      <c r="AE110">
        <f t="shared" si="4"/>
        <v>0</v>
      </c>
    </row>
    <row r="111" spans="1:31" ht="15" hidden="1" x14ac:dyDescent="0.25">
      <c r="A111" s="89" t="s">
        <v>868</v>
      </c>
      <c r="B111" s="89" t="s">
        <v>166</v>
      </c>
      <c r="C111" s="89"/>
      <c r="D111" s="89" t="s">
        <v>603</v>
      </c>
      <c r="E111" s="89" t="s">
        <v>8</v>
      </c>
      <c r="F111" s="89" t="s">
        <v>530</v>
      </c>
      <c r="G111" s="89"/>
      <c r="H111" s="89"/>
      <c r="I111" s="9"/>
      <c r="J111" s="9"/>
      <c r="K111" s="9"/>
      <c r="AB111">
        <f t="shared" si="5"/>
        <v>0</v>
      </c>
      <c r="AC111">
        <f t="shared" si="6"/>
        <v>0</v>
      </c>
      <c r="AD111">
        <f t="shared" si="7"/>
        <v>0</v>
      </c>
      <c r="AE111">
        <f t="shared" si="4"/>
        <v>0</v>
      </c>
    </row>
    <row r="112" spans="1:31" customFormat="1" ht="38.25" hidden="1" x14ac:dyDescent="0.25">
      <c r="A112" s="89" t="s">
        <v>868</v>
      </c>
      <c r="B112" s="89" t="s">
        <v>166</v>
      </c>
      <c r="C112" s="89"/>
      <c r="D112" s="89" t="s">
        <v>604</v>
      </c>
      <c r="E112" s="89" t="s">
        <v>8</v>
      </c>
      <c r="F112" s="89" t="s">
        <v>532</v>
      </c>
      <c r="G112" s="89"/>
      <c r="H112" s="89"/>
      <c r="I112" s="9"/>
      <c r="J112" s="9"/>
      <c r="K112" s="9"/>
      <c r="AB112">
        <f t="shared" si="5"/>
        <v>0</v>
      </c>
      <c r="AC112">
        <f t="shared" si="6"/>
        <v>0</v>
      </c>
      <c r="AD112">
        <f t="shared" si="7"/>
        <v>0</v>
      </c>
      <c r="AE112">
        <f t="shared" si="4"/>
        <v>0</v>
      </c>
    </row>
    <row r="113" spans="1:31" customFormat="1" ht="15" hidden="1" x14ac:dyDescent="0.25">
      <c r="A113" s="89" t="s">
        <v>868</v>
      </c>
      <c r="B113" s="89" t="s">
        <v>166</v>
      </c>
      <c r="C113" s="89"/>
      <c r="D113" s="89" t="s">
        <v>605</v>
      </c>
      <c r="E113" s="89" t="s">
        <v>8</v>
      </c>
      <c r="F113" s="89" t="s">
        <v>534</v>
      </c>
      <c r="G113" s="89"/>
      <c r="H113" s="89"/>
      <c r="I113" s="9"/>
      <c r="J113" s="9"/>
      <c r="K113" s="9"/>
      <c r="AB113">
        <f t="shared" si="5"/>
        <v>0</v>
      </c>
      <c r="AC113">
        <f t="shared" si="6"/>
        <v>0</v>
      </c>
      <c r="AD113">
        <f t="shared" si="7"/>
        <v>0</v>
      </c>
      <c r="AE113">
        <f t="shared" si="4"/>
        <v>0</v>
      </c>
    </row>
    <row r="114" spans="1:31" ht="75" x14ac:dyDescent="0.25">
      <c r="A114" s="89" t="s">
        <v>868</v>
      </c>
      <c r="B114" s="89" t="s">
        <v>172</v>
      </c>
      <c r="C114" s="89"/>
      <c r="D114" s="89" t="s">
        <v>612</v>
      </c>
      <c r="E114" s="89" t="s">
        <v>309</v>
      </c>
      <c r="F114" s="89" t="s">
        <v>173</v>
      </c>
      <c r="G114" s="89"/>
      <c r="H114" s="89" t="s">
        <v>616</v>
      </c>
      <c r="I114" s="134" t="s">
        <v>1806</v>
      </c>
      <c r="J114" s="9"/>
      <c r="K114" s="9"/>
      <c r="AB114">
        <f t="shared" si="5"/>
        <v>1</v>
      </c>
      <c r="AC114">
        <f t="shared" si="6"/>
        <v>0</v>
      </c>
      <c r="AD114">
        <f t="shared" si="7"/>
        <v>0</v>
      </c>
      <c r="AE114">
        <f t="shared" si="4"/>
        <v>0</v>
      </c>
    </row>
    <row r="115" spans="1:31" customFormat="1" ht="51" hidden="1" x14ac:dyDescent="0.25">
      <c r="A115" s="89" t="s">
        <v>868</v>
      </c>
      <c r="B115" s="89" t="s">
        <v>172</v>
      </c>
      <c r="C115" s="89"/>
      <c r="D115" s="89" t="s">
        <v>601</v>
      </c>
      <c r="E115" s="89" t="s">
        <v>8</v>
      </c>
      <c r="F115" s="89" t="s">
        <v>536</v>
      </c>
      <c r="G115" s="89"/>
      <c r="H115" s="89"/>
      <c r="I115" s="9"/>
      <c r="J115" s="9"/>
      <c r="K115" s="9"/>
      <c r="AB115">
        <f t="shared" si="5"/>
        <v>0</v>
      </c>
      <c r="AC115">
        <f t="shared" si="6"/>
        <v>0</v>
      </c>
      <c r="AD115">
        <f t="shared" si="7"/>
        <v>0</v>
      </c>
      <c r="AE115">
        <f t="shared" si="4"/>
        <v>0</v>
      </c>
    </row>
    <row r="116" spans="1:31" customFormat="1" ht="25.5" x14ac:dyDescent="0.25">
      <c r="A116" s="89" t="s">
        <v>868</v>
      </c>
      <c r="B116" s="89" t="s">
        <v>176</v>
      </c>
      <c r="C116" s="89"/>
      <c r="D116" s="89" t="s">
        <v>612</v>
      </c>
      <c r="E116" s="89" t="s">
        <v>309</v>
      </c>
      <c r="F116" s="89" t="s">
        <v>182</v>
      </c>
      <c r="G116" s="89"/>
      <c r="H116" s="89" t="s">
        <v>616</v>
      </c>
      <c r="I116" s="9" t="s">
        <v>1807</v>
      </c>
      <c r="J116" s="9"/>
      <c r="K116" s="9"/>
      <c r="AB116">
        <f t="shared" si="5"/>
        <v>1</v>
      </c>
      <c r="AC116">
        <f t="shared" si="6"/>
        <v>0</v>
      </c>
      <c r="AD116">
        <f t="shared" si="7"/>
        <v>0</v>
      </c>
      <c r="AE116">
        <f t="shared" si="4"/>
        <v>0</v>
      </c>
    </row>
    <row r="117" spans="1:31" ht="38.25" hidden="1" x14ac:dyDescent="0.25">
      <c r="A117" s="89" t="s">
        <v>868</v>
      </c>
      <c r="B117" s="89" t="s">
        <v>176</v>
      </c>
      <c r="C117" s="89"/>
      <c r="D117" s="89" t="s">
        <v>601</v>
      </c>
      <c r="E117" s="89" t="s">
        <v>8</v>
      </c>
      <c r="F117" s="89" t="s">
        <v>541</v>
      </c>
      <c r="G117" s="89"/>
      <c r="H117" s="89"/>
      <c r="I117" s="9"/>
      <c r="J117" s="9"/>
      <c r="K117" s="9"/>
      <c r="AB117">
        <f t="shared" si="5"/>
        <v>0</v>
      </c>
      <c r="AC117">
        <f t="shared" si="6"/>
        <v>0</v>
      </c>
      <c r="AD117">
        <f t="shared" si="7"/>
        <v>0</v>
      </c>
      <c r="AE117">
        <f t="shared" si="4"/>
        <v>0</v>
      </c>
    </row>
    <row r="118" spans="1:31" customFormat="1" ht="153" hidden="1" x14ac:dyDescent="0.25">
      <c r="A118" s="89" t="s">
        <v>867</v>
      </c>
      <c r="B118" s="89" t="s">
        <v>176</v>
      </c>
      <c r="C118" s="89"/>
      <c r="D118" s="89" t="s">
        <v>601</v>
      </c>
      <c r="E118" s="89" t="s">
        <v>0</v>
      </c>
      <c r="F118" s="89" t="s">
        <v>1755</v>
      </c>
      <c r="G118" s="89" t="s">
        <v>779</v>
      </c>
      <c r="H118" s="89"/>
      <c r="I118" s="9"/>
      <c r="J118" s="9"/>
      <c r="K118" s="9"/>
      <c r="AB118">
        <f t="shared" si="5"/>
        <v>0</v>
      </c>
      <c r="AC118">
        <f t="shared" si="6"/>
        <v>0</v>
      </c>
      <c r="AD118">
        <f t="shared" si="7"/>
        <v>0</v>
      </c>
      <c r="AE118">
        <f t="shared" si="4"/>
        <v>0</v>
      </c>
    </row>
    <row r="119" spans="1:31" customFormat="1" ht="76.5" hidden="1" x14ac:dyDescent="0.25">
      <c r="A119" s="89" t="s">
        <v>867</v>
      </c>
      <c r="B119" s="89" t="s">
        <v>176</v>
      </c>
      <c r="C119" s="89"/>
      <c r="D119" s="89" t="s">
        <v>602</v>
      </c>
      <c r="E119" s="89" t="s">
        <v>0</v>
      </c>
      <c r="F119" s="89" t="s">
        <v>1620</v>
      </c>
      <c r="G119" s="89" t="s">
        <v>781</v>
      </c>
      <c r="H119" s="89"/>
      <c r="I119" s="9"/>
      <c r="J119" s="9"/>
      <c r="K119" s="9"/>
      <c r="AB119">
        <f t="shared" si="5"/>
        <v>0</v>
      </c>
      <c r="AC119">
        <f t="shared" si="6"/>
        <v>0</v>
      </c>
      <c r="AD119">
        <f t="shared" si="7"/>
        <v>0</v>
      </c>
      <c r="AE119">
        <f t="shared" si="4"/>
        <v>0</v>
      </c>
    </row>
    <row r="120" spans="1:31" customFormat="1" ht="63.75" hidden="1" x14ac:dyDescent="0.25">
      <c r="A120" s="89" t="s">
        <v>867</v>
      </c>
      <c r="B120" s="89" t="s">
        <v>176</v>
      </c>
      <c r="C120" s="89"/>
      <c r="D120" s="89" t="s">
        <v>603</v>
      </c>
      <c r="E120" s="89" t="s">
        <v>0</v>
      </c>
      <c r="F120" s="89" t="s">
        <v>1622</v>
      </c>
      <c r="G120" s="89" t="s">
        <v>783</v>
      </c>
      <c r="H120" s="89"/>
      <c r="I120" s="9"/>
      <c r="J120" s="9"/>
      <c r="K120" s="9"/>
      <c r="AB120">
        <f t="shared" si="5"/>
        <v>0</v>
      </c>
      <c r="AC120">
        <f t="shared" si="6"/>
        <v>0</v>
      </c>
      <c r="AD120">
        <f t="shared" si="7"/>
        <v>0</v>
      </c>
      <c r="AE120">
        <f t="shared" si="4"/>
        <v>0</v>
      </c>
    </row>
    <row r="121" spans="1:31" customFormat="1" ht="76.5" hidden="1" x14ac:dyDescent="0.25">
      <c r="A121" s="89" t="s">
        <v>867</v>
      </c>
      <c r="B121" s="89" t="s">
        <v>176</v>
      </c>
      <c r="C121" s="89"/>
      <c r="D121" s="89" t="s">
        <v>604</v>
      </c>
      <c r="E121" s="89" t="s">
        <v>0</v>
      </c>
      <c r="F121" s="89" t="s">
        <v>1624</v>
      </c>
      <c r="G121" s="89" t="s">
        <v>785</v>
      </c>
      <c r="H121" s="89"/>
      <c r="I121" s="9"/>
      <c r="J121" s="9"/>
      <c r="K121" s="9"/>
      <c r="AB121">
        <f t="shared" si="5"/>
        <v>0</v>
      </c>
      <c r="AC121">
        <f t="shared" si="6"/>
        <v>0</v>
      </c>
      <c r="AD121">
        <f t="shared" si="7"/>
        <v>0</v>
      </c>
      <c r="AE121">
        <f t="shared" si="4"/>
        <v>0</v>
      </c>
    </row>
    <row r="122" spans="1:31" ht="63.75" hidden="1" x14ac:dyDescent="0.25">
      <c r="A122" s="89" t="s">
        <v>867</v>
      </c>
      <c r="B122" s="89" t="s">
        <v>176</v>
      </c>
      <c r="C122" s="89"/>
      <c r="D122" s="89" t="s">
        <v>605</v>
      </c>
      <c r="E122" s="89" t="s">
        <v>0</v>
      </c>
      <c r="F122" s="89" t="s">
        <v>1626</v>
      </c>
      <c r="G122" s="89" t="s">
        <v>787</v>
      </c>
      <c r="H122" s="89"/>
      <c r="I122" s="9"/>
      <c r="J122" s="9"/>
      <c r="K122" s="9"/>
      <c r="AB122">
        <f t="shared" si="5"/>
        <v>0</v>
      </c>
      <c r="AC122">
        <f t="shared" si="6"/>
        <v>0</v>
      </c>
      <c r="AD122">
        <f t="shared" si="7"/>
        <v>0</v>
      </c>
      <c r="AE122">
        <f t="shared" si="4"/>
        <v>0</v>
      </c>
    </row>
    <row r="123" spans="1:31" customFormat="1" ht="51" hidden="1" x14ac:dyDescent="0.25">
      <c r="A123" s="89" t="s">
        <v>867</v>
      </c>
      <c r="B123" s="89" t="s">
        <v>176</v>
      </c>
      <c r="C123" s="89"/>
      <c r="D123" s="89" t="s">
        <v>606</v>
      </c>
      <c r="E123" s="89" t="s">
        <v>0</v>
      </c>
      <c r="F123" s="89" t="s">
        <v>1628</v>
      </c>
      <c r="G123" s="89" t="s">
        <v>789</v>
      </c>
      <c r="H123" s="89"/>
      <c r="I123" s="9"/>
      <c r="J123" s="9"/>
      <c r="K123" s="9"/>
      <c r="AB123">
        <f t="shared" si="5"/>
        <v>0</v>
      </c>
      <c r="AC123">
        <f t="shared" si="6"/>
        <v>0</v>
      </c>
      <c r="AD123">
        <f t="shared" si="7"/>
        <v>0</v>
      </c>
      <c r="AE123">
        <f t="shared" si="4"/>
        <v>0</v>
      </c>
    </row>
    <row r="124" spans="1:31" customFormat="1" ht="76.5" hidden="1" x14ac:dyDescent="0.25">
      <c r="A124" s="89" t="s">
        <v>867</v>
      </c>
      <c r="B124" s="89" t="s">
        <v>176</v>
      </c>
      <c r="C124" s="89"/>
      <c r="D124" s="89" t="s">
        <v>608</v>
      </c>
      <c r="E124" s="89" t="s">
        <v>0</v>
      </c>
      <c r="F124" s="89" t="s">
        <v>1630</v>
      </c>
      <c r="G124" s="89" t="s">
        <v>791</v>
      </c>
      <c r="H124" s="89"/>
      <c r="I124" s="9"/>
      <c r="J124" s="9"/>
      <c r="K124" s="9"/>
      <c r="AB124">
        <f t="shared" si="5"/>
        <v>0</v>
      </c>
      <c r="AC124">
        <f t="shared" si="6"/>
        <v>0</v>
      </c>
      <c r="AD124">
        <f t="shared" si="7"/>
        <v>0</v>
      </c>
      <c r="AE124">
        <f t="shared" si="4"/>
        <v>0</v>
      </c>
    </row>
    <row r="125" spans="1:31" customFormat="1" ht="76.5" hidden="1" x14ac:dyDescent="0.25">
      <c r="A125" s="89" t="s">
        <v>867</v>
      </c>
      <c r="B125" s="89" t="s">
        <v>176</v>
      </c>
      <c r="C125" s="89"/>
      <c r="D125" s="89" t="s">
        <v>609</v>
      </c>
      <c r="E125" s="89" t="s">
        <v>0</v>
      </c>
      <c r="F125" s="89" t="s">
        <v>1632</v>
      </c>
      <c r="G125" s="89" t="s">
        <v>1220</v>
      </c>
      <c r="H125" s="89"/>
      <c r="I125" s="9"/>
      <c r="J125" s="9"/>
      <c r="K125" s="9"/>
      <c r="AB125">
        <f t="shared" si="5"/>
        <v>0</v>
      </c>
      <c r="AC125">
        <f t="shared" si="6"/>
        <v>0</v>
      </c>
      <c r="AD125">
        <f t="shared" si="7"/>
        <v>0</v>
      </c>
      <c r="AE125">
        <f t="shared" si="4"/>
        <v>0</v>
      </c>
    </row>
    <row r="126" spans="1:31" customFormat="1" ht="25.5" hidden="1" x14ac:dyDescent="0.25">
      <c r="A126" s="89" t="s">
        <v>868</v>
      </c>
      <c r="B126" s="89" t="s">
        <v>185</v>
      </c>
      <c r="C126" s="89"/>
      <c r="D126" s="89" t="s">
        <v>601</v>
      </c>
      <c r="E126" s="89" t="s">
        <v>8</v>
      </c>
      <c r="F126" s="89" t="s">
        <v>543</v>
      </c>
      <c r="G126" s="89"/>
      <c r="H126" s="89"/>
      <c r="I126" s="9"/>
      <c r="J126" s="9"/>
      <c r="K126" s="9"/>
      <c r="AB126">
        <f t="shared" si="5"/>
        <v>0</v>
      </c>
      <c r="AC126">
        <f t="shared" si="6"/>
        <v>0</v>
      </c>
      <c r="AD126">
        <f t="shared" si="7"/>
        <v>0</v>
      </c>
      <c r="AE126">
        <f t="shared" si="4"/>
        <v>0</v>
      </c>
    </row>
    <row r="127" spans="1:31" customFormat="1" ht="30" x14ac:dyDescent="0.25">
      <c r="A127" s="89" t="s">
        <v>868</v>
      </c>
      <c r="B127" s="89" t="s">
        <v>202</v>
      </c>
      <c r="C127" s="89"/>
      <c r="D127" s="89" t="s">
        <v>612</v>
      </c>
      <c r="E127" s="89" t="s">
        <v>309</v>
      </c>
      <c r="F127" s="89" t="s">
        <v>1478</v>
      </c>
      <c r="G127" s="89"/>
      <c r="H127" s="89" t="s">
        <v>617</v>
      </c>
      <c r="I127" s="9" t="s">
        <v>1808</v>
      </c>
      <c r="J127" s="9"/>
      <c r="K127" s="9"/>
      <c r="AB127">
        <f t="shared" si="5"/>
        <v>0</v>
      </c>
      <c r="AC127">
        <f t="shared" si="6"/>
        <v>1</v>
      </c>
      <c r="AD127">
        <f t="shared" si="7"/>
        <v>0</v>
      </c>
      <c r="AE127">
        <f t="shared" si="4"/>
        <v>0</v>
      </c>
    </row>
    <row r="128" spans="1:31" customFormat="1" ht="15" hidden="1" x14ac:dyDescent="0.25">
      <c r="A128" s="89" t="s">
        <v>868</v>
      </c>
      <c r="B128" s="89" t="s">
        <v>202</v>
      </c>
      <c r="C128" s="89"/>
      <c r="D128" s="89" t="s">
        <v>601</v>
      </c>
      <c r="E128" s="89" t="s">
        <v>8</v>
      </c>
      <c r="F128" s="89" t="s">
        <v>549</v>
      </c>
      <c r="G128" s="89"/>
      <c r="H128" s="89"/>
      <c r="I128" s="9"/>
      <c r="J128" s="9"/>
      <c r="K128" s="9"/>
      <c r="AB128">
        <f t="shared" si="5"/>
        <v>0</v>
      </c>
      <c r="AC128">
        <f t="shared" si="6"/>
        <v>0</v>
      </c>
      <c r="AD128">
        <f t="shared" si="7"/>
        <v>0</v>
      </c>
      <c r="AE128">
        <f t="shared" si="4"/>
        <v>0</v>
      </c>
    </row>
    <row r="129" spans="1:31" customFormat="1" ht="140.25" hidden="1" x14ac:dyDescent="0.25">
      <c r="A129" s="89" t="s">
        <v>867</v>
      </c>
      <c r="B129" s="89" t="s">
        <v>202</v>
      </c>
      <c r="C129" s="89"/>
      <c r="D129" s="89" t="s">
        <v>601</v>
      </c>
      <c r="E129" s="89" t="s">
        <v>0</v>
      </c>
      <c r="F129" s="89" t="s">
        <v>1648</v>
      </c>
      <c r="G129" s="89" t="s">
        <v>809</v>
      </c>
      <c r="H129" s="89"/>
      <c r="I129" s="9"/>
      <c r="J129" s="9"/>
      <c r="K129" s="9"/>
      <c r="AB129">
        <f t="shared" si="5"/>
        <v>0</v>
      </c>
      <c r="AC129">
        <f t="shared" si="6"/>
        <v>0</v>
      </c>
      <c r="AD129">
        <f t="shared" si="7"/>
        <v>0</v>
      </c>
      <c r="AE129">
        <f t="shared" si="4"/>
        <v>0</v>
      </c>
    </row>
    <row r="130" spans="1:31" customFormat="1" ht="114.75" hidden="1" x14ac:dyDescent="0.25">
      <c r="A130" s="89" t="s">
        <v>867</v>
      </c>
      <c r="B130" s="89" t="s">
        <v>202</v>
      </c>
      <c r="C130" s="89"/>
      <c r="D130" s="89" t="s">
        <v>602</v>
      </c>
      <c r="E130" s="89" t="s">
        <v>0</v>
      </c>
      <c r="F130" s="89" t="s">
        <v>1761</v>
      </c>
      <c r="G130" s="89" t="s">
        <v>810</v>
      </c>
      <c r="H130" s="89"/>
      <c r="I130" s="9"/>
      <c r="J130" s="9"/>
      <c r="K130" s="9"/>
      <c r="AB130">
        <f t="shared" si="5"/>
        <v>0</v>
      </c>
      <c r="AC130">
        <f t="shared" si="6"/>
        <v>0</v>
      </c>
      <c r="AD130">
        <f t="shared" si="7"/>
        <v>0</v>
      </c>
      <c r="AE130">
        <f t="shared" si="4"/>
        <v>0</v>
      </c>
    </row>
    <row r="131" spans="1:31" ht="63.75" hidden="1" x14ac:dyDescent="0.25">
      <c r="A131" s="89" t="s">
        <v>867</v>
      </c>
      <c r="B131" s="89" t="s">
        <v>202</v>
      </c>
      <c r="C131" s="89"/>
      <c r="D131" s="89" t="s">
        <v>603</v>
      </c>
      <c r="E131" s="89" t="s">
        <v>0</v>
      </c>
      <c r="F131" s="89" t="s">
        <v>1650</v>
      </c>
      <c r="G131" s="89" t="s">
        <v>812</v>
      </c>
      <c r="H131" s="89"/>
      <c r="I131" s="9"/>
      <c r="J131" s="9"/>
      <c r="K131" s="9"/>
      <c r="AB131">
        <f t="shared" si="5"/>
        <v>0</v>
      </c>
      <c r="AC131">
        <f t="shared" si="6"/>
        <v>0</v>
      </c>
      <c r="AD131">
        <f t="shared" si="7"/>
        <v>0</v>
      </c>
      <c r="AE131">
        <f t="shared" si="4"/>
        <v>0</v>
      </c>
    </row>
    <row r="132" spans="1:31" customFormat="1" ht="114.75" hidden="1" x14ac:dyDescent="0.25">
      <c r="A132" s="89" t="s">
        <v>867</v>
      </c>
      <c r="B132" s="89" t="s">
        <v>202</v>
      </c>
      <c r="C132" s="89"/>
      <c r="D132" s="89" t="s">
        <v>604</v>
      </c>
      <c r="E132" s="89" t="s">
        <v>0</v>
      </c>
      <c r="F132" s="89" t="s">
        <v>1652</v>
      </c>
      <c r="G132" s="89" t="s">
        <v>813</v>
      </c>
      <c r="H132" s="89"/>
      <c r="I132" s="9"/>
      <c r="J132" s="9"/>
      <c r="K132" s="9"/>
      <c r="AB132">
        <f t="shared" si="5"/>
        <v>0</v>
      </c>
      <c r="AC132">
        <f t="shared" si="6"/>
        <v>0</v>
      </c>
      <c r="AD132">
        <f t="shared" si="7"/>
        <v>0</v>
      </c>
      <c r="AE132">
        <f t="shared" si="4"/>
        <v>0</v>
      </c>
    </row>
    <row r="133" spans="1:31" customFormat="1" ht="45" x14ac:dyDescent="0.25">
      <c r="A133" s="89" t="s">
        <v>867</v>
      </c>
      <c r="B133" s="89" t="s">
        <v>205</v>
      </c>
      <c r="C133" s="89"/>
      <c r="D133" s="89" t="s">
        <v>612</v>
      </c>
      <c r="E133" s="89" t="s">
        <v>330</v>
      </c>
      <c r="F133" s="89" t="s">
        <v>815</v>
      </c>
      <c r="G133" s="89"/>
      <c r="H133" s="89" t="s">
        <v>617</v>
      </c>
      <c r="I133" s="9" t="s">
        <v>1809</v>
      </c>
      <c r="J133" s="9"/>
      <c r="K133" s="9"/>
      <c r="AB133">
        <f t="shared" si="5"/>
        <v>0</v>
      </c>
      <c r="AC133">
        <f t="shared" si="6"/>
        <v>1</v>
      </c>
      <c r="AD133">
        <f t="shared" si="7"/>
        <v>0</v>
      </c>
      <c r="AE133">
        <f t="shared" si="4"/>
        <v>0</v>
      </c>
    </row>
    <row r="134" spans="1:31" customFormat="1" ht="51" hidden="1" x14ac:dyDescent="0.25">
      <c r="A134" s="89" t="s">
        <v>867</v>
      </c>
      <c r="B134" s="89" t="s">
        <v>205</v>
      </c>
      <c r="C134" s="89"/>
      <c r="D134" s="89" t="s">
        <v>602</v>
      </c>
      <c r="E134" s="89" t="s">
        <v>0</v>
      </c>
      <c r="F134" s="89" t="s">
        <v>1654</v>
      </c>
      <c r="G134" s="89" t="s">
        <v>817</v>
      </c>
      <c r="H134" s="89"/>
      <c r="I134" s="9"/>
      <c r="J134" s="9"/>
      <c r="K134" s="9"/>
      <c r="AB134">
        <f t="shared" si="5"/>
        <v>0</v>
      </c>
      <c r="AC134">
        <f t="shared" si="6"/>
        <v>0</v>
      </c>
      <c r="AD134">
        <f t="shared" si="7"/>
        <v>0</v>
      </c>
      <c r="AE134">
        <f t="shared" si="4"/>
        <v>0</v>
      </c>
    </row>
    <row r="135" spans="1:31" customFormat="1" ht="51" hidden="1" x14ac:dyDescent="0.25">
      <c r="A135" s="89" t="s">
        <v>867</v>
      </c>
      <c r="B135" s="89" t="s">
        <v>205</v>
      </c>
      <c r="C135" s="89"/>
      <c r="D135" s="89" t="s">
        <v>603</v>
      </c>
      <c r="E135" s="89" t="s">
        <v>0</v>
      </c>
      <c r="F135" s="89" t="s">
        <v>1656</v>
      </c>
      <c r="G135" s="89" t="s">
        <v>819</v>
      </c>
      <c r="H135" s="89"/>
      <c r="I135" s="9"/>
      <c r="J135" s="9"/>
      <c r="K135" s="9"/>
      <c r="AB135">
        <f t="shared" si="5"/>
        <v>0</v>
      </c>
      <c r="AC135">
        <f t="shared" si="6"/>
        <v>0</v>
      </c>
      <c r="AD135">
        <f t="shared" si="7"/>
        <v>0</v>
      </c>
      <c r="AE135">
        <f t="shared" si="4"/>
        <v>0</v>
      </c>
    </row>
    <row r="136" spans="1:31" ht="30" x14ac:dyDescent="0.25">
      <c r="A136" s="89" t="s">
        <v>867</v>
      </c>
      <c r="B136" s="89" t="s">
        <v>384</v>
      </c>
      <c r="C136" s="89"/>
      <c r="D136" s="89" t="s">
        <v>612</v>
      </c>
      <c r="E136" s="89" t="s">
        <v>330</v>
      </c>
      <c r="F136" s="89" t="s">
        <v>222</v>
      </c>
      <c r="G136" s="89"/>
      <c r="H136" s="89" t="s">
        <v>617</v>
      </c>
      <c r="I136" s="9" t="s">
        <v>1810</v>
      </c>
      <c r="J136" s="9"/>
      <c r="K136" s="9"/>
      <c r="AB136">
        <f t="shared" si="5"/>
        <v>0</v>
      </c>
      <c r="AC136">
        <f t="shared" si="6"/>
        <v>1</v>
      </c>
      <c r="AD136">
        <f t="shared" si="7"/>
        <v>0</v>
      </c>
      <c r="AE136">
        <f t="shared" si="4"/>
        <v>0</v>
      </c>
    </row>
    <row r="137" spans="1:31" ht="153" hidden="1" x14ac:dyDescent="0.25">
      <c r="A137" s="89" t="s">
        <v>867</v>
      </c>
      <c r="B137" s="89" t="s">
        <v>384</v>
      </c>
      <c r="C137" s="89"/>
      <c r="D137" s="89" t="s">
        <v>606</v>
      </c>
      <c r="E137" s="89" t="s">
        <v>0</v>
      </c>
      <c r="F137" s="89" t="s">
        <v>1670</v>
      </c>
      <c r="G137" s="89" t="s">
        <v>1477</v>
      </c>
      <c r="H137" s="89"/>
      <c r="I137" s="9"/>
      <c r="J137" s="9"/>
      <c r="K137" s="9"/>
      <c r="AB137">
        <f t="shared" si="5"/>
        <v>0</v>
      </c>
      <c r="AC137">
        <f t="shared" si="6"/>
        <v>0</v>
      </c>
      <c r="AD137">
        <f t="shared" si="7"/>
        <v>0</v>
      </c>
      <c r="AE137">
        <f t="shared" si="4"/>
        <v>0</v>
      </c>
    </row>
    <row r="138" spans="1:31" ht="102" hidden="1" x14ac:dyDescent="0.25">
      <c r="A138" s="89" t="s">
        <v>867</v>
      </c>
      <c r="B138" s="89" t="s">
        <v>384</v>
      </c>
      <c r="C138" s="89"/>
      <c r="D138" s="89" t="s">
        <v>608</v>
      </c>
      <c r="E138" s="89" t="s">
        <v>0</v>
      </c>
      <c r="F138" s="89" t="s">
        <v>1672</v>
      </c>
      <c r="G138" s="89" t="s">
        <v>833</v>
      </c>
      <c r="H138" s="89"/>
      <c r="I138" s="9"/>
      <c r="J138" s="9"/>
      <c r="K138" s="9"/>
      <c r="AB138">
        <f t="shared" si="5"/>
        <v>0</v>
      </c>
      <c r="AC138">
        <f t="shared" si="6"/>
        <v>0</v>
      </c>
      <c r="AD138">
        <f t="shared" si="7"/>
        <v>0</v>
      </c>
      <c r="AE138">
        <f t="shared" si="4"/>
        <v>0</v>
      </c>
    </row>
    <row r="139" spans="1:31" ht="76.5" hidden="1" x14ac:dyDescent="0.25">
      <c r="A139" s="89" t="s">
        <v>867</v>
      </c>
      <c r="B139" s="89" t="s">
        <v>384</v>
      </c>
      <c r="C139" s="89"/>
      <c r="D139" s="89" t="s">
        <v>609</v>
      </c>
      <c r="E139" s="89" t="s">
        <v>0</v>
      </c>
      <c r="F139" s="89" t="s">
        <v>1674</v>
      </c>
      <c r="G139" s="89" t="s">
        <v>834</v>
      </c>
      <c r="H139" s="89"/>
      <c r="I139" s="9"/>
      <c r="J139" s="9"/>
      <c r="K139" s="9"/>
      <c r="AB139">
        <f t="shared" si="5"/>
        <v>0</v>
      </c>
      <c r="AC139">
        <f t="shared" si="6"/>
        <v>0</v>
      </c>
      <c r="AD139">
        <f t="shared" si="7"/>
        <v>0</v>
      </c>
      <c r="AE139">
        <f t="shared" si="4"/>
        <v>0</v>
      </c>
    </row>
    <row r="140" spans="1:31" ht="25.5" hidden="1" x14ac:dyDescent="0.25">
      <c r="A140" s="89" t="s">
        <v>868</v>
      </c>
      <c r="B140" s="89" t="s">
        <v>219</v>
      </c>
      <c r="C140" s="89"/>
      <c r="D140" s="89" t="s">
        <v>601</v>
      </c>
      <c r="E140" s="89" t="s">
        <v>8</v>
      </c>
      <c r="F140" s="89" t="s">
        <v>575</v>
      </c>
      <c r="G140" s="89"/>
      <c r="H140" s="89"/>
      <c r="I140" s="9"/>
      <c r="J140" s="9"/>
      <c r="K140" s="9"/>
      <c r="AB140">
        <f t="shared" si="5"/>
        <v>0</v>
      </c>
      <c r="AC140">
        <f t="shared" si="6"/>
        <v>0</v>
      </c>
      <c r="AD140">
        <f t="shared" si="7"/>
        <v>0</v>
      </c>
      <c r="AE140">
        <f t="shared" si="4"/>
        <v>0</v>
      </c>
    </row>
    <row r="141" spans="1:31" ht="25.5" x14ac:dyDescent="0.25">
      <c r="A141" s="89" t="s">
        <v>868</v>
      </c>
      <c r="B141" s="89" t="s">
        <v>273</v>
      </c>
      <c r="C141" s="89"/>
      <c r="D141" s="89" t="s">
        <v>612</v>
      </c>
      <c r="E141" s="89" t="s">
        <v>309</v>
      </c>
      <c r="F141" s="89" t="s">
        <v>1460</v>
      </c>
      <c r="G141" s="89"/>
      <c r="H141" s="89" t="s">
        <v>619</v>
      </c>
      <c r="I141" s="9"/>
      <c r="J141" s="9"/>
      <c r="K141" s="9"/>
      <c r="AB141">
        <f t="shared" si="5"/>
        <v>0</v>
      </c>
      <c r="AC141">
        <f t="shared" si="6"/>
        <v>0</v>
      </c>
      <c r="AD141">
        <f t="shared" si="7"/>
        <v>0</v>
      </c>
      <c r="AE141">
        <f t="shared" si="4"/>
        <v>1</v>
      </c>
    </row>
    <row r="142" spans="1:31" ht="25.5" hidden="1" x14ac:dyDescent="0.25">
      <c r="A142" s="89" t="s">
        <v>868</v>
      </c>
      <c r="B142" s="89" t="s">
        <v>273</v>
      </c>
      <c r="C142" s="89"/>
      <c r="D142" s="89" t="s">
        <v>602</v>
      </c>
      <c r="E142" s="89" t="s">
        <v>8</v>
      </c>
      <c r="F142" s="89" t="s">
        <v>577</v>
      </c>
      <c r="G142" s="89"/>
      <c r="H142" s="89"/>
      <c r="I142" s="9"/>
      <c r="J142" s="9"/>
      <c r="K142" s="9"/>
      <c r="AB142">
        <f t="shared" si="5"/>
        <v>0</v>
      </c>
      <c r="AC142">
        <f t="shared" si="6"/>
        <v>0</v>
      </c>
      <c r="AD142">
        <f t="shared" si="7"/>
        <v>0</v>
      </c>
      <c r="AE142">
        <f t="shared" ref="AE142:AE205" si="8">IF(AND($D142="Question",$H142="Not applicable"),1,0)</f>
        <v>0</v>
      </c>
    </row>
    <row r="143" spans="1:31" ht="25.5" hidden="1" x14ac:dyDescent="0.25">
      <c r="A143" s="89" t="s">
        <v>868</v>
      </c>
      <c r="B143" s="89" t="s">
        <v>273</v>
      </c>
      <c r="C143" s="89"/>
      <c r="D143" s="89" t="s">
        <v>603</v>
      </c>
      <c r="E143" s="89" t="s">
        <v>8</v>
      </c>
      <c r="F143" s="89" t="s">
        <v>579</v>
      </c>
      <c r="G143" s="89"/>
      <c r="H143" s="89"/>
      <c r="I143" s="9"/>
      <c r="J143" s="9"/>
      <c r="K143" s="9"/>
      <c r="AB143">
        <f t="shared" ref="AB143:AB206" si="9">IF(AND($D143="Question",$H143="OK"),1,0)</f>
        <v>0</v>
      </c>
      <c r="AC143">
        <f t="shared" ref="AC143:AC206" si="10">IF(AND($D143="Question",$H143="Not OK"),1,0)</f>
        <v>0</v>
      </c>
      <c r="AD143">
        <f t="shared" ref="AD143:AD206" si="11">IF(AND($D143="Question",$H143=""),1,0)</f>
        <v>0</v>
      </c>
      <c r="AE143">
        <f t="shared" si="8"/>
        <v>0</v>
      </c>
    </row>
    <row r="144" spans="1:31" ht="15" x14ac:dyDescent="0.25">
      <c r="A144" s="89" t="s">
        <v>868</v>
      </c>
      <c r="B144" s="89" t="s">
        <v>282</v>
      </c>
      <c r="C144" s="89"/>
      <c r="D144" s="89" t="s">
        <v>612</v>
      </c>
      <c r="E144" s="89" t="s">
        <v>309</v>
      </c>
      <c r="F144" s="89" t="s">
        <v>1485</v>
      </c>
      <c r="G144" s="89"/>
      <c r="H144" s="89" t="s">
        <v>617</v>
      </c>
      <c r="I144" s="9"/>
      <c r="J144" s="9"/>
      <c r="K144" s="9"/>
      <c r="AB144">
        <f t="shared" si="9"/>
        <v>0</v>
      </c>
      <c r="AC144">
        <f t="shared" si="10"/>
        <v>1</v>
      </c>
      <c r="AD144">
        <f t="shared" si="11"/>
        <v>0</v>
      </c>
      <c r="AE144">
        <f t="shared" si="8"/>
        <v>0</v>
      </c>
    </row>
    <row r="145" spans="1:31" ht="25.5" hidden="1" x14ac:dyDescent="0.25">
      <c r="A145" s="89" t="s">
        <v>868</v>
      </c>
      <c r="B145" s="89" t="s">
        <v>282</v>
      </c>
      <c r="C145" s="89"/>
      <c r="D145" s="89" t="s">
        <v>604</v>
      </c>
      <c r="E145" s="89" t="s">
        <v>8</v>
      </c>
      <c r="F145" s="89" t="s">
        <v>585</v>
      </c>
      <c r="G145" s="89"/>
      <c r="H145" s="89"/>
      <c r="I145" s="9"/>
      <c r="J145" s="9"/>
      <c r="K145" s="9"/>
      <c r="AB145">
        <f t="shared" si="9"/>
        <v>0</v>
      </c>
      <c r="AC145">
        <f t="shared" si="10"/>
        <v>0</v>
      </c>
      <c r="AD145">
        <f t="shared" si="11"/>
        <v>0</v>
      </c>
      <c r="AE145">
        <f t="shared" si="8"/>
        <v>0</v>
      </c>
    </row>
    <row r="146" spans="1:31" ht="38.25" hidden="1" x14ac:dyDescent="0.25">
      <c r="A146" s="89" t="s">
        <v>868</v>
      </c>
      <c r="B146" s="89" t="s">
        <v>282</v>
      </c>
      <c r="C146" s="89"/>
      <c r="D146" s="89" t="s">
        <v>605</v>
      </c>
      <c r="E146" s="89" t="s">
        <v>8</v>
      </c>
      <c r="F146" s="89" t="s">
        <v>587</v>
      </c>
      <c r="G146" s="89"/>
      <c r="H146" s="89"/>
      <c r="I146" s="9"/>
      <c r="J146" s="9"/>
      <c r="K146" s="9"/>
      <c r="AB146">
        <f t="shared" si="9"/>
        <v>0</v>
      </c>
      <c r="AC146">
        <f t="shared" si="10"/>
        <v>0</v>
      </c>
      <c r="AD146">
        <f t="shared" si="11"/>
        <v>0</v>
      </c>
      <c r="AE146">
        <f t="shared" si="8"/>
        <v>0</v>
      </c>
    </row>
    <row r="147" spans="1:31" ht="51" hidden="1" x14ac:dyDescent="0.25">
      <c r="A147" s="89" t="s">
        <v>868</v>
      </c>
      <c r="B147" s="89" t="s">
        <v>282</v>
      </c>
      <c r="C147" s="89"/>
      <c r="D147" s="89" t="s">
        <v>606</v>
      </c>
      <c r="E147" s="89" t="s">
        <v>8</v>
      </c>
      <c r="F147" s="89" t="s">
        <v>589</v>
      </c>
      <c r="G147" s="89"/>
      <c r="H147" s="89"/>
      <c r="I147" s="9"/>
      <c r="J147" s="9"/>
      <c r="K147" s="9"/>
      <c r="AB147">
        <f t="shared" si="9"/>
        <v>0</v>
      </c>
      <c r="AC147">
        <f t="shared" si="10"/>
        <v>0</v>
      </c>
      <c r="AD147">
        <f t="shared" si="11"/>
        <v>0</v>
      </c>
      <c r="AE147">
        <f t="shared" si="8"/>
        <v>0</v>
      </c>
    </row>
    <row r="148" spans="1:31" ht="38.25" hidden="1" x14ac:dyDescent="0.25">
      <c r="A148" s="89" t="s">
        <v>868</v>
      </c>
      <c r="B148" s="89" t="s">
        <v>282</v>
      </c>
      <c r="C148" s="89"/>
      <c r="D148" s="89" t="s">
        <v>608</v>
      </c>
      <c r="E148" s="89" t="s">
        <v>8</v>
      </c>
      <c r="F148" s="89" t="s">
        <v>591</v>
      </c>
      <c r="G148" s="89"/>
      <c r="H148" s="89"/>
      <c r="I148" s="9"/>
      <c r="J148" s="9"/>
      <c r="K148" s="9"/>
      <c r="AB148">
        <f t="shared" si="9"/>
        <v>0</v>
      </c>
      <c r="AC148">
        <f t="shared" si="10"/>
        <v>0</v>
      </c>
      <c r="AD148">
        <f t="shared" si="11"/>
        <v>0</v>
      </c>
      <c r="AE148">
        <f t="shared" si="8"/>
        <v>0</v>
      </c>
    </row>
    <row r="149" spans="1:31" ht="15" x14ac:dyDescent="0.25">
      <c r="A149" s="89" t="s">
        <v>867</v>
      </c>
      <c r="B149" s="89" t="s">
        <v>288</v>
      </c>
      <c r="C149" s="89"/>
      <c r="D149" s="89" t="s">
        <v>612</v>
      </c>
      <c r="E149" s="89" t="s">
        <v>309</v>
      </c>
      <c r="F149" s="89" t="s">
        <v>419</v>
      </c>
      <c r="G149" s="89"/>
      <c r="H149" s="89" t="s">
        <v>617</v>
      </c>
      <c r="I149" s="9"/>
      <c r="J149" s="9"/>
      <c r="K149" s="9"/>
      <c r="AB149">
        <f t="shared" si="9"/>
        <v>0</v>
      </c>
      <c r="AC149">
        <f t="shared" si="10"/>
        <v>1</v>
      </c>
      <c r="AD149">
        <f t="shared" si="11"/>
        <v>0</v>
      </c>
      <c r="AE149">
        <f t="shared" si="8"/>
        <v>0</v>
      </c>
    </row>
    <row r="150" spans="1:31" ht="25.5" hidden="1" x14ac:dyDescent="0.25">
      <c r="A150" s="89" t="s">
        <v>868</v>
      </c>
      <c r="B150" s="89" t="s">
        <v>288</v>
      </c>
      <c r="C150" s="89"/>
      <c r="D150" s="89" t="s">
        <v>601</v>
      </c>
      <c r="E150" s="89" t="s">
        <v>8</v>
      </c>
      <c r="F150" s="89" t="s">
        <v>655</v>
      </c>
      <c r="G150" s="89"/>
      <c r="H150" s="89"/>
      <c r="I150" s="9"/>
      <c r="J150" s="9"/>
      <c r="K150" s="9"/>
      <c r="AB150">
        <f t="shared" si="9"/>
        <v>0</v>
      </c>
      <c r="AC150">
        <f t="shared" si="10"/>
        <v>0</v>
      </c>
      <c r="AD150">
        <f t="shared" si="11"/>
        <v>0</v>
      </c>
      <c r="AE150">
        <f t="shared" si="8"/>
        <v>0</v>
      </c>
    </row>
    <row r="151" spans="1:31" ht="102" hidden="1" x14ac:dyDescent="0.25">
      <c r="A151" s="89" t="s">
        <v>867</v>
      </c>
      <c r="B151" s="89" t="s">
        <v>288</v>
      </c>
      <c r="C151" s="89"/>
      <c r="D151" s="89" t="s">
        <v>601</v>
      </c>
      <c r="E151" s="89" t="s">
        <v>0</v>
      </c>
      <c r="F151" s="89" t="s">
        <v>1777</v>
      </c>
      <c r="G151" s="89" t="s">
        <v>857</v>
      </c>
      <c r="H151" s="89"/>
      <c r="I151" s="9"/>
      <c r="J151" s="9"/>
      <c r="K151" s="9"/>
      <c r="AB151">
        <f t="shared" si="9"/>
        <v>0</v>
      </c>
      <c r="AC151">
        <f t="shared" si="10"/>
        <v>0</v>
      </c>
      <c r="AD151">
        <f t="shared" si="11"/>
        <v>0</v>
      </c>
      <c r="AE151">
        <f t="shared" si="8"/>
        <v>0</v>
      </c>
    </row>
    <row r="152" spans="1:31" ht="127.5" hidden="1" x14ac:dyDescent="0.25">
      <c r="A152" s="89" t="s">
        <v>867</v>
      </c>
      <c r="B152" s="89" t="s">
        <v>288</v>
      </c>
      <c r="C152" s="89"/>
      <c r="D152" s="89" t="s">
        <v>602</v>
      </c>
      <c r="E152" s="89" t="s">
        <v>0</v>
      </c>
      <c r="F152" s="89" t="s">
        <v>1706</v>
      </c>
      <c r="G152" s="89" t="s">
        <v>1415</v>
      </c>
      <c r="H152" s="89"/>
      <c r="I152" s="9"/>
      <c r="J152" s="9"/>
      <c r="K152" s="9"/>
      <c r="AB152">
        <f t="shared" si="9"/>
        <v>0</v>
      </c>
      <c r="AC152">
        <f t="shared" si="10"/>
        <v>0</v>
      </c>
      <c r="AD152">
        <f t="shared" si="11"/>
        <v>0</v>
      </c>
      <c r="AE152">
        <f t="shared" si="8"/>
        <v>0</v>
      </c>
    </row>
    <row r="153" spans="1:31" ht="89.25" hidden="1" x14ac:dyDescent="0.25">
      <c r="A153" s="89" t="s">
        <v>867</v>
      </c>
      <c r="B153" s="89" t="s">
        <v>288</v>
      </c>
      <c r="C153" s="89"/>
      <c r="D153" s="89" t="s">
        <v>601</v>
      </c>
      <c r="E153" s="89" t="s">
        <v>0</v>
      </c>
      <c r="F153" s="89" t="s">
        <v>1708</v>
      </c>
      <c r="G153" s="89" t="s">
        <v>858</v>
      </c>
      <c r="H153" s="89"/>
      <c r="I153" s="9"/>
      <c r="J153" s="9"/>
      <c r="K153" s="9"/>
      <c r="AB153">
        <f t="shared" si="9"/>
        <v>0</v>
      </c>
      <c r="AC153">
        <f t="shared" si="10"/>
        <v>0</v>
      </c>
      <c r="AD153">
        <f t="shared" si="11"/>
        <v>0</v>
      </c>
      <c r="AE153">
        <f t="shared" si="8"/>
        <v>0</v>
      </c>
    </row>
    <row r="154" spans="1:31" ht="76.5" hidden="1" x14ac:dyDescent="0.25">
      <c r="A154" s="89" t="s">
        <v>867</v>
      </c>
      <c r="B154" s="89" t="s">
        <v>292</v>
      </c>
      <c r="C154" s="89"/>
      <c r="D154" s="89" t="s">
        <v>601</v>
      </c>
      <c r="E154" s="89" t="s">
        <v>0</v>
      </c>
      <c r="F154" s="89" t="s">
        <v>1775</v>
      </c>
      <c r="G154" s="89" t="s">
        <v>853</v>
      </c>
      <c r="H154" s="89"/>
      <c r="I154" s="9"/>
      <c r="J154" s="9"/>
      <c r="K154" s="9"/>
      <c r="AB154">
        <f t="shared" si="9"/>
        <v>0</v>
      </c>
      <c r="AC154">
        <f t="shared" si="10"/>
        <v>0</v>
      </c>
      <c r="AD154">
        <f t="shared" si="11"/>
        <v>0</v>
      </c>
      <c r="AE154">
        <f t="shared" si="8"/>
        <v>0</v>
      </c>
    </row>
    <row r="155" spans="1:31" ht="76.5" hidden="1" x14ac:dyDescent="0.25">
      <c r="A155" s="89" t="s">
        <v>867</v>
      </c>
      <c r="B155" s="89" t="s">
        <v>292</v>
      </c>
      <c r="C155" s="89"/>
      <c r="D155" s="89" t="s">
        <v>602</v>
      </c>
      <c r="E155" s="89" t="s">
        <v>0</v>
      </c>
      <c r="F155" s="89" t="s">
        <v>1704</v>
      </c>
      <c r="G155" s="89" t="s">
        <v>855</v>
      </c>
      <c r="H155" s="89"/>
      <c r="I155" s="9"/>
      <c r="J155" s="9"/>
      <c r="K155" s="9"/>
      <c r="AB155">
        <f t="shared" si="9"/>
        <v>0</v>
      </c>
      <c r="AC155">
        <f t="shared" si="10"/>
        <v>0</v>
      </c>
      <c r="AD155">
        <f t="shared" si="11"/>
        <v>0</v>
      </c>
      <c r="AE155">
        <f t="shared" si="8"/>
        <v>0</v>
      </c>
    </row>
    <row r="156" spans="1:31" ht="89.25" hidden="1" x14ac:dyDescent="0.25">
      <c r="A156" s="89" t="s">
        <v>867</v>
      </c>
      <c r="B156" s="89" t="s">
        <v>386</v>
      </c>
      <c r="C156" s="89"/>
      <c r="D156" s="89" t="s">
        <v>601</v>
      </c>
      <c r="E156" s="89" t="s">
        <v>0</v>
      </c>
      <c r="F156" s="89" t="s">
        <v>1773</v>
      </c>
      <c r="G156" s="89" t="s">
        <v>1392</v>
      </c>
      <c r="H156" s="89"/>
      <c r="I156" s="9"/>
      <c r="J156" s="9"/>
      <c r="K156" s="9"/>
      <c r="AB156">
        <f t="shared" si="9"/>
        <v>0</v>
      </c>
      <c r="AC156">
        <f t="shared" si="10"/>
        <v>0</v>
      </c>
      <c r="AD156">
        <f t="shared" si="11"/>
        <v>0</v>
      </c>
      <c r="AE156">
        <f t="shared" si="8"/>
        <v>0</v>
      </c>
    </row>
    <row r="157" spans="1:31" ht="102" hidden="1" x14ac:dyDescent="0.25">
      <c r="A157" s="89" t="s">
        <v>867</v>
      </c>
      <c r="B157" s="89" t="s">
        <v>386</v>
      </c>
      <c r="C157" s="89"/>
      <c r="D157" s="89" t="s">
        <v>602</v>
      </c>
      <c r="E157" s="89" t="s">
        <v>0</v>
      </c>
      <c r="F157" s="89" t="s">
        <v>1700</v>
      </c>
      <c r="G157" s="89" t="s">
        <v>849</v>
      </c>
      <c r="H157" s="89"/>
      <c r="I157" s="9"/>
      <c r="J157" s="9"/>
      <c r="K157" s="9"/>
      <c r="AB157">
        <f t="shared" si="9"/>
        <v>0</v>
      </c>
      <c r="AC157">
        <f t="shared" si="10"/>
        <v>0</v>
      </c>
      <c r="AD157">
        <f t="shared" si="11"/>
        <v>0</v>
      </c>
      <c r="AE157">
        <f t="shared" si="8"/>
        <v>0</v>
      </c>
    </row>
    <row r="158" spans="1:31" ht="114.75" hidden="1" x14ac:dyDescent="0.25">
      <c r="A158" s="89" t="s">
        <v>867</v>
      </c>
      <c r="B158" s="89" t="s">
        <v>386</v>
      </c>
      <c r="C158" s="89"/>
      <c r="D158" s="89" t="s">
        <v>603</v>
      </c>
      <c r="E158" s="89" t="s">
        <v>0</v>
      </c>
      <c r="F158" s="89" t="s">
        <v>1702</v>
      </c>
      <c r="G158" s="89" t="s">
        <v>851</v>
      </c>
      <c r="H158" s="89"/>
      <c r="I158" s="9"/>
      <c r="J158" s="9"/>
      <c r="K158" s="9"/>
      <c r="AB158">
        <f t="shared" si="9"/>
        <v>0</v>
      </c>
      <c r="AC158">
        <f t="shared" si="10"/>
        <v>0</v>
      </c>
      <c r="AD158">
        <f t="shared" si="11"/>
        <v>0</v>
      </c>
      <c r="AE158">
        <f t="shared" si="8"/>
        <v>0</v>
      </c>
    </row>
    <row r="159" spans="1:31" ht="45" x14ac:dyDescent="0.25">
      <c r="A159" s="89" t="s">
        <v>868</v>
      </c>
      <c r="B159" s="89" t="s">
        <v>298</v>
      </c>
      <c r="C159" s="89"/>
      <c r="D159" s="89" t="s">
        <v>612</v>
      </c>
      <c r="E159" s="89" t="s">
        <v>309</v>
      </c>
      <c r="F159" s="89" t="s">
        <v>1457</v>
      </c>
      <c r="G159" s="89"/>
      <c r="H159" s="89" t="s">
        <v>616</v>
      </c>
      <c r="I159" s="134" t="s">
        <v>1811</v>
      </c>
      <c r="J159" s="9"/>
      <c r="K159" s="9"/>
      <c r="AB159">
        <f t="shared" si="9"/>
        <v>1</v>
      </c>
      <c r="AC159">
        <f t="shared" si="10"/>
        <v>0</v>
      </c>
      <c r="AD159">
        <f t="shared" si="11"/>
        <v>0</v>
      </c>
      <c r="AE159">
        <f t="shared" si="8"/>
        <v>0</v>
      </c>
    </row>
    <row r="160" spans="1:31" ht="38.25" hidden="1" x14ac:dyDescent="0.25">
      <c r="A160" s="89" t="s">
        <v>868</v>
      </c>
      <c r="B160" s="89" t="s">
        <v>298</v>
      </c>
      <c r="C160" s="89"/>
      <c r="D160" s="89" t="s">
        <v>602</v>
      </c>
      <c r="E160" s="89" t="s">
        <v>8</v>
      </c>
      <c r="F160" s="89" t="s">
        <v>872</v>
      </c>
      <c r="G160" s="89"/>
      <c r="H160" s="89"/>
      <c r="I160" s="9"/>
      <c r="J160" s="9"/>
      <c r="K160" s="9"/>
      <c r="AB160">
        <f t="shared" si="9"/>
        <v>0</v>
      </c>
      <c r="AC160">
        <f t="shared" si="10"/>
        <v>0</v>
      </c>
      <c r="AD160">
        <f t="shared" si="11"/>
        <v>0</v>
      </c>
      <c r="AE160">
        <f t="shared" si="8"/>
        <v>0</v>
      </c>
    </row>
    <row r="161" spans="1:31" ht="51" hidden="1" x14ac:dyDescent="0.25">
      <c r="A161" s="89" t="s">
        <v>868</v>
      </c>
      <c r="B161" s="89" t="s">
        <v>298</v>
      </c>
      <c r="C161" s="89"/>
      <c r="D161" s="89" t="s">
        <v>603</v>
      </c>
      <c r="E161" s="89" t="s">
        <v>8</v>
      </c>
      <c r="F161" s="89" t="s">
        <v>594</v>
      </c>
      <c r="G161" s="89"/>
      <c r="H161" s="89"/>
      <c r="I161" s="9"/>
      <c r="J161" s="9"/>
      <c r="K161" s="9"/>
      <c r="AB161">
        <f t="shared" si="9"/>
        <v>0</v>
      </c>
      <c r="AC161">
        <f t="shared" si="10"/>
        <v>0</v>
      </c>
      <c r="AD161">
        <f t="shared" si="11"/>
        <v>0</v>
      </c>
      <c r="AE161">
        <f t="shared" si="8"/>
        <v>0</v>
      </c>
    </row>
    <row r="162" spans="1:31" ht="76.5" hidden="1" x14ac:dyDescent="0.25">
      <c r="A162" s="89" t="s">
        <v>868</v>
      </c>
      <c r="B162" s="89" t="s">
        <v>298</v>
      </c>
      <c r="C162" s="89"/>
      <c r="D162" s="89" t="s">
        <v>604</v>
      </c>
      <c r="E162" s="89" t="s">
        <v>8</v>
      </c>
      <c r="F162" s="89" t="s">
        <v>598</v>
      </c>
      <c r="G162" s="89"/>
      <c r="H162" s="89"/>
      <c r="I162" s="9"/>
      <c r="J162" s="9"/>
      <c r="K162" s="9"/>
      <c r="AB162">
        <f t="shared" si="9"/>
        <v>0</v>
      </c>
      <c r="AC162">
        <f t="shared" si="10"/>
        <v>0</v>
      </c>
      <c r="AD162">
        <f t="shared" si="11"/>
        <v>0</v>
      </c>
      <c r="AE162">
        <f t="shared" si="8"/>
        <v>0</v>
      </c>
    </row>
    <row r="163" spans="1:31" ht="15" hidden="1" x14ac:dyDescent="0.25">
      <c r="A163" s="89" t="s">
        <v>868</v>
      </c>
      <c r="B163" s="89" t="s">
        <v>298</v>
      </c>
      <c r="C163" s="89"/>
      <c r="D163" s="89" t="s">
        <v>606</v>
      </c>
      <c r="E163" s="89" t="s">
        <v>8</v>
      </c>
      <c r="F163" s="89" t="s">
        <v>600</v>
      </c>
      <c r="G163" s="89"/>
      <c r="H163" s="89"/>
      <c r="I163" s="9"/>
      <c r="J163" s="9"/>
      <c r="K163" s="9"/>
      <c r="AB163">
        <f t="shared" si="9"/>
        <v>0</v>
      </c>
      <c r="AC163">
        <f t="shared" si="10"/>
        <v>0</v>
      </c>
      <c r="AD163">
        <f t="shared" si="11"/>
        <v>0</v>
      </c>
      <c r="AE163">
        <f t="shared" si="8"/>
        <v>0</v>
      </c>
    </row>
    <row r="164" spans="1:31" ht="63.75" hidden="1" x14ac:dyDescent="0.25">
      <c r="A164" s="89" t="s">
        <v>867</v>
      </c>
      <c r="B164" s="89" t="s">
        <v>298</v>
      </c>
      <c r="C164" s="89"/>
      <c r="D164" s="89" t="s">
        <v>601</v>
      </c>
      <c r="E164" s="89" t="s">
        <v>0</v>
      </c>
      <c r="F164" s="89" t="s">
        <v>1783</v>
      </c>
      <c r="G164" s="89" t="s">
        <v>421</v>
      </c>
      <c r="H164" s="89"/>
      <c r="I164" s="9"/>
      <c r="J164" s="9"/>
      <c r="K164" s="9"/>
      <c r="AB164">
        <f t="shared" si="9"/>
        <v>0</v>
      </c>
      <c r="AC164">
        <f t="shared" si="10"/>
        <v>0</v>
      </c>
      <c r="AD164">
        <f t="shared" si="11"/>
        <v>0</v>
      </c>
      <c r="AE164">
        <f t="shared" si="8"/>
        <v>0</v>
      </c>
    </row>
    <row r="165" spans="1:31" ht="15" x14ac:dyDescent="0.25">
      <c r="A165" s="89"/>
      <c r="B165" s="89"/>
      <c r="C165" s="89"/>
      <c r="D165" s="89"/>
      <c r="E165" s="89"/>
      <c r="F165" s="89"/>
      <c r="G165" s="89"/>
      <c r="H165" s="89"/>
      <c r="I165" s="9"/>
      <c r="J165" s="9"/>
      <c r="K165" s="9"/>
      <c r="AB165">
        <f t="shared" si="9"/>
        <v>0</v>
      </c>
      <c r="AC165">
        <f t="shared" si="10"/>
        <v>0</v>
      </c>
      <c r="AD165">
        <f t="shared" si="11"/>
        <v>0</v>
      </c>
      <c r="AE165">
        <f t="shared" si="8"/>
        <v>0</v>
      </c>
    </row>
    <row r="166" spans="1:31" ht="15" x14ac:dyDescent="0.25">
      <c r="A166" s="89"/>
      <c r="B166" s="89"/>
      <c r="C166" s="89"/>
      <c r="D166" s="89"/>
      <c r="E166" s="89"/>
      <c r="F166" s="89"/>
      <c r="G166" s="89"/>
      <c r="H166" s="89"/>
      <c r="I166" s="9"/>
      <c r="J166" s="9"/>
      <c r="K166" s="9"/>
      <c r="AB166">
        <f t="shared" si="9"/>
        <v>0</v>
      </c>
      <c r="AC166">
        <f t="shared" si="10"/>
        <v>0</v>
      </c>
      <c r="AD166">
        <f t="shared" si="11"/>
        <v>0</v>
      </c>
      <c r="AE166">
        <f t="shared" si="8"/>
        <v>0</v>
      </c>
    </row>
    <row r="167" spans="1:31" ht="15" x14ac:dyDescent="0.25">
      <c r="A167" s="89"/>
      <c r="B167" s="89"/>
      <c r="C167" s="89"/>
      <c r="D167" s="89"/>
      <c r="E167" s="89"/>
      <c r="F167" s="89"/>
      <c r="G167" s="89"/>
      <c r="H167" s="89"/>
      <c r="I167" s="9"/>
      <c r="J167" s="9"/>
      <c r="K167" s="9"/>
      <c r="AB167">
        <f t="shared" si="9"/>
        <v>0</v>
      </c>
      <c r="AC167">
        <f t="shared" si="10"/>
        <v>0</v>
      </c>
      <c r="AD167">
        <f t="shared" si="11"/>
        <v>0</v>
      </c>
      <c r="AE167">
        <f t="shared" si="8"/>
        <v>0</v>
      </c>
    </row>
    <row r="168" spans="1:31" ht="15" x14ac:dyDescent="0.25">
      <c r="A168" s="89"/>
      <c r="B168" s="89"/>
      <c r="C168" s="89"/>
      <c r="D168" s="89"/>
      <c r="E168" s="89"/>
      <c r="F168" s="89"/>
      <c r="G168" s="89"/>
      <c r="H168" s="89"/>
      <c r="I168" s="9"/>
      <c r="J168" s="9"/>
      <c r="K168" s="9"/>
      <c r="AB168">
        <f t="shared" si="9"/>
        <v>0</v>
      </c>
      <c r="AC168">
        <f t="shared" si="10"/>
        <v>0</v>
      </c>
      <c r="AD168">
        <f t="shared" si="11"/>
        <v>0</v>
      </c>
      <c r="AE168">
        <f t="shared" si="8"/>
        <v>0</v>
      </c>
    </row>
    <row r="169" spans="1:31" ht="15" x14ac:dyDescent="0.25">
      <c r="A169" s="89"/>
      <c r="B169" s="89"/>
      <c r="C169" s="89"/>
      <c r="D169" s="89"/>
      <c r="E169" s="89"/>
      <c r="F169" s="89"/>
      <c r="G169" s="89"/>
      <c r="H169" s="89"/>
      <c r="I169" s="9"/>
      <c r="J169" s="9"/>
      <c r="K169" s="9"/>
      <c r="AB169">
        <f t="shared" si="9"/>
        <v>0</v>
      </c>
      <c r="AC169">
        <f t="shared" si="10"/>
        <v>0</v>
      </c>
      <c r="AD169">
        <f t="shared" si="11"/>
        <v>0</v>
      </c>
      <c r="AE169">
        <f t="shared" si="8"/>
        <v>0</v>
      </c>
    </row>
    <row r="170" spans="1:31" ht="15" x14ac:dyDescent="0.25">
      <c r="A170" s="89"/>
      <c r="B170" s="89"/>
      <c r="C170" s="89"/>
      <c r="D170" s="89"/>
      <c r="E170" s="89"/>
      <c r="F170" s="89"/>
      <c r="G170" s="89"/>
      <c r="H170" s="89"/>
      <c r="I170" s="9"/>
      <c r="J170" s="9"/>
      <c r="K170" s="9"/>
      <c r="AB170">
        <f t="shared" si="9"/>
        <v>0</v>
      </c>
      <c r="AC170">
        <f t="shared" si="10"/>
        <v>0</v>
      </c>
      <c r="AD170">
        <f t="shared" si="11"/>
        <v>0</v>
      </c>
      <c r="AE170">
        <f t="shared" si="8"/>
        <v>0</v>
      </c>
    </row>
    <row r="171" spans="1:31" ht="15" x14ac:dyDescent="0.25">
      <c r="A171" s="89"/>
      <c r="B171" s="89"/>
      <c r="C171" s="89"/>
      <c r="D171" s="89"/>
      <c r="E171" s="89"/>
      <c r="F171" s="89"/>
      <c r="G171" s="89"/>
      <c r="H171" s="89"/>
      <c r="I171" s="9"/>
      <c r="J171" s="9"/>
      <c r="K171" s="9"/>
      <c r="AB171">
        <f t="shared" si="9"/>
        <v>0</v>
      </c>
      <c r="AC171">
        <f t="shared" si="10"/>
        <v>0</v>
      </c>
      <c r="AD171">
        <f t="shared" si="11"/>
        <v>0</v>
      </c>
      <c r="AE171">
        <f t="shared" si="8"/>
        <v>0</v>
      </c>
    </row>
    <row r="172" spans="1:31" ht="15" x14ac:dyDescent="0.25">
      <c r="A172" s="89"/>
      <c r="B172" s="89"/>
      <c r="C172" s="89"/>
      <c r="D172" s="89"/>
      <c r="E172" s="89"/>
      <c r="F172" s="89"/>
      <c r="G172" s="89"/>
      <c r="H172" s="89"/>
      <c r="I172" s="9"/>
      <c r="J172" s="9"/>
      <c r="K172" s="9"/>
      <c r="AB172">
        <f t="shared" si="9"/>
        <v>0</v>
      </c>
      <c r="AC172">
        <f t="shared" si="10"/>
        <v>0</v>
      </c>
      <c r="AD172">
        <f t="shared" si="11"/>
        <v>0</v>
      </c>
      <c r="AE172">
        <f t="shared" si="8"/>
        <v>0</v>
      </c>
    </row>
    <row r="173" spans="1:31" ht="15" x14ac:dyDescent="0.25">
      <c r="A173" s="89"/>
      <c r="B173" s="89"/>
      <c r="C173" s="89"/>
      <c r="D173" s="89"/>
      <c r="E173" s="89"/>
      <c r="F173" s="89"/>
      <c r="G173" s="89"/>
      <c r="H173" s="89"/>
      <c r="I173" s="9"/>
      <c r="J173" s="9"/>
      <c r="K173" s="9"/>
      <c r="AB173">
        <f t="shared" si="9"/>
        <v>0</v>
      </c>
      <c r="AC173">
        <f t="shared" si="10"/>
        <v>0</v>
      </c>
      <c r="AD173">
        <f t="shared" si="11"/>
        <v>0</v>
      </c>
      <c r="AE173">
        <f t="shared" si="8"/>
        <v>0</v>
      </c>
    </row>
    <row r="174" spans="1:31" ht="15" x14ac:dyDescent="0.25">
      <c r="A174" s="89"/>
      <c r="B174" s="89"/>
      <c r="C174" s="89"/>
      <c r="D174" s="89"/>
      <c r="E174" s="89"/>
      <c r="F174" s="89"/>
      <c r="G174" s="89"/>
      <c r="H174" s="89"/>
      <c r="I174" s="9"/>
      <c r="J174" s="9"/>
      <c r="K174" s="9"/>
      <c r="AB174">
        <f t="shared" si="9"/>
        <v>0</v>
      </c>
      <c r="AC174">
        <f t="shared" si="10"/>
        <v>0</v>
      </c>
      <c r="AD174">
        <f t="shared" si="11"/>
        <v>0</v>
      </c>
      <c r="AE174">
        <f t="shared" si="8"/>
        <v>0</v>
      </c>
    </row>
    <row r="175" spans="1:31" ht="15" x14ac:dyDescent="0.25">
      <c r="A175" s="89"/>
      <c r="B175" s="89"/>
      <c r="C175" s="89"/>
      <c r="D175" s="89"/>
      <c r="E175" s="89"/>
      <c r="F175" s="89"/>
      <c r="G175" s="89"/>
      <c r="H175" s="89"/>
      <c r="I175" s="9"/>
      <c r="J175" s="9"/>
      <c r="K175" s="9"/>
      <c r="AB175">
        <f t="shared" si="9"/>
        <v>0</v>
      </c>
      <c r="AC175">
        <f t="shared" si="10"/>
        <v>0</v>
      </c>
      <c r="AD175">
        <f t="shared" si="11"/>
        <v>0</v>
      </c>
      <c r="AE175">
        <f t="shared" si="8"/>
        <v>0</v>
      </c>
    </row>
    <row r="176" spans="1:31" ht="15" x14ac:dyDescent="0.25">
      <c r="A176" s="89"/>
      <c r="B176" s="89"/>
      <c r="C176" s="89"/>
      <c r="D176" s="89"/>
      <c r="E176" s="89"/>
      <c r="F176" s="89"/>
      <c r="G176" s="89"/>
      <c r="H176" s="89"/>
      <c r="I176" s="9"/>
      <c r="J176" s="9"/>
      <c r="K176" s="9"/>
      <c r="AB176">
        <f t="shared" si="9"/>
        <v>0</v>
      </c>
      <c r="AC176">
        <f t="shared" si="10"/>
        <v>0</v>
      </c>
      <c r="AD176">
        <f t="shared" si="11"/>
        <v>0</v>
      </c>
      <c r="AE176">
        <f t="shared" si="8"/>
        <v>0</v>
      </c>
    </row>
    <row r="177" spans="1:31" ht="15" x14ac:dyDescent="0.25">
      <c r="A177" s="89"/>
      <c r="B177" s="89"/>
      <c r="C177" s="89"/>
      <c r="D177" s="89"/>
      <c r="E177" s="89"/>
      <c r="F177" s="89"/>
      <c r="G177" s="89"/>
      <c r="H177" s="89"/>
      <c r="I177" s="9"/>
      <c r="J177" s="9"/>
      <c r="K177" s="9"/>
      <c r="AB177">
        <f t="shared" si="9"/>
        <v>0</v>
      </c>
      <c r="AC177">
        <f t="shared" si="10"/>
        <v>0</v>
      </c>
      <c r="AD177">
        <f t="shared" si="11"/>
        <v>0</v>
      </c>
      <c r="AE177">
        <f t="shared" si="8"/>
        <v>0</v>
      </c>
    </row>
    <row r="178" spans="1:31" ht="15" x14ac:dyDescent="0.25">
      <c r="A178" s="89"/>
      <c r="B178" s="89"/>
      <c r="C178" s="89"/>
      <c r="D178" s="89"/>
      <c r="E178" s="89"/>
      <c r="F178" s="89"/>
      <c r="G178" s="89"/>
      <c r="H178" s="89"/>
      <c r="I178" s="9"/>
      <c r="J178" s="9"/>
      <c r="K178" s="9"/>
      <c r="AB178">
        <f t="shared" si="9"/>
        <v>0</v>
      </c>
      <c r="AC178">
        <f t="shared" si="10"/>
        <v>0</v>
      </c>
      <c r="AD178">
        <f t="shared" si="11"/>
        <v>0</v>
      </c>
      <c r="AE178">
        <f t="shared" si="8"/>
        <v>0</v>
      </c>
    </row>
    <row r="179" spans="1:31" ht="15" x14ac:dyDescent="0.25">
      <c r="A179" s="89"/>
      <c r="B179" s="89"/>
      <c r="C179" s="89"/>
      <c r="D179" s="89"/>
      <c r="E179" s="89"/>
      <c r="F179" s="89"/>
      <c r="G179" s="89"/>
      <c r="H179" s="89"/>
      <c r="I179" s="9"/>
      <c r="J179" s="9"/>
      <c r="K179" s="9"/>
      <c r="AB179">
        <f t="shared" si="9"/>
        <v>0</v>
      </c>
      <c r="AC179">
        <f t="shared" si="10"/>
        <v>0</v>
      </c>
      <c r="AD179">
        <f t="shared" si="11"/>
        <v>0</v>
      </c>
      <c r="AE179">
        <f t="shared" si="8"/>
        <v>0</v>
      </c>
    </row>
    <row r="180" spans="1:31" ht="15" x14ac:dyDescent="0.25">
      <c r="A180" s="89"/>
      <c r="B180" s="89"/>
      <c r="C180" s="89"/>
      <c r="D180" s="89"/>
      <c r="E180" s="89"/>
      <c r="F180" s="89"/>
      <c r="G180" s="89"/>
      <c r="H180" s="89"/>
      <c r="I180" s="9"/>
      <c r="J180" s="9"/>
      <c r="K180" s="9"/>
      <c r="AB180">
        <f t="shared" si="9"/>
        <v>0</v>
      </c>
      <c r="AC180">
        <f t="shared" si="10"/>
        <v>0</v>
      </c>
      <c r="AD180">
        <f t="shared" si="11"/>
        <v>0</v>
      </c>
      <c r="AE180">
        <f t="shared" si="8"/>
        <v>0</v>
      </c>
    </row>
    <row r="181" spans="1:31" ht="15" x14ac:dyDescent="0.25">
      <c r="A181" s="89"/>
      <c r="B181" s="89"/>
      <c r="C181" s="89"/>
      <c r="D181" s="89"/>
      <c r="E181" s="89"/>
      <c r="F181" s="89"/>
      <c r="G181" s="89"/>
      <c r="H181" s="89"/>
      <c r="I181" s="9"/>
      <c r="J181" s="9"/>
      <c r="K181" s="9"/>
      <c r="AB181">
        <f t="shared" si="9"/>
        <v>0</v>
      </c>
      <c r="AC181">
        <f t="shared" si="10"/>
        <v>0</v>
      </c>
      <c r="AD181">
        <f t="shared" si="11"/>
        <v>0</v>
      </c>
      <c r="AE181">
        <f t="shared" si="8"/>
        <v>0</v>
      </c>
    </row>
    <row r="182" spans="1:31" ht="15" x14ac:dyDescent="0.25">
      <c r="A182" s="89"/>
      <c r="B182" s="89"/>
      <c r="C182" s="89"/>
      <c r="D182" s="89"/>
      <c r="E182" s="89"/>
      <c r="F182" s="89"/>
      <c r="G182" s="89"/>
      <c r="H182" s="89"/>
      <c r="I182" s="9"/>
      <c r="J182" s="9"/>
      <c r="K182" s="9"/>
      <c r="AB182">
        <f t="shared" si="9"/>
        <v>0</v>
      </c>
      <c r="AC182">
        <f t="shared" si="10"/>
        <v>0</v>
      </c>
      <c r="AD182">
        <f t="shared" si="11"/>
        <v>0</v>
      </c>
      <c r="AE182">
        <f t="shared" si="8"/>
        <v>0</v>
      </c>
    </row>
    <row r="183" spans="1:31" ht="15" x14ac:dyDescent="0.25">
      <c r="A183" s="89"/>
      <c r="B183" s="89"/>
      <c r="C183" s="89"/>
      <c r="D183" s="89"/>
      <c r="E183" s="89"/>
      <c r="F183" s="89"/>
      <c r="G183" s="89"/>
      <c r="H183" s="89"/>
      <c r="I183" s="9"/>
      <c r="J183" s="9"/>
      <c r="K183" s="9"/>
      <c r="AB183">
        <f t="shared" si="9"/>
        <v>0</v>
      </c>
      <c r="AC183">
        <f t="shared" si="10"/>
        <v>0</v>
      </c>
      <c r="AD183">
        <f t="shared" si="11"/>
        <v>0</v>
      </c>
      <c r="AE183">
        <f t="shared" si="8"/>
        <v>0</v>
      </c>
    </row>
    <row r="184" spans="1:31" ht="15" x14ac:dyDescent="0.25">
      <c r="A184" s="89"/>
      <c r="B184" s="89"/>
      <c r="C184" s="89"/>
      <c r="D184" s="89"/>
      <c r="E184" s="89"/>
      <c r="F184" s="89"/>
      <c r="G184" s="89"/>
      <c r="H184" s="89"/>
      <c r="I184" s="9"/>
      <c r="J184" s="9"/>
      <c r="K184" s="9"/>
      <c r="AB184">
        <f t="shared" si="9"/>
        <v>0</v>
      </c>
      <c r="AC184">
        <f t="shared" si="10"/>
        <v>0</v>
      </c>
      <c r="AD184">
        <f t="shared" si="11"/>
        <v>0</v>
      </c>
      <c r="AE184">
        <f t="shared" si="8"/>
        <v>0</v>
      </c>
    </row>
    <row r="185" spans="1:31" ht="15" x14ac:dyDescent="0.25">
      <c r="A185" s="89"/>
      <c r="B185" s="89"/>
      <c r="C185" s="89"/>
      <c r="D185" s="89"/>
      <c r="E185" s="89"/>
      <c r="F185" s="89"/>
      <c r="G185" s="89"/>
      <c r="H185" s="89"/>
      <c r="I185" s="9"/>
      <c r="J185" s="9"/>
      <c r="K185" s="9"/>
      <c r="AB185">
        <f t="shared" si="9"/>
        <v>0</v>
      </c>
      <c r="AC185">
        <f t="shared" si="10"/>
        <v>0</v>
      </c>
      <c r="AD185">
        <f t="shared" si="11"/>
        <v>0</v>
      </c>
      <c r="AE185">
        <f t="shared" si="8"/>
        <v>0</v>
      </c>
    </row>
    <row r="186" spans="1:31" ht="15" x14ac:dyDescent="0.25">
      <c r="A186" s="89"/>
      <c r="B186" s="89"/>
      <c r="C186" s="89"/>
      <c r="D186" s="89"/>
      <c r="E186" s="89"/>
      <c r="F186" s="89"/>
      <c r="G186" s="89"/>
      <c r="H186" s="89"/>
      <c r="I186" s="9"/>
      <c r="J186" s="9"/>
      <c r="K186" s="9"/>
      <c r="AB186">
        <f t="shared" si="9"/>
        <v>0</v>
      </c>
      <c r="AC186">
        <f t="shared" si="10"/>
        <v>0</v>
      </c>
      <c r="AD186">
        <f t="shared" si="11"/>
        <v>0</v>
      </c>
      <c r="AE186">
        <f t="shared" si="8"/>
        <v>0</v>
      </c>
    </row>
    <row r="187" spans="1:31" ht="15" x14ac:dyDescent="0.25">
      <c r="A187" s="89"/>
      <c r="B187" s="89"/>
      <c r="C187" s="89"/>
      <c r="D187" s="89"/>
      <c r="E187" s="89"/>
      <c r="F187" s="89"/>
      <c r="G187" s="89"/>
      <c r="H187" s="89"/>
      <c r="I187" s="9"/>
      <c r="J187" s="9"/>
      <c r="K187" s="9"/>
      <c r="AB187">
        <f t="shared" si="9"/>
        <v>0</v>
      </c>
      <c r="AC187">
        <f t="shared" si="10"/>
        <v>0</v>
      </c>
      <c r="AD187">
        <f t="shared" si="11"/>
        <v>0</v>
      </c>
      <c r="AE187">
        <f t="shared" si="8"/>
        <v>0</v>
      </c>
    </row>
    <row r="188" spans="1:31" ht="15" x14ac:dyDescent="0.25">
      <c r="A188" s="89"/>
      <c r="B188" s="89"/>
      <c r="C188" s="89"/>
      <c r="D188" s="89"/>
      <c r="E188" s="89"/>
      <c r="F188" s="89"/>
      <c r="G188" s="89"/>
      <c r="H188" s="89"/>
      <c r="I188" s="9"/>
      <c r="J188" s="9"/>
      <c r="K188" s="9"/>
      <c r="AB188">
        <f t="shared" si="9"/>
        <v>0</v>
      </c>
      <c r="AC188">
        <f t="shared" si="10"/>
        <v>0</v>
      </c>
      <c r="AD188">
        <f t="shared" si="11"/>
        <v>0</v>
      </c>
      <c r="AE188">
        <f t="shared" si="8"/>
        <v>0</v>
      </c>
    </row>
    <row r="189" spans="1:31" ht="15" x14ac:dyDescent="0.25">
      <c r="A189" s="89"/>
      <c r="B189" s="89"/>
      <c r="C189" s="89"/>
      <c r="D189" s="89"/>
      <c r="E189" s="89"/>
      <c r="F189" s="89"/>
      <c r="G189" s="89"/>
      <c r="H189" s="89"/>
      <c r="I189" s="9"/>
      <c r="J189" s="9"/>
      <c r="K189" s="9"/>
      <c r="AB189">
        <f t="shared" si="9"/>
        <v>0</v>
      </c>
      <c r="AC189">
        <f t="shared" si="10"/>
        <v>0</v>
      </c>
      <c r="AD189">
        <f t="shared" si="11"/>
        <v>0</v>
      </c>
      <c r="AE189">
        <f t="shared" si="8"/>
        <v>0</v>
      </c>
    </row>
    <row r="190" spans="1:31" ht="15" x14ac:dyDescent="0.25">
      <c r="A190" s="89"/>
      <c r="B190" s="89"/>
      <c r="C190" s="89"/>
      <c r="D190" s="89"/>
      <c r="E190" s="89"/>
      <c r="F190" s="89"/>
      <c r="G190" s="89"/>
      <c r="H190" s="89"/>
      <c r="I190" s="9"/>
      <c r="J190" s="9"/>
      <c r="K190" s="9"/>
      <c r="AB190">
        <f t="shared" si="9"/>
        <v>0</v>
      </c>
      <c r="AC190">
        <f t="shared" si="10"/>
        <v>0</v>
      </c>
      <c r="AD190">
        <f t="shared" si="11"/>
        <v>0</v>
      </c>
      <c r="AE190">
        <f t="shared" si="8"/>
        <v>0</v>
      </c>
    </row>
    <row r="191" spans="1:31" ht="15" x14ac:dyDescent="0.25">
      <c r="A191" s="89"/>
      <c r="B191" s="89"/>
      <c r="C191" s="89"/>
      <c r="D191" s="89"/>
      <c r="E191" s="89"/>
      <c r="F191" s="89"/>
      <c r="G191" s="89"/>
      <c r="H191" s="89"/>
      <c r="I191" s="9"/>
      <c r="J191" s="9"/>
      <c r="K191" s="9"/>
      <c r="AB191">
        <f t="shared" si="9"/>
        <v>0</v>
      </c>
      <c r="AC191">
        <f t="shared" si="10"/>
        <v>0</v>
      </c>
      <c r="AD191">
        <f t="shared" si="11"/>
        <v>0</v>
      </c>
      <c r="AE191">
        <f t="shared" si="8"/>
        <v>0</v>
      </c>
    </row>
    <row r="192" spans="1:31" ht="15" x14ac:dyDescent="0.25">
      <c r="A192" s="89"/>
      <c r="B192" s="89"/>
      <c r="C192" s="89"/>
      <c r="D192" s="89"/>
      <c r="E192" s="89"/>
      <c r="F192" s="89"/>
      <c r="G192" s="89"/>
      <c r="H192" s="89"/>
      <c r="I192" s="9"/>
      <c r="J192" s="9"/>
      <c r="K192" s="9"/>
      <c r="AB192">
        <f t="shared" si="9"/>
        <v>0</v>
      </c>
      <c r="AC192">
        <f t="shared" si="10"/>
        <v>0</v>
      </c>
      <c r="AD192">
        <f t="shared" si="11"/>
        <v>0</v>
      </c>
      <c r="AE192">
        <f t="shared" si="8"/>
        <v>0</v>
      </c>
    </row>
    <row r="193" spans="1:31" ht="15" x14ac:dyDescent="0.25">
      <c r="A193" s="89"/>
      <c r="B193" s="89"/>
      <c r="C193" s="89"/>
      <c r="D193" s="89"/>
      <c r="E193" s="89"/>
      <c r="F193" s="89"/>
      <c r="G193" s="89"/>
      <c r="H193" s="89"/>
      <c r="I193" s="9"/>
      <c r="J193" s="9"/>
      <c r="K193" s="9"/>
      <c r="AB193">
        <f t="shared" si="9"/>
        <v>0</v>
      </c>
      <c r="AC193">
        <f t="shared" si="10"/>
        <v>0</v>
      </c>
      <c r="AD193">
        <f t="shared" si="11"/>
        <v>0</v>
      </c>
      <c r="AE193">
        <f t="shared" si="8"/>
        <v>0</v>
      </c>
    </row>
    <row r="194" spans="1:31" ht="15" x14ac:dyDescent="0.25">
      <c r="A194" s="89"/>
      <c r="B194" s="89"/>
      <c r="C194" s="89"/>
      <c r="D194" s="89"/>
      <c r="E194" s="89"/>
      <c r="F194" s="89"/>
      <c r="G194" s="89"/>
      <c r="H194" s="89"/>
      <c r="I194" s="9"/>
      <c r="J194" s="9"/>
      <c r="K194" s="9"/>
      <c r="AB194">
        <f t="shared" si="9"/>
        <v>0</v>
      </c>
      <c r="AC194">
        <f t="shared" si="10"/>
        <v>0</v>
      </c>
      <c r="AD194">
        <f t="shared" si="11"/>
        <v>0</v>
      </c>
      <c r="AE194">
        <f t="shared" si="8"/>
        <v>0</v>
      </c>
    </row>
    <row r="195" spans="1:31" ht="15" x14ac:dyDescent="0.25">
      <c r="A195" s="89"/>
      <c r="B195" s="89"/>
      <c r="C195" s="89"/>
      <c r="D195" s="89"/>
      <c r="E195" s="89"/>
      <c r="F195" s="89"/>
      <c r="G195" s="89"/>
      <c r="H195" s="89"/>
      <c r="I195" s="9"/>
      <c r="J195" s="9"/>
      <c r="K195" s="9"/>
      <c r="AB195">
        <f t="shared" si="9"/>
        <v>0</v>
      </c>
      <c r="AC195">
        <f t="shared" si="10"/>
        <v>0</v>
      </c>
      <c r="AD195">
        <f t="shared" si="11"/>
        <v>0</v>
      </c>
      <c r="AE195">
        <f t="shared" si="8"/>
        <v>0</v>
      </c>
    </row>
    <row r="196" spans="1:31" ht="15" x14ac:dyDescent="0.25">
      <c r="A196" s="89"/>
      <c r="B196" s="89"/>
      <c r="C196" s="89"/>
      <c r="D196" s="89"/>
      <c r="E196" s="89"/>
      <c r="F196" s="89"/>
      <c r="G196" s="89"/>
      <c r="H196" s="89"/>
      <c r="I196" s="9"/>
      <c r="J196" s="9"/>
      <c r="K196" s="9"/>
      <c r="AB196">
        <f t="shared" si="9"/>
        <v>0</v>
      </c>
      <c r="AC196">
        <f t="shared" si="10"/>
        <v>0</v>
      </c>
      <c r="AD196">
        <f t="shared" si="11"/>
        <v>0</v>
      </c>
      <c r="AE196">
        <f t="shared" si="8"/>
        <v>0</v>
      </c>
    </row>
    <row r="197" spans="1:31" ht="15" x14ac:dyDescent="0.25">
      <c r="A197" s="89"/>
      <c r="B197" s="89"/>
      <c r="C197" s="89"/>
      <c r="D197" s="89"/>
      <c r="E197" s="89"/>
      <c r="F197" s="89"/>
      <c r="G197" s="89"/>
      <c r="H197" s="89"/>
      <c r="I197" s="9"/>
      <c r="J197" s="9"/>
      <c r="K197" s="9"/>
      <c r="AB197">
        <f t="shared" si="9"/>
        <v>0</v>
      </c>
      <c r="AC197">
        <f t="shared" si="10"/>
        <v>0</v>
      </c>
      <c r="AD197">
        <f t="shared" si="11"/>
        <v>0</v>
      </c>
      <c r="AE197">
        <f t="shared" si="8"/>
        <v>0</v>
      </c>
    </row>
    <row r="198" spans="1:31" ht="15" x14ac:dyDescent="0.25">
      <c r="A198" s="89"/>
      <c r="B198" s="89"/>
      <c r="C198" s="89"/>
      <c r="D198" s="89"/>
      <c r="E198" s="89"/>
      <c r="F198" s="89"/>
      <c r="G198" s="89"/>
      <c r="H198" s="89"/>
      <c r="I198" s="9"/>
      <c r="J198" s="9"/>
      <c r="K198" s="9"/>
      <c r="AB198">
        <f t="shared" si="9"/>
        <v>0</v>
      </c>
      <c r="AC198">
        <f t="shared" si="10"/>
        <v>0</v>
      </c>
      <c r="AD198">
        <f t="shared" si="11"/>
        <v>0</v>
      </c>
      <c r="AE198">
        <f t="shared" si="8"/>
        <v>0</v>
      </c>
    </row>
    <row r="199" spans="1:31" ht="15" x14ac:dyDescent="0.25">
      <c r="A199" s="89"/>
      <c r="B199" s="89"/>
      <c r="C199" s="89"/>
      <c r="D199" s="89"/>
      <c r="E199" s="89"/>
      <c r="F199" s="89"/>
      <c r="G199" s="89"/>
      <c r="H199" s="89"/>
      <c r="I199" s="9"/>
      <c r="J199" s="9"/>
      <c r="K199" s="9"/>
      <c r="AB199">
        <f t="shared" si="9"/>
        <v>0</v>
      </c>
      <c r="AC199">
        <f t="shared" si="10"/>
        <v>0</v>
      </c>
      <c r="AD199">
        <f t="shared" si="11"/>
        <v>0</v>
      </c>
      <c r="AE199">
        <f t="shared" si="8"/>
        <v>0</v>
      </c>
    </row>
    <row r="200" spans="1:31" ht="15" x14ac:dyDescent="0.25">
      <c r="A200" s="89"/>
      <c r="B200" s="89"/>
      <c r="C200" s="89"/>
      <c r="D200" s="89"/>
      <c r="E200" s="89"/>
      <c r="F200" s="89"/>
      <c r="G200" s="89"/>
      <c r="H200" s="89"/>
      <c r="I200" s="9"/>
      <c r="J200" s="9"/>
      <c r="K200" s="9"/>
      <c r="AB200">
        <f t="shared" si="9"/>
        <v>0</v>
      </c>
      <c r="AC200">
        <f t="shared" si="10"/>
        <v>0</v>
      </c>
      <c r="AD200">
        <f t="shared" si="11"/>
        <v>0</v>
      </c>
      <c r="AE200">
        <f t="shared" si="8"/>
        <v>0</v>
      </c>
    </row>
    <row r="201" spans="1:31" ht="15" x14ac:dyDescent="0.25">
      <c r="A201" s="89"/>
      <c r="B201" s="89"/>
      <c r="C201" s="89"/>
      <c r="D201" s="89"/>
      <c r="E201" s="89"/>
      <c r="F201" s="89"/>
      <c r="G201" s="89"/>
      <c r="H201" s="89"/>
      <c r="I201" s="9"/>
      <c r="J201" s="9"/>
      <c r="K201" s="9"/>
      <c r="AB201">
        <f t="shared" si="9"/>
        <v>0</v>
      </c>
      <c r="AC201">
        <f t="shared" si="10"/>
        <v>0</v>
      </c>
      <c r="AD201">
        <f t="shared" si="11"/>
        <v>0</v>
      </c>
      <c r="AE201">
        <f t="shared" si="8"/>
        <v>0</v>
      </c>
    </row>
    <row r="202" spans="1:31" ht="15" x14ac:dyDescent="0.25">
      <c r="A202" s="89"/>
      <c r="B202" s="89"/>
      <c r="C202" s="89"/>
      <c r="D202" s="89"/>
      <c r="E202" s="89"/>
      <c r="F202" s="89"/>
      <c r="G202" s="89"/>
      <c r="H202" s="89"/>
      <c r="I202" s="9"/>
      <c r="J202" s="9"/>
      <c r="K202" s="9"/>
      <c r="AB202">
        <f t="shared" si="9"/>
        <v>0</v>
      </c>
      <c r="AC202">
        <f t="shared" si="10"/>
        <v>0</v>
      </c>
      <c r="AD202">
        <f t="shared" si="11"/>
        <v>0</v>
      </c>
      <c r="AE202">
        <f t="shared" si="8"/>
        <v>0</v>
      </c>
    </row>
    <row r="203" spans="1:31" ht="15" x14ac:dyDescent="0.25">
      <c r="A203" s="89"/>
      <c r="B203" s="89"/>
      <c r="C203" s="89"/>
      <c r="D203" s="89"/>
      <c r="E203" s="89"/>
      <c r="F203" s="89"/>
      <c r="G203" s="89"/>
      <c r="H203" s="89"/>
      <c r="I203" s="9"/>
      <c r="J203" s="9"/>
      <c r="K203" s="9"/>
      <c r="AB203">
        <f t="shared" si="9"/>
        <v>0</v>
      </c>
      <c r="AC203">
        <f t="shared" si="10"/>
        <v>0</v>
      </c>
      <c r="AD203">
        <f t="shared" si="11"/>
        <v>0</v>
      </c>
      <c r="AE203">
        <f t="shared" si="8"/>
        <v>0</v>
      </c>
    </row>
    <row r="204" spans="1:31" ht="15" x14ac:dyDescent="0.25">
      <c r="A204" s="89"/>
      <c r="B204" s="89"/>
      <c r="C204" s="89"/>
      <c r="D204" s="89"/>
      <c r="E204" s="89"/>
      <c r="F204" s="89"/>
      <c r="G204" s="89"/>
      <c r="H204" s="89"/>
      <c r="I204" s="9"/>
      <c r="J204" s="9"/>
      <c r="K204" s="9"/>
      <c r="AB204">
        <f t="shared" si="9"/>
        <v>0</v>
      </c>
      <c r="AC204">
        <f t="shared" si="10"/>
        <v>0</v>
      </c>
      <c r="AD204">
        <f t="shared" si="11"/>
        <v>0</v>
      </c>
      <c r="AE204">
        <f t="shared" si="8"/>
        <v>0</v>
      </c>
    </row>
    <row r="205" spans="1:31" ht="15" x14ac:dyDescent="0.25">
      <c r="A205" s="89"/>
      <c r="B205" s="89"/>
      <c r="C205" s="89"/>
      <c r="D205" s="89"/>
      <c r="E205" s="89"/>
      <c r="F205" s="89"/>
      <c r="G205" s="89"/>
      <c r="H205" s="89"/>
      <c r="I205" s="9"/>
      <c r="J205" s="9"/>
      <c r="K205" s="9"/>
      <c r="AB205">
        <f t="shared" si="9"/>
        <v>0</v>
      </c>
      <c r="AC205">
        <f t="shared" si="10"/>
        <v>0</v>
      </c>
      <c r="AD205">
        <f t="shared" si="11"/>
        <v>0</v>
      </c>
      <c r="AE205">
        <f t="shared" si="8"/>
        <v>0</v>
      </c>
    </row>
    <row r="206" spans="1:31" ht="15" x14ac:dyDescent="0.25">
      <c r="A206" s="89"/>
      <c r="B206" s="89"/>
      <c r="C206" s="89"/>
      <c r="D206" s="89"/>
      <c r="E206" s="89"/>
      <c r="F206" s="89"/>
      <c r="G206" s="89"/>
      <c r="H206" s="89"/>
      <c r="I206" s="9"/>
      <c r="J206" s="9"/>
      <c r="K206" s="9"/>
      <c r="AB206">
        <f t="shared" si="9"/>
        <v>0</v>
      </c>
      <c r="AC206">
        <f t="shared" si="10"/>
        <v>0</v>
      </c>
      <c r="AD206">
        <f t="shared" si="11"/>
        <v>0</v>
      </c>
      <c r="AE206">
        <f t="shared" ref="AE206:AE269" si="12">IF(AND($D206="Question",$H206="Not applicable"),1,0)</f>
        <v>0</v>
      </c>
    </row>
    <row r="207" spans="1:31" ht="15" x14ac:dyDescent="0.25">
      <c r="A207" s="89"/>
      <c r="B207" s="89"/>
      <c r="C207" s="89"/>
      <c r="D207" s="89"/>
      <c r="E207" s="89"/>
      <c r="F207" s="89"/>
      <c r="G207" s="89"/>
      <c r="H207" s="89"/>
      <c r="I207" s="9"/>
      <c r="J207" s="9"/>
      <c r="K207" s="9"/>
      <c r="AB207">
        <f t="shared" ref="AB207:AB270" si="13">IF(AND($D207="Question",$H207="OK"),1,0)</f>
        <v>0</v>
      </c>
      <c r="AC207">
        <f t="shared" ref="AC207:AC270" si="14">IF(AND($D207="Question",$H207="Not OK"),1,0)</f>
        <v>0</v>
      </c>
      <c r="AD207">
        <f t="shared" ref="AD207:AD270" si="15">IF(AND($D207="Question",$H207=""),1,0)</f>
        <v>0</v>
      </c>
      <c r="AE207">
        <f t="shared" si="12"/>
        <v>0</v>
      </c>
    </row>
    <row r="208" spans="1:31" ht="15" x14ac:dyDescent="0.25">
      <c r="A208" s="89"/>
      <c r="B208" s="89"/>
      <c r="C208" s="89"/>
      <c r="D208" s="89"/>
      <c r="E208" s="89"/>
      <c r="F208" s="89"/>
      <c r="G208" s="89"/>
      <c r="H208" s="89"/>
      <c r="I208" s="9"/>
      <c r="J208" s="9"/>
      <c r="K208" s="9"/>
      <c r="AB208">
        <f t="shared" si="13"/>
        <v>0</v>
      </c>
      <c r="AC208">
        <f t="shared" si="14"/>
        <v>0</v>
      </c>
      <c r="AD208">
        <f t="shared" si="15"/>
        <v>0</v>
      </c>
      <c r="AE208">
        <f t="shared" si="12"/>
        <v>0</v>
      </c>
    </row>
    <row r="209" spans="1:31" ht="15" x14ac:dyDescent="0.25">
      <c r="A209" s="89"/>
      <c r="B209" s="89"/>
      <c r="C209" s="89"/>
      <c r="D209" s="89"/>
      <c r="E209" s="89"/>
      <c r="F209" s="89"/>
      <c r="G209" s="89"/>
      <c r="H209" s="89"/>
      <c r="I209" s="9"/>
      <c r="J209" s="9"/>
      <c r="K209" s="9"/>
      <c r="AB209">
        <f t="shared" si="13"/>
        <v>0</v>
      </c>
      <c r="AC209">
        <f t="shared" si="14"/>
        <v>0</v>
      </c>
      <c r="AD209">
        <f t="shared" si="15"/>
        <v>0</v>
      </c>
      <c r="AE209">
        <f t="shared" si="12"/>
        <v>0</v>
      </c>
    </row>
    <row r="210" spans="1:31" ht="15" x14ac:dyDescent="0.25">
      <c r="A210" s="89"/>
      <c r="B210" s="89"/>
      <c r="C210" s="89"/>
      <c r="D210" s="89"/>
      <c r="E210" s="89"/>
      <c r="F210" s="89"/>
      <c r="G210" s="89"/>
      <c r="H210" s="89"/>
      <c r="I210" s="9"/>
      <c r="J210" s="9"/>
      <c r="K210" s="9"/>
      <c r="AB210">
        <f t="shared" si="13"/>
        <v>0</v>
      </c>
      <c r="AC210">
        <f t="shared" si="14"/>
        <v>0</v>
      </c>
      <c r="AD210">
        <f t="shared" si="15"/>
        <v>0</v>
      </c>
      <c r="AE210">
        <f t="shared" si="12"/>
        <v>0</v>
      </c>
    </row>
    <row r="211" spans="1:31" ht="15" x14ac:dyDescent="0.25">
      <c r="A211" s="89"/>
      <c r="B211" s="89"/>
      <c r="C211" s="89"/>
      <c r="D211" s="89"/>
      <c r="E211" s="89"/>
      <c r="F211" s="89"/>
      <c r="G211" s="89"/>
      <c r="H211" s="89"/>
      <c r="I211" s="9"/>
      <c r="J211" s="9"/>
      <c r="K211" s="9"/>
      <c r="AB211">
        <f t="shared" si="13"/>
        <v>0</v>
      </c>
      <c r="AC211">
        <f t="shared" si="14"/>
        <v>0</v>
      </c>
      <c r="AD211">
        <f t="shared" si="15"/>
        <v>0</v>
      </c>
      <c r="AE211">
        <f t="shared" si="12"/>
        <v>0</v>
      </c>
    </row>
    <row r="212" spans="1:31" ht="15" x14ac:dyDescent="0.25">
      <c r="A212" s="89"/>
      <c r="B212" s="89"/>
      <c r="C212" s="89"/>
      <c r="D212" s="89"/>
      <c r="E212" s="89"/>
      <c r="F212" s="89"/>
      <c r="G212" s="89"/>
      <c r="H212" s="89"/>
      <c r="I212" s="9"/>
      <c r="J212" s="9"/>
      <c r="K212" s="9"/>
      <c r="AB212">
        <f t="shared" si="13"/>
        <v>0</v>
      </c>
      <c r="AC212">
        <f t="shared" si="14"/>
        <v>0</v>
      </c>
      <c r="AD212">
        <f t="shared" si="15"/>
        <v>0</v>
      </c>
      <c r="AE212">
        <f t="shared" si="12"/>
        <v>0</v>
      </c>
    </row>
    <row r="213" spans="1:31" ht="15" x14ac:dyDescent="0.25">
      <c r="A213" s="89"/>
      <c r="B213" s="89"/>
      <c r="C213" s="89"/>
      <c r="D213" s="89"/>
      <c r="E213" s="89"/>
      <c r="F213" s="89"/>
      <c r="G213" s="89"/>
      <c r="H213" s="89"/>
      <c r="I213" s="9"/>
      <c r="J213" s="9"/>
      <c r="K213" s="9"/>
      <c r="AB213">
        <f t="shared" si="13"/>
        <v>0</v>
      </c>
      <c r="AC213">
        <f t="shared" si="14"/>
        <v>0</v>
      </c>
      <c r="AD213">
        <f t="shared" si="15"/>
        <v>0</v>
      </c>
      <c r="AE213">
        <f t="shared" si="12"/>
        <v>0</v>
      </c>
    </row>
    <row r="214" spans="1:31" ht="15" x14ac:dyDescent="0.25">
      <c r="A214" s="89"/>
      <c r="B214" s="89"/>
      <c r="C214" s="89"/>
      <c r="D214" s="89"/>
      <c r="E214" s="89"/>
      <c r="F214" s="89"/>
      <c r="G214" s="89"/>
      <c r="H214" s="89"/>
      <c r="I214" s="9"/>
      <c r="J214" s="9"/>
      <c r="K214" s="9"/>
      <c r="AB214">
        <f t="shared" si="13"/>
        <v>0</v>
      </c>
      <c r="AC214">
        <f t="shared" si="14"/>
        <v>0</v>
      </c>
      <c r="AD214">
        <f t="shared" si="15"/>
        <v>0</v>
      </c>
      <c r="AE214">
        <f t="shared" si="12"/>
        <v>0</v>
      </c>
    </row>
    <row r="215" spans="1:31" ht="15" x14ac:dyDescent="0.25">
      <c r="A215" s="89"/>
      <c r="B215" s="89"/>
      <c r="C215" s="89"/>
      <c r="D215" s="89"/>
      <c r="E215" s="89"/>
      <c r="F215" s="89"/>
      <c r="G215" s="89"/>
      <c r="H215" s="89"/>
      <c r="I215" s="9"/>
      <c r="J215" s="9"/>
      <c r="K215" s="9"/>
      <c r="AB215">
        <f t="shared" si="13"/>
        <v>0</v>
      </c>
      <c r="AC215">
        <f t="shared" si="14"/>
        <v>0</v>
      </c>
      <c r="AD215">
        <f t="shared" si="15"/>
        <v>0</v>
      </c>
      <c r="AE215">
        <f t="shared" si="12"/>
        <v>0</v>
      </c>
    </row>
    <row r="216" spans="1:31" ht="15" x14ac:dyDescent="0.25">
      <c r="A216" s="89"/>
      <c r="B216" s="89"/>
      <c r="C216" s="89"/>
      <c r="D216" s="89"/>
      <c r="E216" s="89"/>
      <c r="F216" s="89"/>
      <c r="G216" s="89"/>
      <c r="H216" s="89"/>
      <c r="I216" s="9"/>
      <c r="J216" s="9"/>
      <c r="K216" s="9"/>
      <c r="AB216">
        <f t="shared" si="13"/>
        <v>0</v>
      </c>
      <c r="AC216">
        <f t="shared" si="14"/>
        <v>0</v>
      </c>
      <c r="AD216">
        <f t="shared" si="15"/>
        <v>0</v>
      </c>
      <c r="AE216">
        <f t="shared" si="12"/>
        <v>0</v>
      </c>
    </row>
    <row r="217" spans="1:31" ht="15" x14ac:dyDescent="0.25">
      <c r="A217" s="89"/>
      <c r="B217" s="89"/>
      <c r="C217" s="89"/>
      <c r="D217" s="89"/>
      <c r="E217" s="89"/>
      <c r="F217" s="89"/>
      <c r="G217" s="89"/>
      <c r="H217" s="89"/>
      <c r="I217" s="9"/>
      <c r="J217" s="9"/>
      <c r="K217" s="9"/>
      <c r="AB217">
        <f t="shared" si="13"/>
        <v>0</v>
      </c>
      <c r="AC217">
        <f t="shared" si="14"/>
        <v>0</v>
      </c>
      <c r="AD217">
        <f t="shared" si="15"/>
        <v>0</v>
      </c>
      <c r="AE217">
        <f t="shared" si="12"/>
        <v>0</v>
      </c>
    </row>
    <row r="218" spans="1:31" ht="15" x14ac:dyDescent="0.25">
      <c r="A218" s="89"/>
      <c r="B218" s="89"/>
      <c r="C218" s="89"/>
      <c r="D218" s="89"/>
      <c r="E218" s="89"/>
      <c r="F218" s="89"/>
      <c r="G218" s="89"/>
      <c r="H218" s="89"/>
      <c r="I218" s="9"/>
      <c r="J218" s="9"/>
      <c r="K218" s="9"/>
      <c r="AB218">
        <f t="shared" si="13"/>
        <v>0</v>
      </c>
      <c r="AC218">
        <f t="shared" si="14"/>
        <v>0</v>
      </c>
      <c r="AD218">
        <f t="shared" si="15"/>
        <v>0</v>
      </c>
      <c r="AE218">
        <f t="shared" si="12"/>
        <v>0</v>
      </c>
    </row>
    <row r="219" spans="1:31" ht="15" x14ac:dyDescent="0.25">
      <c r="A219" s="89"/>
      <c r="B219" s="89"/>
      <c r="C219" s="89"/>
      <c r="D219" s="89"/>
      <c r="E219" s="89"/>
      <c r="F219" s="89"/>
      <c r="G219" s="89"/>
      <c r="H219" s="89"/>
      <c r="I219" s="9"/>
      <c r="J219" s="9"/>
      <c r="K219" s="9"/>
      <c r="AB219">
        <f t="shared" si="13"/>
        <v>0</v>
      </c>
      <c r="AC219">
        <f t="shared" si="14"/>
        <v>0</v>
      </c>
      <c r="AD219">
        <f t="shared" si="15"/>
        <v>0</v>
      </c>
      <c r="AE219">
        <f t="shared" si="12"/>
        <v>0</v>
      </c>
    </row>
    <row r="220" spans="1:31" ht="15" x14ac:dyDescent="0.25">
      <c r="A220" s="89"/>
      <c r="B220" s="89"/>
      <c r="C220" s="89"/>
      <c r="D220" s="89"/>
      <c r="E220" s="89"/>
      <c r="F220" s="89"/>
      <c r="G220" s="89"/>
      <c r="H220" s="89"/>
      <c r="I220" s="9"/>
      <c r="J220" s="9"/>
      <c r="K220" s="9"/>
      <c r="AB220">
        <f t="shared" si="13"/>
        <v>0</v>
      </c>
      <c r="AC220">
        <f t="shared" si="14"/>
        <v>0</v>
      </c>
      <c r="AD220">
        <f t="shared" si="15"/>
        <v>0</v>
      </c>
      <c r="AE220">
        <f t="shared" si="12"/>
        <v>0</v>
      </c>
    </row>
    <row r="221" spans="1:31" ht="15" x14ac:dyDescent="0.25">
      <c r="A221" s="89"/>
      <c r="B221" s="89"/>
      <c r="C221" s="89"/>
      <c r="D221" s="89"/>
      <c r="E221" s="89"/>
      <c r="F221" s="89"/>
      <c r="G221" s="89"/>
      <c r="H221" s="89"/>
      <c r="I221" s="9"/>
      <c r="J221" s="9"/>
      <c r="K221" s="9"/>
      <c r="AB221">
        <f t="shared" si="13"/>
        <v>0</v>
      </c>
      <c r="AC221">
        <f t="shared" si="14"/>
        <v>0</v>
      </c>
      <c r="AD221">
        <f t="shared" si="15"/>
        <v>0</v>
      </c>
      <c r="AE221">
        <f t="shared" si="12"/>
        <v>0</v>
      </c>
    </row>
    <row r="222" spans="1:31" ht="15" x14ac:dyDescent="0.25">
      <c r="A222" s="89"/>
      <c r="B222" s="89"/>
      <c r="C222" s="89"/>
      <c r="D222" s="89"/>
      <c r="E222" s="89"/>
      <c r="F222" s="89"/>
      <c r="G222" s="89"/>
      <c r="H222" s="89"/>
      <c r="I222" s="9"/>
      <c r="J222" s="9"/>
      <c r="K222" s="9"/>
      <c r="AB222">
        <f t="shared" si="13"/>
        <v>0</v>
      </c>
      <c r="AC222">
        <f t="shared" si="14"/>
        <v>0</v>
      </c>
      <c r="AD222">
        <f t="shared" si="15"/>
        <v>0</v>
      </c>
      <c r="AE222">
        <f t="shared" si="12"/>
        <v>0</v>
      </c>
    </row>
    <row r="223" spans="1:31" ht="15" x14ac:dyDescent="0.25">
      <c r="A223" s="89"/>
      <c r="B223" s="89"/>
      <c r="C223" s="89"/>
      <c r="D223" s="89"/>
      <c r="E223" s="89"/>
      <c r="F223" s="89"/>
      <c r="G223" s="89"/>
      <c r="H223" s="89"/>
      <c r="I223" s="9"/>
      <c r="J223" s="9"/>
      <c r="K223" s="9"/>
      <c r="AB223">
        <f t="shared" si="13"/>
        <v>0</v>
      </c>
      <c r="AC223">
        <f t="shared" si="14"/>
        <v>0</v>
      </c>
      <c r="AD223">
        <f t="shared" si="15"/>
        <v>0</v>
      </c>
      <c r="AE223">
        <f t="shared" si="12"/>
        <v>0</v>
      </c>
    </row>
    <row r="224" spans="1:31" ht="15" x14ac:dyDescent="0.25">
      <c r="A224" s="89"/>
      <c r="B224" s="89"/>
      <c r="C224" s="89"/>
      <c r="D224" s="89"/>
      <c r="E224" s="89"/>
      <c r="F224" s="89"/>
      <c r="G224" s="89"/>
      <c r="H224" s="89"/>
      <c r="I224" s="9"/>
      <c r="J224" s="9"/>
      <c r="K224" s="9"/>
      <c r="AB224">
        <f t="shared" si="13"/>
        <v>0</v>
      </c>
      <c r="AC224">
        <f t="shared" si="14"/>
        <v>0</v>
      </c>
      <c r="AD224">
        <f t="shared" si="15"/>
        <v>0</v>
      </c>
      <c r="AE224">
        <f t="shared" si="12"/>
        <v>0</v>
      </c>
    </row>
    <row r="225" spans="1:31" ht="15" x14ac:dyDescent="0.25">
      <c r="A225" s="89"/>
      <c r="B225" s="89"/>
      <c r="C225" s="89"/>
      <c r="D225" s="89"/>
      <c r="E225" s="89"/>
      <c r="F225" s="89"/>
      <c r="G225" s="89"/>
      <c r="H225" s="89"/>
      <c r="I225" s="9"/>
      <c r="J225" s="9"/>
      <c r="K225" s="9"/>
      <c r="AB225">
        <f t="shared" si="13"/>
        <v>0</v>
      </c>
      <c r="AC225">
        <f t="shared" si="14"/>
        <v>0</v>
      </c>
      <c r="AD225">
        <f t="shared" si="15"/>
        <v>0</v>
      </c>
      <c r="AE225">
        <f t="shared" si="12"/>
        <v>0</v>
      </c>
    </row>
    <row r="226" spans="1:31" ht="15" x14ac:dyDescent="0.25">
      <c r="A226" s="89"/>
      <c r="B226" s="89"/>
      <c r="C226" s="89"/>
      <c r="D226" s="89"/>
      <c r="E226" s="89"/>
      <c r="F226" s="89"/>
      <c r="G226" s="89"/>
      <c r="H226" s="89"/>
      <c r="I226" s="9"/>
      <c r="J226" s="9"/>
      <c r="K226" s="9"/>
      <c r="AB226">
        <f t="shared" si="13"/>
        <v>0</v>
      </c>
      <c r="AC226">
        <f t="shared" si="14"/>
        <v>0</v>
      </c>
      <c r="AD226">
        <f t="shared" si="15"/>
        <v>0</v>
      </c>
      <c r="AE226">
        <f t="shared" si="12"/>
        <v>0</v>
      </c>
    </row>
    <row r="227" spans="1:31" ht="15" x14ac:dyDescent="0.25">
      <c r="A227" s="89"/>
      <c r="B227" s="89"/>
      <c r="C227" s="89"/>
      <c r="D227" s="89"/>
      <c r="E227" s="89"/>
      <c r="F227" s="89"/>
      <c r="G227" s="89"/>
      <c r="H227" s="89"/>
      <c r="I227" s="9"/>
      <c r="J227" s="9"/>
      <c r="K227" s="9"/>
      <c r="AB227">
        <f t="shared" si="13"/>
        <v>0</v>
      </c>
      <c r="AC227">
        <f t="shared" si="14"/>
        <v>0</v>
      </c>
      <c r="AD227">
        <f t="shared" si="15"/>
        <v>0</v>
      </c>
      <c r="AE227">
        <f t="shared" si="12"/>
        <v>0</v>
      </c>
    </row>
    <row r="228" spans="1:31" ht="15" x14ac:dyDescent="0.25">
      <c r="A228" s="89"/>
      <c r="B228" s="89"/>
      <c r="C228" s="89"/>
      <c r="D228" s="89"/>
      <c r="E228" s="89"/>
      <c r="F228" s="89"/>
      <c r="G228" s="89"/>
      <c r="H228" s="89"/>
      <c r="I228" s="9"/>
      <c r="J228" s="9"/>
      <c r="K228" s="9"/>
      <c r="AB228">
        <f t="shared" si="13"/>
        <v>0</v>
      </c>
      <c r="AC228">
        <f t="shared" si="14"/>
        <v>0</v>
      </c>
      <c r="AD228">
        <f t="shared" si="15"/>
        <v>0</v>
      </c>
      <c r="AE228">
        <f t="shared" si="12"/>
        <v>0</v>
      </c>
    </row>
    <row r="229" spans="1:31" ht="15" x14ac:dyDescent="0.25">
      <c r="A229" s="89"/>
      <c r="B229" s="89"/>
      <c r="C229" s="89"/>
      <c r="D229" s="89"/>
      <c r="E229" s="89"/>
      <c r="F229" s="89"/>
      <c r="G229" s="89"/>
      <c r="H229" s="89"/>
      <c r="I229" s="9"/>
      <c r="J229" s="9"/>
      <c r="K229" s="9"/>
      <c r="AB229">
        <f t="shared" si="13"/>
        <v>0</v>
      </c>
      <c r="AC229">
        <f t="shared" si="14"/>
        <v>0</v>
      </c>
      <c r="AD229">
        <f t="shared" si="15"/>
        <v>0</v>
      </c>
      <c r="AE229">
        <f t="shared" si="12"/>
        <v>0</v>
      </c>
    </row>
    <row r="230" spans="1:31" ht="15" x14ac:dyDescent="0.25">
      <c r="A230" s="89"/>
      <c r="B230" s="89"/>
      <c r="C230" s="89"/>
      <c r="D230" s="89"/>
      <c r="E230" s="89"/>
      <c r="F230" s="89"/>
      <c r="G230" s="89"/>
      <c r="H230" s="89"/>
      <c r="I230" s="9"/>
      <c r="J230" s="9"/>
      <c r="K230" s="9"/>
      <c r="AB230">
        <f t="shared" si="13"/>
        <v>0</v>
      </c>
      <c r="AC230">
        <f t="shared" si="14"/>
        <v>0</v>
      </c>
      <c r="AD230">
        <f t="shared" si="15"/>
        <v>0</v>
      </c>
      <c r="AE230">
        <f t="shared" si="12"/>
        <v>0</v>
      </c>
    </row>
    <row r="231" spans="1:31" ht="15" x14ac:dyDescent="0.25">
      <c r="A231" s="89"/>
      <c r="B231" s="89"/>
      <c r="C231" s="89"/>
      <c r="D231" s="89"/>
      <c r="E231" s="89"/>
      <c r="F231" s="89"/>
      <c r="G231" s="89"/>
      <c r="H231" s="89"/>
      <c r="I231" s="9"/>
      <c r="J231" s="9"/>
      <c r="K231" s="9"/>
      <c r="AB231">
        <f t="shared" si="13"/>
        <v>0</v>
      </c>
      <c r="AC231">
        <f t="shared" si="14"/>
        <v>0</v>
      </c>
      <c r="AD231">
        <f t="shared" si="15"/>
        <v>0</v>
      </c>
      <c r="AE231">
        <f t="shared" si="12"/>
        <v>0</v>
      </c>
    </row>
    <row r="232" spans="1:31" ht="15" x14ac:dyDescent="0.25">
      <c r="A232" s="89"/>
      <c r="B232" s="89"/>
      <c r="C232" s="89"/>
      <c r="D232" s="89"/>
      <c r="E232" s="89"/>
      <c r="F232" s="89"/>
      <c r="G232" s="89"/>
      <c r="H232" s="89"/>
      <c r="I232" s="9"/>
      <c r="J232" s="9"/>
      <c r="K232" s="9"/>
      <c r="AB232">
        <f t="shared" si="13"/>
        <v>0</v>
      </c>
      <c r="AC232">
        <f t="shared" si="14"/>
        <v>0</v>
      </c>
      <c r="AD232">
        <f t="shared" si="15"/>
        <v>0</v>
      </c>
      <c r="AE232">
        <f t="shared" si="12"/>
        <v>0</v>
      </c>
    </row>
    <row r="233" spans="1:31" ht="15" x14ac:dyDescent="0.25">
      <c r="A233" s="89"/>
      <c r="B233" s="89"/>
      <c r="C233" s="89"/>
      <c r="D233" s="89"/>
      <c r="E233" s="89"/>
      <c r="F233" s="89"/>
      <c r="G233" s="89"/>
      <c r="H233" s="89"/>
      <c r="I233" s="9"/>
      <c r="J233" s="9"/>
      <c r="K233" s="9"/>
      <c r="AB233">
        <f t="shared" si="13"/>
        <v>0</v>
      </c>
      <c r="AC233">
        <f t="shared" si="14"/>
        <v>0</v>
      </c>
      <c r="AD233">
        <f t="shared" si="15"/>
        <v>0</v>
      </c>
      <c r="AE233">
        <f t="shared" si="12"/>
        <v>0</v>
      </c>
    </row>
    <row r="234" spans="1:31" ht="15" x14ac:dyDescent="0.25">
      <c r="A234" s="89"/>
      <c r="B234" s="89"/>
      <c r="C234" s="89"/>
      <c r="D234" s="89"/>
      <c r="E234" s="89"/>
      <c r="F234" s="89"/>
      <c r="G234" s="89"/>
      <c r="H234" s="89"/>
      <c r="I234" s="9"/>
      <c r="J234" s="9"/>
      <c r="K234" s="9"/>
      <c r="AB234">
        <f t="shared" si="13"/>
        <v>0</v>
      </c>
      <c r="AC234">
        <f t="shared" si="14"/>
        <v>0</v>
      </c>
      <c r="AD234">
        <f t="shared" si="15"/>
        <v>0</v>
      </c>
      <c r="AE234">
        <f t="shared" si="12"/>
        <v>0</v>
      </c>
    </row>
    <row r="235" spans="1:31" ht="15" x14ac:dyDescent="0.25">
      <c r="A235" s="89"/>
      <c r="B235" s="89"/>
      <c r="C235" s="89"/>
      <c r="D235" s="89"/>
      <c r="E235" s="89"/>
      <c r="F235" s="89"/>
      <c r="G235" s="89"/>
      <c r="H235" s="89"/>
      <c r="I235" s="9"/>
      <c r="J235" s="9"/>
      <c r="K235" s="9"/>
      <c r="AB235">
        <f t="shared" si="13"/>
        <v>0</v>
      </c>
      <c r="AC235">
        <f t="shared" si="14"/>
        <v>0</v>
      </c>
      <c r="AD235">
        <f t="shared" si="15"/>
        <v>0</v>
      </c>
      <c r="AE235">
        <f t="shared" si="12"/>
        <v>0</v>
      </c>
    </row>
    <row r="236" spans="1:31" ht="15" x14ac:dyDescent="0.25">
      <c r="A236" s="89"/>
      <c r="B236" s="89"/>
      <c r="C236" s="89"/>
      <c r="D236" s="89"/>
      <c r="E236" s="89"/>
      <c r="F236" s="89"/>
      <c r="G236" s="89"/>
      <c r="H236" s="89"/>
      <c r="I236" s="9"/>
      <c r="J236" s="9"/>
      <c r="K236" s="9"/>
      <c r="AB236">
        <f t="shared" si="13"/>
        <v>0</v>
      </c>
      <c r="AC236">
        <f t="shared" si="14"/>
        <v>0</v>
      </c>
      <c r="AD236">
        <f t="shared" si="15"/>
        <v>0</v>
      </c>
      <c r="AE236">
        <f t="shared" si="12"/>
        <v>0</v>
      </c>
    </row>
    <row r="237" spans="1:31" ht="15" x14ac:dyDescent="0.25">
      <c r="A237" s="89"/>
      <c r="B237" s="89"/>
      <c r="C237" s="89"/>
      <c r="D237" s="89"/>
      <c r="E237" s="89"/>
      <c r="F237" s="89"/>
      <c r="G237" s="89"/>
      <c r="H237" s="89"/>
      <c r="I237" s="9"/>
      <c r="J237" s="9"/>
      <c r="K237" s="9"/>
      <c r="AB237">
        <f t="shared" si="13"/>
        <v>0</v>
      </c>
      <c r="AC237">
        <f t="shared" si="14"/>
        <v>0</v>
      </c>
      <c r="AD237">
        <f t="shared" si="15"/>
        <v>0</v>
      </c>
      <c r="AE237">
        <f t="shared" si="12"/>
        <v>0</v>
      </c>
    </row>
    <row r="238" spans="1:31" ht="15" x14ac:dyDescent="0.25">
      <c r="A238" s="89"/>
      <c r="B238" s="89"/>
      <c r="C238" s="89"/>
      <c r="D238" s="89"/>
      <c r="E238" s="89"/>
      <c r="F238" s="89"/>
      <c r="G238" s="89"/>
      <c r="H238" s="89"/>
      <c r="I238" s="9"/>
      <c r="J238" s="9"/>
      <c r="K238" s="9"/>
      <c r="AB238">
        <f t="shared" si="13"/>
        <v>0</v>
      </c>
      <c r="AC238">
        <f t="shared" si="14"/>
        <v>0</v>
      </c>
      <c r="AD238">
        <f t="shared" si="15"/>
        <v>0</v>
      </c>
      <c r="AE238">
        <f t="shared" si="12"/>
        <v>0</v>
      </c>
    </row>
    <row r="239" spans="1:31" ht="15" x14ac:dyDescent="0.25">
      <c r="A239" s="89"/>
      <c r="B239" s="89"/>
      <c r="C239" s="89"/>
      <c r="D239" s="89"/>
      <c r="E239" s="89"/>
      <c r="F239" s="89"/>
      <c r="G239" s="89"/>
      <c r="H239" s="89"/>
      <c r="I239" s="9"/>
      <c r="J239" s="9"/>
      <c r="K239" s="9"/>
      <c r="AB239">
        <f t="shared" si="13"/>
        <v>0</v>
      </c>
      <c r="AC239">
        <f t="shared" si="14"/>
        <v>0</v>
      </c>
      <c r="AD239">
        <f t="shared" si="15"/>
        <v>0</v>
      </c>
      <c r="AE239">
        <f t="shared" si="12"/>
        <v>0</v>
      </c>
    </row>
    <row r="240" spans="1:31" ht="15" x14ac:dyDescent="0.25">
      <c r="A240" s="89"/>
      <c r="B240" s="89"/>
      <c r="C240" s="89"/>
      <c r="D240" s="89"/>
      <c r="E240" s="89"/>
      <c r="F240" s="89"/>
      <c r="G240" s="89"/>
      <c r="H240" s="89"/>
      <c r="I240" s="9"/>
      <c r="J240" s="9"/>
      <c r="K240" s="9"/>
      <c r="AB240">
        <f t="shared" si="13"/>
        <v>0</v>
      </c>
      <c r="AC240">
        <f t="shared" si="14"/>
        <v>0</v>
      </c>
      <c r="AD240">
        <f t="shared" si="15"/>
        <v>0</v>
      </c>
      <c r="AE240">
        <f t="shared" si="12"/>
        <v>0</v>
      </c>
    </row>
    <row r="241" spans="1:31" ht="15" x14ac:dyDescent="0.25">
      <c r="A241" s="89"/>
      <c r="B241" s="89"/>
      <c r="C241" s="89"/>
      <c r="D241" s="89"/>
      <c r="E241" s="89"/>
      <c r="F241" s="89"/>
      <c r="G241" s="89"/>
      <c r="H241" s="89"/>
      <c r="I241" s="9"/>
      <c r="J241" s="9"/>
      <c r="K241" s="9"/>
      <c r="AB241">
        <f t="shared" si="13"/>
        <v>0</v>
      </c>
      <c r="AC241">
        <f t="shared" si="14"/>
        <v>0</v>
      </c>
      <c r="AD241">
        <f t="shared" si="15"/>
        <v>0</v>
      </c>
      <c r="AE241">
        <f t="shared" si="12"/>
        <v>0</v>
      </c>
    </row>
    <row r="242" spans="1:31" ht="15" x14ac:dyDescent="0.25">
      <c r="A242" s="89"/>
      <c r="B242" s="89"/>
      <c r="C242" s="89"/>
      <c r="D242" s="89"/>
      <c r="E242" s="89"/>
      <c r="F242" s="89"/>
      <c r="G242" s="89"/>
      <c r="H242" s="89"/>
      <c r="I242" s="9"/>
      <c r="J242" s="9"/>
      <c r="K242" s="9"/>
      <c r="AB242">
        <f t="shared" si="13"/>
        <v>0</v>
      </c>
      <c r="AC242">
        <f t="shared" si="14"/>
        <v>0</v>
      </c>
      <c r="AD242">
        <f t="shared" si="15"/>
        <v>0</v>
      </c>
      <c r="AE242">
        <f t="shared" si="12"/>
        <v>0</v>
      </c>
    </row>
    <row r="243" spans="1:31" ht="15" x14ac:dyDescent="0.25">
      <c r="A243" s="89"/>
      <c r="B243" s="89"/>
      <c r="C243" s="89"/>
      <c r="D243" s="89"/>
      <c r="E243" s="89"/>
      <c r="F243" s="89"/>
      <c r="G243" s="89"/>
      <c r="H243" s="89"/>
      <c r="I243" s="9"/>
      <c r="J243" s="9"/>
      <c r="K243" s="9"/>
      <c r="AB243">
        <f t="shared" si="13"/>
        <v>0</v>
      </c>
      <c r="AC243">
        <f t="shared" si="14"/>
        <v>0</v>
      </c>
      <c r="AD243">
        <f t="shared" si="15"/>
        <v>0</v>
      </c>
      <c r="AE243">
        <f t="shared" si="12"/>
        <v>0</v>
      </c>
    </row>
    <row r="244" spans="1:31" ht="15" x14ac:dyDescent="0.25">
      <c r="A244" s="89"/>
      <c r="B244" s="89"/>
      <c r="C244" s="89"/>
      <c r="D244" s="89"/>
      <c r="E244" s="89"/>
      <c r="F244" s="89"/>
      <c r="G244" s="89"/>
      <c r="H244" s="89"/>
      <c r="I244" s="9"/>
      <c r="J244" s="9"/>
      <c r="K244" s="9"/>
      <c r="AB244">
        <f t="shared" si="13"/>
        <v>0</v>
      </c>
      <c r="AC244">
        <f t="shared" si="14"/>
        <v>0</v>
      </c>
      <c r="AD244">
        <f t="shared" si="15"/>
        <v>0</v>
      </c>
      <c r="AE244">
        <f t="shared" si="12"/>
        <v>0</v>
      </c>
    </row>
    <row r="245" spans="1:31" ht="15" x14ac:dyDescent="0.25">
      <c r="A245" s="89"/>
      <c r="B245" s="89"/>
      <c r="C245" s="89"/>
      <c r="D245" s="89"/>
      <c r="E245" s="89"/>
      <c r="F245" s="89"/>
      <c r="G245" s="89"/>
      <c r="H245" s="89"/>
      <c r="I245" s="9"/>
      <c r="J245" s="9"/>
      <c r="K245" s="9"/>
      <c r="AB245">
        <f t="shared" si="13"/>
        <v>0</v>
      </c>
      <c r="AC245">
        <f t="shared" si="14"/>
        <v>0</v>
      </c>
      <c r="AD245">
        <f t="shared" si="15"/>
        <v>0</v>
      </c>
      <c r="AE245">
        <f t="shared" si="12"/>
        <v>0</v>
      </c>
    </row>
    <row r="246" spans="1:31" ht="15" x14ac:dyDescent="0.25">
      <c r="A246" s="89"/>
      <c r="B246" s="89"/>
      <c r="C246" s="89"/>
      <c r="D246" s="89"/>
      <c r="E246" s="89"/>
      <c r="F246" s="89"/>
      <c r="G246" s="89"/>
      <c r="H246" s="89"/>
      <c r="I246" s="9"/>
      <c r="J246" s="9"/>
      <c r="K246" s="9"/>
      <c r="AB246">
        <f t="shared" si="13"/>
        <v>0</v>
      </c>
      <c r="AC246">
        <f t="shared" si="14"/>
        <v>0</v>
      </c>
      <c r="AD246">
        <f t="shared" si="15"/>
        <v>0</v>
      </c>
      <c r="AE246">
        <f t="shared" si="12"/>
        <v>0</v>
      </c>
    </row>
    <row r="247" spans="1:31" ht="15" x14ac:dyDescent="0.25">
      <c r="A247" s="89"/>
      <c r="B247" s="89"/>
      <c r="C247" s="89"/>
      <c r="D247" s="89"/>
      <c r="E247" s="89"/>
      <c r="F247" s="89"/>
      <c r="G247" s="89"/>
      <c r="H247" s="89"/>
      <c r="I247" s="9"/>
      <c r="J247" s="9"/>
      <c r="K247" s="9"/>
      <c r="AB247">
        <f t="shared" si="13"/>
        <v>0</v>
      </c>
      <c r="AC247">
        <f t="shared" si="14"/>
        <v>0</v>
      </c>
      <c r="AD247">
        <f t="shared" si="15"/>
        <v>0</v>
      </c>
      <c r="AE247">
        <f t="shared" si="12"/>
        <v>0</v>
      </c>
    </row>
    <row r="248" spans="1:31" ht="15" x14ac:dyDescent="0.25">
      <c r="A248" s="89"/>
      <c r="B248" s="89"/>
      <c r="C248" s="89"/>
      <c r="D248" s="89"/>
      <c r="E248" s="89"/>
      <c r="F248" s="89"/>
      <c r="G248" s="89"/>
      <c r="H248" s="89"/>
      <c r="I248" s="9"/>
      <c r="J248" s="9"/>
      <c r="K248" s="9"/>
      <c r="AB248">
        <f t="shared" si="13"/>
        <v>0</v>
      </c>
      <c r="AC248">
        <f t="shared" si="14"/>
        <v>0</v>
      </c>
      <c r="AD248">
        <f t="shared" si="15"/>
        <v>0</v>
      </c>
      <c r="AE248">
        <f t="shared" si="12"/>
        <v>0</v>
      </c>
    </row>
    <row r="249" spans="1:31" ht="15" x14ac:dyDescent="0.25">
      <c r="A249" s="89"/>
      <c r="B249" s="89"/>
      <c r="C249" s="89"/>
      <c r="D249" s="89"/>
      <c r="E249" s="89"/>
      <c r="F249" s="89"/>
      <c r="G249" s="89"/>
      <c r="H249" s="89"/>
      <c r="I249" s="9"/>
      <c r="J249" s="9"/>
      <c r="K249" s="9"/>
      <c r="AB249">
        <f t="shared" si="13"/>
        <v>0</v>
      </c>
      <c r="AC249">
        <f t="shared" si="14"/>
        <v>0</v>
      </c>
      <c r="AD249">
        <f t="shared" si="15"/>
        <v>0</v>
      </c>
      <c r="AE249">
        <f t="shared" si="12"/>
        <v>0</v>
      </c>
    </row>
    <row r="250" spans="1:31" ht="15" x14ac:dyDescent="0.25">
      <c r="A250" s="89"/>
      <c r="B250" s="89"/>
      <c r="C250" s="89"/>
      <c r="D250" s="89"/>
      <c r="E250" s="89"/>
      <c r="F250" s="89"/>
      <c r="G250" s="89"/>
      <c r="H250" s="89"/>
      <c r="I250" s="9"/>
      <c r="J250" s="9"/>
      <c r="K250" s="9"/>
      <c r="AB250">
        <f t="shared" si="13"/>
        <v>0</v>
      </c>
      <c r="AC250">
        <f t="shared" si="14"/>
        <v>0</v>
      </c>
      <c r="AD250">
        <f t="shared" si="15"/>
        <v>0</v>
      </c>
      <c r="AE250">
        <f t="shared" si="12"/>
        <v>0</v>
      </c>
    </row>
    <row r="251" spans="1:31" ht="15" x14ac:dyDescent="0.25">
      <c r="A251" s="89"/>
      <c r="B251" s="89"/>
      <c r="C251" s="89"/>
      <c r="D251" s="89"/>
      <c r="E251" s="89"/>
      <c r="F251" s="89"/>
      <c r="G251" s="89"/>
      <c r="H251" s="89"/>
      <c r="I251" s="9"/>
      <c r="J251" s="9"/>
      <c r="K251" s="9"/>
      <c r="AB251">
        <f t="shared" si="13"/>
        <v>0</v>
      </c>
      <c r="AC251">
        <f t="shared" si="14"/>
        <v>0</v>
      </c>
      <c r="AD251">
        <f t="shared" si="15"/>
        <v>0</v>
      </c>
      <c r="AE251">
        <f t="shared" si="12"/>
        <v>0</v>
      </c>
    </row>
    <row r="252" spans="1:31" ht="15" x14ac:dyDescent="0.25">
      <c r="A252" s="89"/>
      <c r="B252" s="89"/>
      <c r="C252" s="89"/>
      <c r="D252" s="89"/>
      <c r="E252" s="89"/>
      <c r="F252" s="89"/>
      <c r="G252" s="89"/>
      <c r="H252" s="89"/>
      <c r="I252" s="9"/>
      <c r="J252" s="9"/>
      <c r="K252" s="9"/>
      <c r="AB252">
        <f t="shared" si="13"/>
        <v>0</v>
      </c>
      <c r="AC252">
        <f t="shared" si="14"/>
        <v>0</v>
      </c>
      <c r="AD252">
        <f t="shared" si="15"/>
        <v>0</v>
      </c>
      <c r="AE252">
        <f t="shared" si="12"/>
        <v>0</v>
      </c>
    </row>
    <row r="253" spans="1:31" ht="15" x14ac:dyDescent="0.25">
      <c r="A253" s="89"/>
      <c r="B253" s="89"/>
      <c r="C253" s="89"/>
      <c r="D253" s="89"/>
      <c r="E253" s="89"/>
      <c r="F253" s="89"/>
      <c r="G253" s="89"/>
      <c r="H253" s="89"/>
      <c r="I253" s="9"/>
      <c r="J253" s="9"/>
      <c r="K253" s="9"/>
      <c r="AB253">
        <f t="shared" si="13"/>
        <v>0</v>
      </c>
      <c r="AC253">
        <f t="shared" si="14"/>
        <v>0</v>
      </c>
      <c r="AD253">
        <f t="shared" si="15"/>
        <v>0</v>
      </c>
      <c r="AE253">
        <f t="shared" si="12"/>
        <v>0</v>
      </c>
    </row>
    <row r="254" spans="1:31" ht="15" x14ac:dyDescent="0.25">
      <c r="A254" s="89"/>
      <c r="B254" s="89"/>
      <c r="C254" s="89"/>
      <c r="D254" s="89"/>
      <c r="E254" s="89"/>
      <c r="F254" s="89"/>
      <c r="G254" s="89"/>
      <c r="H254" s="89"/>
      <c r="I254" s="9"/>
      <c r="J254" s="9"/>
      <c r="K254" s="9"/>
      <c r="AB254">
        <f t="shared" si="13"/>
        <v>0</v>
      </c>
      <c r="AC254">
        <f t="shared" si="14"/>
        <v>0</v>
      </c>
      <c r="AD254">
        <f t="shared" si="15"/>
        <v>0</v>
      </c>
      <c r="AE254">
        <f t="shared" si="12"/>
        <v>0</v>
      </c>
    </row>
    <row r="255" spans="1:31" ht="15" x14ac:dyDescent="0.25">
      <c r="A255" s="89"/>
      <c r="B255" s="89"/>
      <c r="C255" s="89"/>
      <c r="D255" s="89"/>
      <c r="E255" s="89"/>
      <c r="F255" s="89"/>
      <c r="G255" s="89"/>
      <c r="H255" s="89"/>
      <c r="I255" s="9"/>
      <c r="J255" s="9"/>
      <c r="K255" s="9"/>
      <c r="AB255">
        <f t="shared" si="13"/>
        <v>0</v>
      </c>
      <c r="AC255">
        <f t="shared" si="14"/>
        <v>0</v>
      </c>
      <c r="AD255">
        <f t="shared" si="15"/>
        <v>0</v>
      </c>
      <c r="AE255">
        <f t="shared" si="12"/>
        <v>0</v>
      </c>
    </row>
    <row r="256" spans="1:31" ht="15" x14ac:dyDescent="0.25">
      <c r="A256" s="89"/>
      <c r="B256" s="89"/>
      <c r="C256" s="89"/>
      <c r="D256" s="89"/>
      <c r="E256" s="89"/>
      <c r="F256" s="89"/>
      <c r="G256" s="89"/>
      <c r="H256" s="89"/>
      <c r="I256" s="9"/>
      <c r="J256" s="9"/>
      <c r="K256" s="9"/>
      <c r="AB256">
        <f t="shared" si="13"/>
        <v>0</v>
      </c>
      <c r="AC256">
        <f t="shared" si="14"/>
        <v>0</v>
      </c>
      <c r="AD256">
        <f t="shared" si="15"/>
        <v>0</v>
      </c>
      <c r="AE256">
        <f t="shared" si="12"/>
        <v>0</v>
      </c>
    </row>
    <row r="257" spans="1:31" ht="15" x14ac:dyDescent="0.25">
      <c r="A257" s="89"/>
      <c r="B257" s="89"/>
      <c r="C257" s="89"/>
      <c r="D257" s="89"/>
      <c r="E257" s="89"/>
      <c r="F257" s="89"/>
      <c r="G257" s="89"/>
      <c r="H257" s="89"/>
      <c r="I257" s="9"/>
      <c r="J257" s="9"/>
      <c r="K257" s="9"/>
      <c r="AB257">
        <f t="shared" si="13"/>
        <v>0</v>
      </c>
      <c r="AC257">
        <f t="shared" si="14"/>
        <v>0</v>
      </c>
      <c r="AD257">
        <f t="shared" si="15"/>
        <v>0</v>
      </c>
      <c r="AE257">
        <f t="shared" si="12"/>
        <v>0</v>
      </c>
    </row>
    <row r="258" spans="1:31" ht="15" x14ac:dyDescent="0.25">
      <c r="A258" s="89"/>
      <c r="B258" s="89"/>
      <c r="C258" s="89"/>
      <c r="D258" s="89"/>
      <c r="E258" s="89"/>
      <c r="F258" s="89"/>
      <c r="G258" s="89"/>
      <c r="H258" s="89"/>
      <c r="I258" s="9"/>
      <c r="J258" s="9"/>
      <c r="K258" s="9"/>
      <c r="AB258">
        <f t="shared" si="13"/>
        <v>0</v>
      </c>
      <c r="AC258">
        <f t="shared" si="14"/>
        <v>0</v>
      </c>
      <c r="AD258">
        <f t="shared" si="15"/>
        <v>0</v>
      </c>
      <c r="AE258">
        <f t="shared" si="12"/>
        <v>0</v>
      </c>
    </row>
    <row r="259" spans="1:31" ht="15" x14ac:dyDescent="0.25">
      <c r="A259" s="89"/>
      <c r="B259" s="89"/>
      <c r="C259" s="89"/>
      <c r="D259" s="89"/>
      <c r="E259" s="89"/>
      <c r="F259" s="89"/>
      <c r="G259" s="89"/>
      <c r="H259" s="89"/>
      <c r="I259" s="9"/>
      <c r="J259" s="9"/>
      <c r="K259" s="9"/>
      <c r="AB259">
        <f t="shared" si="13"/>
        <v>0</v>
      </c>
      <c r="AC259">
        <f t="shared" si="14"/>
        <v>0</v>
      </c>
      <c r="AD259">
        <f t="shared" si="15"/>
        <v>0</v>
      </c>
      <c r="AE259">
        <f t="shared" si="12"/>
        <v>0</v>
      </c>
    </row>
    <row r="260" spans="1:31" ht="15" x14ac:dyDescent="0.25">
      <c r="A260" s="89"/>
      <c r="B260" s="89"/>
      <c r="C260" s="89"/>
      <c r="D260" s="89"/>
      <c r="E260" s="89"/>
      <c r="F260" s="89"/>
      <c r="G260" s="89"/>
      <c r="H260" s="89"/>
      <c r="I260" s="9"/>
      <c r="J260" s="9"/>
      <c r="K260" s="9"/>
      <c r="AB260">
        <f t="shared" si="13"/>
        <v>0</v>
      </c>
      <c r="AC260">
        <f t="shared" si="14"/>
        <v>0</v>
      </c>
      <c r="AD260">
        <f t="shared" si="15"/>
        <v>0</v>
      </c>
      <c r="AE260">
        <f t="shared" si="12"/>
        <v>0</v>
      </c>
    </row>
    <row r="261" spans="1:31" ht="15" x14ac:dyDescent="0.25">
      <c r="A261" s="89"/>
      <c r="B261" s="89"/>
      <c r="C261" s="89"/>
      <c r="D261" s="89"/>
      <c r="E261" s="89"/>
      <c r="F261" s="89"/>
      <c r="G261" s="89"/>
      <c r="H261" s="89"/>
      <c r="I261" s="9"/>
      <c r="J261" s="9"/>
      <c r="K261" s="9"/>
      <c r="AB261">
        <f t="shared" si="13"/>
        <v>0</v>
      </c>
      <c r="AC261">
        <f t="shared" si="14"/>
        <v>0</v>
      </c>
      <c r="AD261">
        <f t="shared" si="15"/>
        <v>0</v>
      </c>
      <c r="AE261">
        <f t="shared" si="12"/>
        <v>0</v>
      </c>
    </row>
    <row r="262" spans="1:31" ht="15" x14ac:dyDescent="0.25">
      <c r="A262" s="89"/>
      <c r="B262" s="89"/>
      <c r="C262" s="89"/>
      <c r="D262" s="89"/>
      <c r="E262" s="89"/>
      <c r="F262" s="89"/>
      <c r="G262" s="89"/>
      <c r="H262" s="89"/>
      <c r="I262" s="9"/>
      <c r="J262" s="9"/>
      <c r="K262" s="9"/>
      <c r="AB262">
        <f t="shared" si="13"/>
        <v>0</v>
      </c>
      <c r="AC262">
        <f t="shared" si="14"/>
        <v>0</v>
      </c>
      <c r="AD262">
        <f t="shared" si="15"/>
        <v>0</v>
      </c>
      <c r="AE262">
        <f t="shared" si="12"/>
        <v>0</v>
      </c>
    </row>
    <row r="263" spans="1:31" ht="15" x14ac:dyDescent="0.25">
      <c r="A263" s="89"/>
      <c r="B263" s="89"/>
      <c r="C263" s="89"/>
      <c r="D263" s="89"/>
      <c r="E263" s="89"/>
      <c r="F263" s="89"/>
      <c r="G263" s="89"/>
      <c r="H263" s="89"/>
      <c r="I263" s="9"/>
      <c r="J263" s="9"/>
      <c r="K263" s="9"/>
      <c r="AB263">
        <f t="shared" si="13"/>
        <v>0</v>
      </c>
      <c r="AC263">
        <f t="shared" si="14"/>
        <v>0</v>
      </c>
      <c r="AD263">
        <f t="shared" si="15"/>
        <v>0</v>
      </c>
      <c r="AE263">
        <f t="shared" si="12"/>
        <v>0</v>
      </c>
    </row>
    <row r="264" spans="1:31" ht="15" x14ac:dyDescent="0.25">
      <c r="A264" s="89"/>
      <c r="B264" s="89"/>
      <c r="C264" s="89"/>
      <c r="D264" s="89"/>
      <c r="E264" s="89"/>
      <c r="F264" s="89"/>
      <c r="G264" s="89"/>
      <c r="H264" s="89"/>
      <c r="I264" s="9"/>
      <c r="J264" s="9"/>
      <c r="K264" s="9"/>
      <c r="AB264">
        <f t="shared" si="13"/>
        <v>0</v>
      </c>
      <c r="AC264">
        <f t="shared" si="14"/>
        <v>0</v>
      </c>
      <c r="AD264">
        <f t="shared" si="15"/>
        <v>0</v>
      </c>
      <c r="AE264">
        <f t="shared" si="12"/>
        <v>0</v>
      </c>
    </row>
    <row r="265" spans="1:31" ht="15" x14ac:dyDescent="0.25">
      <c r="A265" s="89"/>
      <c r="B265" s="89"/>
      <c r="C265" s="89"/>
      <c r="D265" s="89"/>
      <c r="E265" s="89"/>
      <c r="F265" s="89"/>
      <c r="G265" s="89"/>
      <c r="H265" s="89"/>
      <c r="I265" s="9"/>
      <c r="J265" s="9"/>
      <c r="K265" s="9"/>
      <c r="AB265">
        <f t="shared" si="13"/>
        <v>0</v>
      </c>
      <c r="AC265">
        <f t="shared" si="14"/>
        <v>0</v>
      </c>
      <c r="AD265">
        <f t="shared" si="15"/>
        <v>0</v>
      </c>
      <c r="AE265">
        <f t="shared" si="12"/>
        <v>0</v>
      </c>
    </row>
    <row r="266" spans="1:31" ht="15" x14ac:dyDescent="0.25">
      <c r="A266" s="89"/>
      <c r="B266" s="89"/>
      <c r="C266" s="89"/>
      <c r="D266" s="89"/>
      <c r="E266" s="89"/>
      <c r="F266" s="89"/>
      <c r="G266" s="89"/>
      <c r="H266" s="89"/>
      <c r="I266" s="9"/>
      <c r="J266" s="9"/>
      <c r="K266" s="9"/>
      <c r="AB266">
        <f t="shared" si="13"/>
        <v>0</v>
      </c>
      <c r="AC266">
        <f t="shared" si="14"/>
        <v>0</v>
      </c>
      <c r="AD266">
        <f t="shared" si="15"/>
        <v>0</v>
      </c>
      <c r="AE266">
        <f t="shared" si="12"/>
        <v>0</v>
      </c>
    </row>
    <row r="267" spans="1:31" ht="15" x14ac:dyDescent="0.25">
      <c r="A267" s="89"/>
      <c r="B267" s="89"/>
      <c r="C267" s="89"/>
      <c r="D267" s="89"/>
      <c r="E267" s="89"/>
      <c r="F267" s="89"/>
      <c r="G267" s="89"/>
      <c r="H267" s="89"/>
      <c r="I267" s="9"/>
      <c r="J267" s="9"/>
      <c r="K267" s="9"/>
      <c r="AB267">
        <f t="shared" si="13"/>
        <v>0</v>
      </c>
      <c r="AC267">
        <f t="shared" si="14"/>
        <v>0</v>
      </c>
      <c r="AD267">
        <f t="shared" si="15"/>
        <v>0</v>
      </c>
      <c r="AE267">
        <f t="shared" si="12"/>
        <v>0</v>
      </c>
    </row>
    <row r="268" spans="1:31" ht="15" x14ac:dyDescent="0.25">
      <c r="A268" s="89"/>
      <c r="B268" s="89"/>
      <c r="C268" s="89"/>
      <c r="D268" s="89"/>
      <c r="E268" s="89"/>
      <c r="F268" s="89"/>
      <c r="G268" s="89"/>
      <c r="H268" s="89"/>
      <c r="I268" s="9"/>
      <c r="J268" s="9"/>
      <c r="K268" s="9"/>
      <c r="AB268">
        <f t="shared" si="13"/>
        <v>0</v>
      </c>
      <c r="AC268">
        <f t="shared" si="14"/>
        <v>0</v>
      </c>
      <c r="AD268">
        <f t="shared" si="15"/>
        <v>0</v>
      </c>
      <c r="AE268">
        <f t="shared" si="12"/>
        <v>0</v>
      </c>
    </row>
    <row r="269" spans="1:31" ht="15" x14ac:dyDescent="0.25">
      <c r="A269" s="89"/>
      <c r="B269" s="89"/>
      <c r="C269" s="89"/>
      <c r="D269" s="89"/>
      <c r="E269" s="89"/>
      <c r="F269" s="89"/>
      <c r="G269" s="89"/>
      <c r="H269" s="89"/>
      <c r="I269" s="9"/>
      <c r="J269" s="9"/>
      <c r="K269" s="9"/>
      <c r="AB269">
        <f t="shared" si="13"/>
        <v>0</v>
      </c>
      <c r="AC269">
        <f t="shared" si="14"/>
        <v>0</v>
      </c>
      <c r="AD269">
        <f t="shared" si="15"/>
        <v>0</v>
      </c>
      <c r="AE269">
        <f t="shared" si="12"/>
        <v>0</v>
      </c>
    </row>
    <row r="270" spans="1:31" ht="15" x14ac:dyDescent="0.25">
      <c r="A270" s="89"/>
      <c r="B270" s="89"/>
      <c r="C270" s="89"/>
      <c r="D270" s="89"/>
      <c r="E270" s="89"/>
      <c r="F270" s="89"/>
      <c r="G270" s="89"/>
      <c r="H270" s="89"/>
      <c r="I270" s="9"/>
      <c r="J270" s="9"/>
      <c r="K270" s="9"/>
      <c r="AB270">
        <f t="shared" si="13"/>
        <v>0</v>
      </c>
      <c r="AC270">
        <f t="shared" si="14"/>
        <v>0</v>
      </c>
      <c r="AD270">
        <f t="shared" si="15"/>
        <v>0</v>
      </c>
      <c r="AE270">
        <f t="shared" ref="AE270:AE333" si="16">IF(AND($D270="Question",$H270="Not applicable"),1,0)</f>
        <v>0</v>
      </c>
    </row>
    <row r="271" spans="1:31" ht="15" x14ac:dyDescent="0.25">
      <c r="A271" s="89"/>
      <c r="B271" s="89"/>
      <c r="C271" s="89"/>
      <c r="D271" s="89"/>
      <c r="E271" s="89"/>
      <c r="F271" s="89"/>
      <c r="G271" s="89"/>
      <c r="H271" s="89"/>
      <c r="I271" s="9"/>
      <c r="J271" s="9"/>
      <c r="K271" s="9"/>
      <c r="AB271">
        <f t="shared" ref="AB271:AB334" si="17">IF(AND($D271="Question",$H271="OK"),1,0)</f>
        <v>0</v>
      </c>
      <c r="AC271">
        <f t="shared" ref="AC271:AC334" si="18">IF(AND($D271="Question",$H271="Not OK"),1,0)</f>
        <v>0</v>
      </c>
      <c r="AD271">
        <f t="shared" ref="AD271:AD334" si="19">IF(AND($D271="Question",$H271=""),1,0)</f>
        <v>0</v>
      </c>
      <c r="AE271">
        <f t="shared" si="16"/>
        <v>0</v>
      </c>
    </row>
    <row r="272" spans="1:31" ht="15" x14ac:dyDescent="0.25">
      <c r="A272" s="89"/>
      <c r="B272" s="89"/>
      <c r="C272" s="89"/>
      <c r="D272" s="89"/>
      <c r="E272" s="89"/>
      <c r="F272" s="89"/>
      <c r="G272" s="89"/>
      <c r="H272" s="89"/>
      <c r="I272" s="9"/>
      <c r="J272" s="9"/>
      <c r="K272" s="9"/>
      <c r="AB272">
        <f t="shared" si="17"/>
        <v>0</v>
      </c>
      <c r="AC272">
        <f t="shared" si="18"/>
        <v>0</v>
      </c>
      <c r="AD272">
        <f t="shared" si="19"/>
        <v>0</v>
      </c>
      <c r="AE272">
        <f t="shared" si="16"/>
        <v>0</v>
      </c>
    </row>
    <row r="273" spans="1:31" ht="15" x14ac:dyDescent="0.25">
      <c r="A273" s="89"/>
      <c r="B273" s="89"/>
      <c r="C273" s="89"/>
      <c r="D273" s="89"/>
      <c r="E273" s="89"/>
      <c r="F273" s="89"/>
      <c r="G273" s="89"/>
      <c r="H273" s="89"/>
      <c r="I273" s="9"/>
      <c r="J273" s="9"/>
      <c r="K273" s="9"/>
      <c r="AB273">
        <f t="shared" si="17"/>
        <v>0</v>
      </c>
      <c r="AC273">
        <f t="shared" si="18"/>
        <v>0</v>
      </c>
      <c r="AD273">
        <f t="shared" si="19"/>
        <v>0</v>
      </c>
      <c r="AE273">
        <f t="shared" si="16"/>
        <v>0</v>
      </c>
    </row>
    <row r="274" spans="1:31" ht="15" x14ac:dyDescent="0.25">
      <c r="A274" s="89"/>
      <c r="B274" s="89"/>
      <c r="C274" s="89"/>
      <c r="D274" s="89"/>
      <c r="E274" s="89"/>
      <c r="F274" s="89"/>
      <c r="G274" s="89"/>
      <c r="H274" s="89"/>
      <c r="I274" s="9"/>
      <c r="J274" s="9"/>
      <c r="K274" s="9"/>
      <c r="AB274">
        <f t="shared" si="17"/>
        <v>0</v>
      </c>
      <c r="AC274">
        <f t="shared" si="18"/>
        <v>0</v>
      </c>
      <c r="AD274">
        <f t="shared" si="19"/>
        <v>0</v>
      </c>
      <c r="AE274">
        <f t="shared" si="16"/>
        <v>0</v>
      </c>
    </row>
    <row r="275" spans="1:31" ht="15" x14ac:dyDescent="0.25">
      <c r="A275" s="89"/>
      <c r="B275" s="89"/>
      <c r="C275" s="89"/>
      <c r="D275" s="89"/>
      <c r="E275" s="89"/>
      <c r="F275" s="89"/>
      <c r="G275" s="89"/>
      <c r="H275" s="89"/>
      <c r="I275" s="9"/>
      <c r="J275" s="9"/>
      <c r="K275" s="9"/>
      <c r="AB275">
        <f t="shared" si="17"/>
        <v>0</v>
      </c>
      <c r="AC275">
        <f t="shared" si="18"/>
        <v>0</v>
      </c>
      <c r="AD275">
        <f t="shared" si="19"/>
        <v>0</v>
      </c>
      <c r="AE275">
        <f t="shared" si="16"/>
        <v>0</v>
      </c>
    </row>
    <row r="276" spans="1:31" ht="15" x14ac:dyDescent="0.25">
      <c r="A276" s="89"/>
      <c r="B276" s="89"/>
      <c r="C276" s="89"/>
      <c r="D276" s="89"/>
      <c r="E276" s="89"/>
      <c r="F276" s="89"/>
      <c r="G276" s="89"/>
      <c r="H276" s="89"/>
      <c r="I276" s="9"/>
      <c r="J276" s="9"/>
      <c r="K276" s="9"/>
      <c r="AB276">
        <f t="shared" si="17"/>
        <v>0</v>
      </c>
      <c r="AC276">
        <f t="shared" si="18"/>
        <v>0</v>
      </c>
      <c r="AD276">
        <f t="shared" si="19"/>
        <v>0</v>
      </c>
      <c r="AE276">
        <f t="shared" si="16"/>
        <v>0</v>
      </c>
    </row>
    <row r="277" spans="1:31" ht="15" x14ac:dyDescent="0.25">
      <c r="A277" s="89"/>
      <c r="B277" s="89"/>
      <c r="C277" s="89"/>
      <c r="D277" s="89"/>
      <c r="E277" s="89"/>
      <c r="F277" s="89"/>
      <c r="G277" s="89"/>
      <c r="H277" s="89"/>
      <c r="I277" s="9"/>
      <c r="J277" s="9"/>
      <c r="K277" s="9"/>
      <c r="AB277">
        <f t="shared" si="17"/>
        <v>0</v>
      </c>
      <c r="AC277">
        <f t="shared" si="18"/>
        <v>0</v>
      </c>
      <c r="AD277">
        <f t="shared" si="19"/>
        <v>0</v>
      </c>
      <c r="AE277">
        <f t="shared" si="16"/>
        <v>0</v>
      </c>
    </row>
    <row r="278" spans="1:31" ht="15" x14ac:dyDescent="0.25">
      <c r="A278" s="89"/>
      <c r="B278" s="89"/>
      <c r="C278" s="89"/>
      <c r="D278" s="89"/>
      <c r="E278" s="89"/>
      <c r="F278" s="89"/>
      <c r="G278" s="89"/>
      <c r="H278" s="89"/>
      <c r="I278" s="9"/>
      <c r="J278" s="9"/>
      <c r="K278" s="9"/>
      <c r="AB278">
        <f t="shared" si="17"/>
        <v>0</v>
      </c>
      <c r="AC278">
        <f t="shared" si="18"/>
        <v>0</v>
      </c>
      <c r="AD278">
        <f t="shared" si="19"/>
        <v>0</v>
      </c>
      <c r="AE278">
        <f t="shared" si="16"/>
        <v>0</v>
      </c>
    </row>
    <row r="279" spans="1:31" ht="15" x14ac:dyDescent="0.25">
      <c r="A279" s="89"/>
      <c r="B279" s="89"/>
      <c r="C279" s="89"/>
      <c r="D279" s="89"/>
      <c r="E279" s="89"/>
      <c r="F279" s="89"/>
      <c r="G279" s="89"/>
      <c r="H279" s="89"/>
      <c r="I279" s="9"/>
      <c r="J279" s="9"/>
      <c r="K279" s="9"/>
      <c r="AB279">
        <f t="shared" si="17"/>
        <v>0</v>
      </c>
      <c r="AC279">
        <f t="shared" si="18"/>
        <v>0</v>
      </c>
      <c r="AD279">
        <f t="shared" si="19"/>
        <v>0</v>
      </c>
      <c r="AE279">
        <f t="shared" si="16"/>
        <v>0</v>
      </c>
    </row>
    <row r="280" spans="1:31" ht="15" x14ac:dyDescent="0.25">
      <c r="A280" s="89"/>
      <c r="B280" s="89"/>
      <c r="C280" s="89"/>
      <c r="D280" s="89"/>
      <c r="E280" s="89"/>
      <c r="F280" s="89"/>
      <c r="G280" s="89"/>
      <c r="H280" s="89"/>
      <c r="I280" s="9"/>
      <c r="J280" s="9"/>
      <c r="K280" s="9"/>
      <c r="AB280">
        <f t="shared" si="17"/>
        <v>0</v>
      </c>
      <c r="AC280">
        <f t="shared" si="18"/>
        <v>0</v>
      </c>
      <c r="AD280">
        <f t="shared" si="19"/>
        <v>0</v>
      </c>
      <c r="AE280">
        <f t="shared" si="16"/>
        <v>0</v>
      </c>
    </row>
    <row r="281" spans="1:31" ht="15" x14ac:dyDescent="0.25">
      <c r="A281" s="89"/>
      <c r="B281" s="89"/>
      <c r="C281" s="89"/>
      <c r="D281" s="89"/>
      <c r="E281" s="89"/>
      <c r="F281" s="89"/>
      <c r="G281" s="89"/>
      <c r="H281" s="89"/>
      <c r="I281" s="9"/>
      <c r="J281" s="9"/>
      <c r="K281" s="9"/>
      <c r="AB281">
        <f t="shared" si="17"/>
        <v>0</v>
      </c>
      <c r="AC281">
        <f t="shared" si="18"/>
        <v>0</v>
      </c>
      <c r="AD281">
        <f t="shared" si="19"/>
        <v>0</v>
      </c>
      <c r="AE281">
        <f t="shared" si="16"/>
        <v>0</v>
      </c>
    </row>
    <row r="282" spans="1:31" ht="15" x14ac:dyDescent="0.25">
      <c r="A282" s="89"/>
      <c r="B282" s="89"/>
      <c r="C282" s="89"/>
      <c r="D282" s="89"/>
      <c r="E282" s="89"/>
      <c r="F282" s="89"/>
      <c r="G282" s="89"/>
      <c r="H282" s="89"/>
      <c r="I282" s="9"/>
      <c r="J282" s="9"/>
      <c r="K282" s="9"/>
      <c r="AB282">
        <f t="shared" si="17"/>
        <v>0</v>
      </c>
      <c r="AC282">
        <f t="shared" si="18"/>
        <v>0</v>
      </c>
      <c r="AD282">
        <f t="shared" si="19"/>
        <v>0</v>
      </c>
      <c r="AE282">
        <f t="shared" si="16"/>
        <v>0</v>
      </c>
    </row>
    <row r="283" spans="1:31" ht="15" x14ac:dyDescent="0.25">
      <c r="A283" s="89"/>
      <c r="B283" s="89"/>
      <c r="C283" s="89"/>
      <c r="D283" s="89"/>
      <c r="E283" s="89"/>
      <c r="F283" s="89"/>
      <c r="G283" s="89"/>
      <c r="H283" s="89"/>
      <c r="I283" s="9"/>
      <c r="J283" s="9"/>
      <c r="K283" s="9"/>
      <c r="AB283">
        <f t="shared" si="17"/>
        <v>0</v>
      </c>
      <c r="AC283">
        <f t="shared" si="18"/>
        <v>0</v>
      </c>
      <c r="AD283">
        <f t="shared" si="19"/>
        <v>0</v>
      </c>
      <c r="AE283">
        <f t="shared" si="16"/>
        <v>0</v>
      </c>
    </row>
    <row r="284" spans="1:31" ht="15" x14ac:dyDescent="0.25">
      <c r="A284" s="89"/>
      <c r="B284" s="89"/>
      <c r="C284" s="89"/>
      <c r="D284" s="89"/>
      <c r="E284" s="89"/>
      <c r="F284" s="89"/>
      <c r="G284" s="89"/>
      <c r="H284" s="89"/>
      <c r="I284" s="9"/>
      <c r="J284" s="9"/>
      <c r="K284" s="9"/>
      <c r="AB284">
        <f t="shared" si="17"/>
        <v>0</v>
      </c>
      <c r="AC284">
        <f t="shared" si="18"/>
        <v>0</v>
      </c>
      <c r="AD284">
        <f t="shared" si="19"/>
        <v>0</v>
      </c>
      <c r="AE284">
        <f t="shared" si="16"/>
        <v>0</v>
      </c>
    </row>
    <row r="285" spans="1:31" ht="15" x14ac:dyDescent="0.25">
      <c r="A285" s="89"/>
      <c r="B285" s="89"/>
      <c r="C285" s="89"/>
      <c r="D285" s="89"/>
      <c r="E285" s="89"/>
      <c r="F285" s="89"/>
      <c r="G285" s="89"/>
      <c r="H285" s="89"/>
      <c r="I285" s="9"/>
      <c r="J285" s="9"/>
      <c r="K285" s="9"/>
      <c r="AB285">
        <f t="shared" si="17"/>
        <v>0</v>
      </c>
      <c r="AC285">
        <f t="shared" si="18"/>
        <v>0</v>
      </c>
      <c r="AD285">
        <f t="shared" si="19"/>
        <v>0</v>
      </c>
      <c r="AE285">
        <f t="shared" si="16"/>
        <v>0</v>
      </c>
    </row>
    <row r="286" spans="1:31" ht="15" x14ac:dyDescent="0.25">
      <c r="A286" s="89"/>
      <c r="B286" s="89"/>
      <c r="C286" s="89"/>
      <c r="D286" s="89"/>
      <c r="E286" s="89"/>
      <c r="F286" s="89"/>
      <c r="G286" s="89"/>
      <c r="H286" s="89"/>
      <c r="I286" s="9"/>
      <c r="J286" s="9"/>
      <c r="K286" s="9"/>
      <c r="AB286">
        <f t="shared" si="17"/>
        <v>0</v>
      </c>
      <c r="AC286">
        <f t="shared" si="18"/>
        <v>0</v>
      </c>
      <c r="AD286">
        <f t="shared" si="19"/>
        <v>0</v>
      </c>
      <c r="AE286">
        <f t="shared" si="16"/>
        <v>0</v>
      </c>
    </row>
    <row r="287" spans="1:31" ht="15" x14ac:dyDescent="0.25">
      <c r="A287" s="89"/>
      <c r="B287" s="89"/>
      <c r="C287" s="89"/>
      <c r="D287" s="89"/>
      <c r="E287" s="89"/>
      <c r="F287" s="89"/>
      <c r="G287" s="89"/>
      <c r="H287" s="89"/>
      <c r="I287" s="9"/>
      <c r="J287" s="9"/>
      <c r="K287" s="9"/>
      <c r="AB287">
        <f t="shared" si="17"/>
        <v>0</v>
      </c>
      <c r="AC287">
        <f t="shared" si="18"/>
        <v>0</v>
      </c>
      <c r="AD287">
        <f t="shared" si="19"/>
        <v>0</v>
      </c>
      <c r="AE287">
        <f t="shared" si="16"/>
        <v>0</v>
      </c>
    </row>
    <row r="288" spans="1:31" ht="15" x14ac:dyDescent="0.25">
      <c r="A288" s="89"/>
      <c r="B288" s="89"/>
      <c r="C288" s="89"/>
      <c r="D288" s="89"/>
      <c r="E288" s="89"/>
      <c r="F288" s="89"/>
      <c r="G288" s="89"/>
      <c r="H288" s="89"/>
      <c r="I288" s="9"/>
      <c r="J288" s="9"/>
      <c r="K288" s="9"/>
      <c r="AB288">
        <f t="shared" si="17"/>
        <v>0</v>
      </c>
      <c r="AC288">
        <f t="shared" si="18"/>
        <v>0</v>
      </c>
      <c r="AD288">
        <f t="shared" si="19"/>
        <v>0</v>
      </c>
      <c r="AE288">
        <f t="shared" si="16"/>
        <v>0</v>
      </c>
    </row>
    <row r="289" spans="1:31" ht="15" x14ac:dyDescent="0.25">
      <c r="A289" s="89"/>
      <c r="B289" s="89"/>
      <c r="C289" s="89"/>
      <c r="D289" s="89"/>
      <c r="E289" s="89"/>
      <c r="F289" s="89"/>
      <c r="G289" s="89"/>
      <c r="H289" s="89"/>
      <c r="I289" s="9"/>
      <c r="J289" s="9"/>
      <c r="K289" s="9"/>
      <c r="AB289">
        <f t="shared" si="17"/>
        <v>0</v>
      </c>
      <c r="AC289">
        <f t="shared" si="18"/>
        <v>0</v>
      </c>
      <c r="AD289">
        <f t="shared" si="19"/>
        <v>0</v>
      </c>
      <c r="AE289">
        <f t="shared" si="16"/>
        <v>0</v>
      </c>
    </row>
    <row r="290" spans="1:31" ht="15" x14ac:dyDescent="0.25">
      <c r="A290" s="89"/>
      <c r="B290" s="89"/>
      <c r="C290" s="89"/>
      <c r="D290" s="89"/>
      <c r="E290" s="89"/>
      <c r="F290" s="89"/>
      <c r="G290" s="89"/>
      <c r="H290" s="89"/>
      <c r="I290" s="9"/>
      <c r="J290" s="9"/>
      <c r="K290" s="9"/>
      <c r="AB290">
        <f t="shared" si="17"/>
        <v>0</v>
      </c>
      <c r="AC290">
        <f t="shared" si="18"/>
        <v>0</v>
      </c>
      <c r="AD290">
        <f t="shared" si="19"/>
        <v>0</v>
      </c>
      <c r="AE290">
        <f t="shared" si="16"/>
        <v>0</v>
      </c>
    </row>
    <row r="291" spans="1:31" ht="15" x14ac:dyDescent="0.25">
      <c r="A291" s="89"/>
      <c r="B291" s="89"/>
      <c r="C291" s="89"/>
      <c r="D291" s="89"/>
      <c r="E291" s="89"/>
      <c r="F291" s="89"/>
      <c r="G291" s="89"/>
      <c r="H291" s="89"/>
      <c r="I291" s="9"/>
      <c r="J291" s="9"/>
      <c r="K291" s="9"/>
      <c r="AB291">
        <f t="shared" si="17"/>
        <v>0</v>
      </c>
      <c r="AC291">
        <f t="shared" si="18"/>
        <v>0</v>
      </c>
      <c r="AD291">
        <f t="shared" si="19"/>
        <v>0</v>
      </c>
      <c r="AE291">
        <f t="shared" si="16"/>
        <v>0</v>
      </c>
    </row>
    <row r="292" spans="1:31" ht="15" x14ac:dyDescent="0.25">
      <c r="A292" s="89"/>
      <c r="B292" s="89"/>
      <c r="C292" s="89"/>
      <c r="D292" s="89"/>
      <c r="E292" s="89"/>
      <c r="F292" s="89"/>
      <c r="G292" s="89"/>
      <c r="H292" s="89"/>
      <c r="I292" s="9"/>
      <c r="J292" s="9"/>
      <c r="K292" s="9"/>
      <c r="AB292">
        <f t="shared" si="17"/>
        <v>0</v>
      </c>
      <c r="AC292">
        <f t="shared" si="18"/>
        <v>0</v>
      </c>
      <c r="AD292">
        <f t="shared" si="19"/>
        <v>0</v>
      </c>
      <c r="AE292">
        <f t="shared" si="16"/>
        <v>0</v>
      </c>
    </row>
    <row r="293" spans="1:31" ht="15" x14ac:dyDescent="0.25">
      <c r="A293" s="89"/>
      <c r="B293" s="89"/>
      <c r="C293" s="89"/>
      <c r="D293" s="89"/>
      <c r="E293" s="89"/>
      <c r="F293" s="89"/>
      <c r="G293" s="89"/>
      <c r="H293" s="89"/>
      <c r="I293" s="9"/>
      <c r="J293" s="9"/>
      <c r="K293" s="9"/>
      <c r="AB293">
        <f t="shared" si="17"/>
        <v>0</v>
      </c>
      <c r="AC293">
        <f t="shared" si="18"/>
        <v>0</v>
      </c>
      <c r="AD293">
        <f t="shared" si="19"/>
        <v>0</v>
      </c>
      <c r="AE293">
        <f t="shared" si="16"/>
        <v>0</v>
      </c>
    </row>
    <row r="294" spans="1:31" ht="15" x14ac:dyDescent="0.25">
      <c r="A294" s="89"/>
      <c r="B294" s="89"/>
      <c r="C294" s="89"/>
      <c r="D294" s="89"/>
      <c r="E294" s="89"/>
      <c r="F294" s="89"/>
      <c r="G294" s="89"/>
      <c r="H294" s="89"/>
      <c r="I294" s="9"/>
      <c r="J294" s="9"/>
      <c r="K294" s="9"/>
      <c r="AB294">
        <f t="shared" si="17"/>
        <v>0</v>
      </c>
      <c r="AC294">
        <f t="shared" si="18"/>
        <v>0</v>
      </c>
      <c r="AD294">
        <f t="shared" si="19"/>
        <v>0</v>
      </c>
      <c r="AE294">
        <f t="shared" si="16"/>
        <v>0</v>
      </c>
    </row>
    <row r="295" spans="1:31" ht="15" x14ac:dyDescent="0.25">
      <c r="A295" s="89"/>
      <c r="B295" s="89"/>
      <c r="C295" s="89"/>
      <c r="D295" s="89"/>
      <c r="E295" s="89"/>
      <c r="F295" s="89"/>
      <c r="G295" s="89"/>
      <c r="H295" s="89"/>
      <c r="I295" s="9"/>
      <c r="J295" s="9"/>
      <c r="K295" s="9"/>
      <c r="AB295">
        <f t="shared" si="17"/>
        <v>0</v>
      </c>
      <c r="AC295">
        <f t="shared" si="18"/>
        <v>0</v>
      </c>
      <c r="AD295">
        <f t="shared" si="19"/>
        <v>0</v>
      </c>
      <c r="AE295">
        <f t="shared" si="16"/>
        <v>0</v>
      </c>
    </row>
    <row r="296" spans="1:31" ht="15" x14ac:dyDescent="0.25">
      <c r="A296" s="89"/>
      <c r="B296" s="89"/>
      <c r="C296" s="89"/>
      <c r="D296" s="89"/>
      <c r="E296" s="89"/>
      <c r="F296" s="89"/>
      <c r="G296" s="89"/>
      <c r="H296" s="89"/>
      <c r="I296" s="9"/>
      <c r="J296" s="9"/>
      <c r="K296" s="9"/>
      <c r="AB296">
        <f t="shared" si="17"/>
        <v>0</v>
      </c>
      <c r="AC296">
        <f t="shared" si="18"/>
        <v>0</v>
      </c>
      <c r="AD296">
        <f t="shared" si="19"/>
        <v>0</v>
      </c>
      <c r="AE296">
        <f t="shared" si="16"/>
        <v>0</v>
      </c>
    </row>
    <row r="297" spans="1:31" ht="15" x14ac:dyDescent="0.25">
      <c r="A297" s="89"/>
      <c r="B297" s="89"/>
      <c r="C297" s="89"/>
      <c r="D297" s="89"/>
      <c r="E297" s="89"/>
      <c r="F297" s="89"/>
      <c r="G297" s="89"/>
      <c r="H297" s="89"/>
      <c r="I297" s="9"/>
      <c r="J297" s="9"/>
      <c r="K297" s="9"/>
      <c r="AB297">
        <f t="shared" si="17"/>
        <v>0</v>
      </c>
      <c r="AC297">
        <f t="shared" si="18"/>
        <v>0</v>
      </c>
      <c r="AD297">
        <f t="shared" si="19"/>
        <v>0</v>
      </c>
      <c r="AE297">
        <f t="shared" si="16"/>
        <v>0</v>
      </c>
    </row>
    <row r="298" spans="1:31" ht="15" x14ac:dyDescent="0.25">
      <c r="A298" s="89"/>
      <c r="B298" s="89"/>
      <c r="C298" s="89"/>
      <c r="D298" s="89"/>
      <c r="E298" s="89"/>
      <c r="F298" s="89"/>
      <c r="G298" s="89"/>
      <c r="H298" s="89"/>
      <c r="I298" s="9"/>
      <c r="J298" s="9"/>
      <c r="K298" s="9"/>
      <c r="AB298">
        <f t="shared" si="17"/>
        <v>0</v>
      </c>
      <c r="AC298">
        <f t="shared" si="18"/>
        <v>0</v>
      </c>
      <c r="AD298">
        <f t="shared" si="19"/>
        <v>0</v>
      </c>
      <c r="AE298">
        <f t="shared" si="16"/>
        <v>0</v>
      </c>
    </row>
    <row r="299" spans="1:31" ht="15" x14ac:dyDescent="0.25">
      <c r="A299" s="89"/>
      <c r="B299" s="89"/>
      <c r="C299" s="89"/>
      <c r="D299" s="89"/>
      <c r="E299" s="89"/>
      <c r="F299" s="89"/>
      <c r="G299" s="89"/>
      <c r="H299" s="89"/>
      <c r="I299" s="9"/>
      <c r="J299" s="9"/>
      <c r="K299" s="9"/>
      <c r="AB299">
        <f t="shared" si="17"/>
        <v>0</v>
      </c>
      <c r="AC299">
        <f t="shared" si="18"/>
        <v>0</v>
      </c>
      <c r="AD299">
        <f t="shared" si="19"/>
        <v>0</v>
      </c>
      <c r="AE299">
        <f t="shared" si="16"/>
        <v>0</v>
      </c>
    </row>
    <row r="300" spans="1:31" ht="15" x14ac:dyDescent="0.25">
      <c r="A300" s="89"/>
      <c r="B300" s="89"/>
      <c r="C300" s="89"/>
      <c r="D300" s="89"/>
      <c r="E300" s="89"/>
      <c r="F300" s="89"/>
      <c r="G300" s="89"/>
      <c r="H300" s="89"/>
      <c r="I300" s="9"/>
      <c r="J300" s="9"/>
      <c r="K300" s="9"/>
      <c r="AB300">
        <f t="shared" si="17"/>
        <v>0</v>
      </c>
      <c r="AC300">
        <f t="shared" si="18"/>
        <v>0</v>
      </c>
      <c r="AD300">
        <f t="shared" si="19"/>
        <v>0</v>
      </c>
      <c r="AE300">
        <f t="shared" si="16"/>
        <v>0</v>
      </c>
    </row>
    <row r="301" spans="1:31" ht="15" x14ac:dyDescent="0.25">
      <c r="A301" s="89"/>
      <c r="B301" s="89"/>
      <c r="C301" s="89"/>
      <c r="D301" s="89"/>
      <c r="E301" s="89"/>
      <c r="F301" s="89"/>
      <c r="G301" s="89"/>
      <c r="H301" s="89"/>
      <c r="I301" s="9"/>
      <c r="J301" s="9"/>
      <c r="K301" s="9"/>
      <c r="AB301">
        <f t="shared" si="17"/>
        <v>0</v>
      </c>
      <c r="AC301">
        <f t="shared" si="18"/>
        <v>0</v>
      </c>
      <c r="AD301">
        <f t="shared" si="19"/>
        <v>0</v>
      </c>
      <c r="AE301">
        <f t="shared" si="16"/>
        <v>0</v>
      </c>
    </row>
    <row r="302" spans="1:31" ht="15" x14ac:dyDescent="0.25">
      <c r="A302" s="89"/>
      <c r="B302" s="89"/>
      <c r="C302" s="89"/>
      <c r="D302" s="89"/>
      <c r="E302" s="89"/>
      <c r="F302" s="89"/>
      <c r="G302" s="89"/>
      <c r="H302" s="89"/>
      <c r="I302" s="9"/>
      <c r="J302" s="9"/>
      <c r="K302" s="9"/>
      <c r="AB302">
        <f t="shared" si="17"/>
        <v>0</v>
      </c>
      <c r="AC302">
        <f t="shared" si="18"/>
        <v>0</v>
      </c>
      <c r="AD302">
        <f t="shared" si="19"/>
        <v>0</v>
      </c>
      <c r="AE302">
        <f t="shared" si="16"/>
        <v>0</v>
      </c>
    </row>
    <row r="303" spans="1:31" ht="15" x14ac:dyDescent="0.25">
      <c r="A303" s="89"/>
      <c r="B303" s="89"/>
      <c r="C303" s="89"/>
      <c r="D303" s="89"/>
      <c r="E303" s="89"/>
      <c r="F303" s="89"/>
      <c r="G303" s="89"/>
      <c r="H303" s="89"/>
      <c r="I303" s="9"/>
      <c r="J303" s="9"/>
      <c r="K303" s="9"/>
      <c r="AB303">
        <f t="shared" si="17"/>
        <v>0</v>
      </c>
      <c r="AC303">
        <f t="shared" si="18"/>
        <v>0</v>
      </c>
      <c r="AD303">
        <f t="shared" si="19"/>
        <v>0</v>
      </c>
      <c r="AE303">
        <f t="shared" si="16"/>
        <v>0</v>
      </c>
    </row>
    <row r="304" spans="1:31" ht="15" x14ac:dyDescent="0.25">
      <c r="A304" s="89"/>
      <c r="B304" s="89"/>
      <c r="C304" s="89"/>
      <c r="D304" s="89"/>
      <c r="E304" s="89"/>
      <c r="F304" s="89"/>
      <c r="G304" s="89"/>
      <c r="H304" s="89"/>
      <c r="I304" s="9"/>
      <c r="J304" s="9"/>
      <c r="K304" s="9"/>
      <c r="AB304">
        <f t="shared" si="17"/>
        <v>0</v>
      </c>
      <c r="AC304">
        <f t="shared" si="18"/>
        <v>0</v>
      </c>
      <c r="AD304">
        <f t="shared" si="19"/>
        <v>0</v>
      </c>
      <c r="AE304">
        <f t="shared" si="16"/>
        <v>0</v>
      </c>
    </row>
    <row r="305" spans="1:31" ht="15" x14ac:dyDescent="0.25">
      <c r="A305" s="89"/>
      <c r="B305" s="89"/>
      <c r="C305" s="89"/>
      <c r="D305" s="89"/>
      <c r="E305" s="89"/>
      <c r="F305" s="89"/>
      <c r="G305" s="89"/>
      <c r="H305" s="89"/>
      <c r="I305" s="9"/>
      <c r="J305" s="9"/>
      <c r="K305" s="9"/>
      <c r="AB305">
        <f t="shared" si="17"/>
        <v>0</v>
      </c>
      <c r="AC305">
        <f t="shared" si="18"/>
        <v>0</v>
      </c>
      <c r="AD305">
        <f t="shared" si="19"/>
        <v>0</v>
      </c>
      <c r="AE305">
        <f t="shared" si="16"/>
        <v>0</v>
      </c>
    </row>
    <row r="306" spans="1:31" ht="15" x14ac:dyDescent="0.25">
      <c r="A306" s="89"/>
      <c r="B306" s="89"/>
      <c r="C306" s="89"/>
      <c r="D306" s="89"/>
      <c r="E306" s="89"/>
      <c r="F306" s="89"/>
      <c r="G306" s="89"/>
      <c r="H306" s="89"/>
      <c r="I306" s="9"/>
      <c r="J306" s="9"/>
      <c r="K306" s="9"/>
      <c r="AB306">
        <f t="shared" si="17"/>
        <v>0</v>
      </c>
      <c r="AC306">
        <f t="shared" si="18"/>
        <v>0</v>
      </c>
      <c r="AD306">
        <f t="shared" si="19"/>
        <v>0</v>
      </c>
      <c r="AE306">
        <f t="shared" si="16"/>
        <v>0</v>
      </c>
    </row>
    <row r="307" spans="1:31" ht="15" x14ac:dyDescent="0.25">
      <c r="A307" s="89"/>
      <c r="B307" s="89"/>
      <c r="C307" s="89"/>
      <c r="D307" s="89"/>
      <c r="E307" s="89"/>
      <c r="F307" s="89"/>
      <c r="G307" s="89"/>
      <c r="H307" s="89"/>
      <c r="I307" s="9"/>
      <c r="J307" s="9"/>
      <c r="K307" s="9"/>
      <c r="AB307">
        <f t="shared" si="17"/>
        <v>0</v>
      </c>
      <c r="AC307">
        <f t="shared" si="18"/>
        <v>0</v>
      </c>
      <c r="AD307">
        <f t="shared" si="19"/>
        <v>0</v>
      </c>
      <c r="AE307">
        <f t="shared" si="16"/>
        <v>0</v>
      </c>
    </row>
    <row r="308" spans="1:31" ht="15" x14ac:dyDescent="0.25">
      <c r="A308" s="89"/>
      <c r="B308" s="89"/>
      <c r="C308" s="89"/>
      <c r="D308" s="89"/>
      <c r="E308" s="89"/>
      <c r="F308" s="89"/>
      <c r="G308" s="89"/>
      <c r="H308" s="89"/>
      <c r="I308" s="9"/>
      <c r="J308" s="9"/>
      <c r="K308" s="9"/>
      <c r="AB308">
        <f t="shared" si="17"/>
        <v>0</v>
      </c>
      <c r="AC308">
        <f t="shared" si="18"/>
        <v>0</v>
      </c>
      <c r="AD308">
        <f t="shared" si="19"/>
        <v>0</v>
      </c>
      <c r="AE308">
        <f t="shared" si="16"/>
        <v>0</v>
      </c>
    </row>
    <row r="309" spans="1:31" ht="15" x14ac:dyDescent="0.25">
      <c r="A309" s="89"/>
      <c r="B309" s="89"/>
      <c r="C309" s="89"/>
      <c r="D309" s="89"/>
      <c r="E309" s="89"/>
      <c r="F309" s="89"/>
      <c r="G309" s="89"/>
      <c r="H309" s="89"/>
      <c r="I309" s="9"/>
      <c r="J309" s="9"/>
      <c r="K309" s="9"/>
      <c r="AB309">
        <f t="shared" si="17"/>
        <v>0</v>
      </c>
      <c r="AC309">
        <f t="shared" si="18"/>
        <v>0</v>
      </c>
      <c r="AD309">
        <f t="shared" si="19"/>
        <v>0</v>
      </c>
      <c r="AE309">
        <f t="shared" si="16"/>
        <v>0</v>
      </c>
    </row>
    <row r="310" spans="1:31" ht="15" x14ac:dyDescent="0.25">
      <c r="A310" s="89"/>
      <c r="B310" s="89"/>
      <c r="C310" s="89"/>
      <c r="D310" s="89"/>
      <c r="E310" s="89"/>
      <c r="F310" s="89"/>
      <c r="G310" s="89"/>
      <c r="H310" s="89"/>
      <c r="I310" s="9"/>
      <c r="J310" s="9"/>
      <c r="K310" s="9"/>
      <c r="AB310">
        <f t="shared" si="17"/>
        <v>0</v>
      </c>
      <c r="AC310">
        <f t="shared" si="18"/>
        <v>0</v>
      </c>
      <c r="AD310">
        <f t="shared" si="19"/>
        <v>0</v>
      </c>
      <c r="AE310">
        <f t="shared" si="16"/>
        <v>0</v>
      </c>
    </row>
    <row r="311" spans="1:31" ht="15" x14ac:dyDescent="0.25">
      <c r="A311" s="89"/>
      <c r="B311" s="89"/>
      <c r="C311" s="89"/>
      <c r="D311" s="89"/>
      <c r="E311" s="89"/>
      <c r="F311" s="89"/>
      <c r="G311" s="89"/>
      <c r="H311" s="89"/>
      <c r="I311" s="9"/>
      <c r="J311" s="9"/>
      <c r="K311" s="9"/>
      <c r="AB311">
        <f t="shared" si="17"/>
        <v>0</v>
      </c>
      <c r="AC311">
        <f t="shared" si="18"/>
        <v>0</v>
      </c>
      <c r="AD311">
        <f t="shared" si="19"/>
        <v>0</v>
      </c>
      <c r="AE311">
        <f t="shared" si="16"/>
        <v>0</v>
      </c>
    </row>
    <row r="312" spans="1:31" ht="15" x14ac:dyDescent="0.25">
      <c r="A312" s="89"/>
      <c r="B312" s="89"/>
      <c r="C312" s="89"/>
      <c r="D312" s="89"/>
      <c r="E312" s="89"/>
      <c r="F312" s="89"/>
      <c r="G312" s="89"/>
      <c r="H312" s="89"/>
      <c r="I312" s="9"/>
      <c r="J312" s="9"/>
      <c r="K312" s="9"/>
      <c r="AB312">
        <f t="shared" si="17"/>
        <v>0</v>
      </c>
      <c r="AC312">
        <f t="shared" si="18"/>
        <v>0</v>
      </c>
      <c r="AD312">
        <f t="shared" si="19"/>
        <v>0</v>
      </c>
      <c r="AE312">
        <f t="shared" si="16"/>
        <v>0</v>
      </c>
    </row>
    <row r="313" spans="1:31" ht="15" x14ac:dyDescent="0.25">
      <c r="A313" s="89"/>
      <c r="B313" s="89"/>
      <c r="C313" s="89"/>
      <c r="D313" s="89"/>
      <c r="E313" s="89"/>
      <c r="F313" s="89"/>
      <c r="G313" s="89"/>
      <c r="H313" s="89"/>
      <c r="I313" s="9"/>
      <c r="J313" s="9"/>
      <c r="K313" s="9"/>
      <c r="AB313">
        <f t="shared" si="17"/>
        <v>0</v>
      </c>
      <c r="AC313">
        <f t="shared" si="18"/>
        <v>0</v>
      </c>
      <c r="AD313">
        <f t="shared" si="19"/>
        <v>0</v>
      </c>
      <c r="AE313">
        <f t="shared" si="16"/>
        <v>0</v>
      </c>
    </row>
    <row r="314" spans="1:31" ht="15" x14ac:dyDescent="0.25">
      <c r="A314" s="89"/>
      <c r="B314" s="89"/>
      <c r="C314" s="89"/>
      <c r="D314" s="89"/>
      <c r="E314" s="89"/>
      <c r="F314" s="89"/>
      <c r="G314" s="89"/>
      <c r="H314" s="89"/>
      <c r="I314" s="9"/>
      <c r="J314" s="9"/>
      <c r="K314" s="9"/>
      <c r="AB314">
        <f t="shared" si="17"/>
        <v>0</v>
      </c>
      <c r="AC314">
        <f t="shared" si="18"/>
        <v>0</v>
      </c>
      <c r="AD314">
        <f t="shared" si="19"/>
        <v>0</v>
      </c>
      <c r="AE314">
        <f t="shared" si="16"/>
        <v>0</v>
      </c>
    </row>
    <row r="315" spans="1:31" ht="15" x14ac:dyDescent="0.25">
      <c r="A315" s="89"/>
      <c r="B315" s="89"/>
      <c r="C315" s="89"/>
      <c r="D315" s="89"/>
      <c r="E315" s="89"/>
      <c r="F315" s="89"/>
      <c r="G315" s="89"/>
      <c r="H315" s="89"/>
      <c r="I315" s="9"/>
      <c r="J315" s="9"/>
      <c r="K315" s="9"/>
      <c r="AB315">
        <f t="shared" si="17"/>
        <v>0</v>
      </c>
      <c r="AC315">
        <f t="shared" si="18"/>
        <v>0</v>
      </c>
      <c r="AD315">
        <f t="shared" si="19"/>
        <v>0</v>
      </c>
      <c r="AE315">
        <f t="shared" si="16"/>
        <v>0</v>
      </c>
    </row>
    <row r="316" spans="1:31" ht="15" x14ac:dyDescent="0.25">
      <c r="A316" s="89"/>
      <c r="B316" s="89"/>
      <c r="C316" s="89"/>
      <c r="D316" s="89"/>
      <c r="E316" s="89"/>
      <c r="F316" s="89"/>
      <c r="G316" s="89"/>
      <c r="H316" s="89"/>
      <c r="I316" s="9"/>
      <c r="J316" s="9"/>
      <c r="K316" s="9"/>
      <c r="AB316">
        <f t="shared" si="17"/>
        <v>0</v>
      </c>
      <c r="AC316">
        <f t="shared" si="18"/>
        <v>0</v>
      </c>
      <c r="AD316">
        <f t="shared" si="19"/>
        <v>0</v>
      </c>
      <c r="AE316">
        <f t="shared" si="16"/>
        <v>0</v>
      </c>
    </row>
    <row r="317" spans="1:31" ht="15" x14ac:dyDescent="0.25">
      <c r="A317" s="89"/>
      <c r="B317" s="89"/>
      <c r="C317" s="89"/>
      <c r="D317" s="89"/>
      <c r="E317" s="89"/>
      <c r="F317" s="89"/>
      <c r="G317" s="89"/>
      <c r="H317" s="89"/>
      <c r="I317" s="9"/>
      <c r="J317" s="9"/>
      <c r="K317" s="9"/>
      <c r="AB317">
        <f t="shared" si="17"/>
        <v>0</v>
      </c>
      <c r="AC317">
        <f t="shared" si="18"/>
        <v>0</v>
      </c>
      <c r="AD317">
        <f t="shared" si="19"/>
        <v>0</v>
      </c>
      <c r="AE317">
        <f t="shared" si="16"/>
        <v>0</v>
      </c>
    </row>
    <row r="318" spans="1:31" ht="15" x14ac:dyDescent="0.25">
      <c r="A318" s="89"/>
      <c r="B318" s="89"/>
      <c r="C318" s="89"/>
      <c r="D318" s="89"/>
      <c r="E318" s="89"/>
      <c r="F318" s="89"/>
      <c r="G318" s="89"/>
      <c r="H318" s="89"/>
      <c r="I318" s="9"/>
      <c r="J318" s="9"/>
      <c r="K318" s="9"/>
      <c r="AB318">
        <f t="shared" si="17"/>
        <v>0</v>
      </c>
      <c r="AC318">
        <f t="shared" si="18"/>
        <v>0</v>
      </c>
      <c r="AD318">
        <f t="shared" si="19"/>
        <v>0</v>
      </c>
      <c r="AE318">
        <f t="shared" si="16"/>
        <v>0</v>
      </c>
    </row>
    <row r="319" spans="1:31" ht="15" x14ac:dyDescent="0.25">
      <c r="A319" s="89"/>
      <c r="B319" s="89"/>
      <c r="C319" s="89"/>
      <c r="D319" s="89"/>
      <c r="E319" s="89"/>
      <c r="F319" s="89"/>
      <c r="G319" s="89"/>
      <c r="H319" s="89"/>
      <c r="I319" s="9"/>
      <c r="J319" s="9"/>
      <c r="K319" s="9"/>
      <c r="AB319">
        <f t="shared" si="17"/>
        <v>0</v>
      </c>
      <c r="AC319">
        <f t="shared" si="18"/>
        <v>0</v>
      </c>
      <c r="AD319">
        <f t="shared" si="19"/>
        <v>0</v>
      </c>
      <c r="AE319">
        <f t="shared" si="16"/>
        <v>0</v>
      </c>
    </row>
    <row r="320" spans="1:31" ht="15" x14ac:dyDescent="0.25">
      <c r="A320" s="89"/>
      <c r="B320" s="89"/>
      <c r="C320" s="89"/>
      <c r="D320" s="89"/>
      <c r="E320" s="89"/>
      <c r="F320" s="89"/>
      <c r="G320" s="89"/>
      <c r="H320" s="89"/>
      <c r="I320" s="9"/>
      <c r="J320" s="9"/>
      <c r="K320" s="9"/>
      <c r="AB320">
        <f t="shared" si="17"/>
        <v>0</v>
      </c>
      <c r="AC320">
        <f t="shared" si="18"/>
        <v>0</v>
      </c>
      <c r="AD320">
        <f t="shared" si="19"/>
        <v>0</v>
      </c>
      <c r="AE320">
        <f t="shared" si="16"/>
        <v>0</v>
      </c>
    </row>
    <row r="321" spans="1:31" ht="15" x14ac:dyDescent="0.25">
      <c r="A321" s="89"/>
      <c r="B321" s="89"/>
      <c r="C321" s="89"/>
      <c r="D321" s="89"/>
      <c r="E321" s="89"/>
      <c r="F321" s="89"/>
      <c r="G321" s="89"/>
      <c r="H321" s="89"/>
      <c r="I321" s="9"/>
      <c r="J321" s="9"/>
      <c r="K321" s="9"/>
      <c r="AB321">
        <f t="shared" si="17"/>
        <v>0</v>
      </c>
      <c r="AC321">
        <f t="shared" si="18"/>
        <v>0</v>
      </c>
      <c r="AD321">
        <f t="shared" si="19"/>
        <v>0</v>
      </c>
      <c r="AE321">
        <f t="shared" si="16"/>
        <v>0</v>
      </c>
    </row>
    <row r="322" spans="1:31" ht="15" x14ac:dyDescent="0.25">
      <c r="A322" s="89"/>
      <c r="B322" s="89"/>
      <c r="C322" s="89"/>
      <c r="D322" s="89"/>
      <c r="E322" s="89"/>
      <c r="F322" s="89"/>
      <c r="G322" s="89"/>
      <c r="H322" s="89"/>
      <c r="I322" s="9"/>
      <c r="J322" s="9"/>
      <c r="K322" s="9"/>
      <c r="AB322">
        <f t="shared" si="17"/>
        <v>0</v>
      </c>
      <c r="AC322">
        <f t="shared" si="18"/>
        <v>0</v>
      </c>
      <c r="AD322">
        <f t="shared" si="19"/>
        <v>0</v>
      </c>
      <c r="AE322">
        <f t="shared" si="16"/>
        <v>0</v>
      </c>
    </row>
    <row r="323" spans="1:31" ht="15" x14ac:dyDescent="0.25">
      <c r="A323" s="89"/>
      <c r="B323" s="89"/>
      <c r="C323" s="89"/>
      <c r="D323" s="89"/>
      <c r="E323" s="89"/>
      <c r="F323" s="89"/>
      <c r="G323" s="89"/>
      <c r="H323" s="89"/>
      <c r="I323" s="9"/>
      <c r="J323" s="9"/>
      <c r="K323" s="9"/>
      <c r="AB323">
        <f t="shared" si="17"/>
        <v>0</v>
      </c>
      <c r="AC323">
        <f t="shared" si="18"/>
        <v>0</v>
      </c>
      <c r="AD323">
        <f t="shared" si="19"/>
        <v>0</v>
      </c>
      <c r="AE323">
        <f t="shared" si="16"/>
        <v>0</v>
      </c>
    </row>
    <row r="324" spans="1:31" ht="15" x14ac:dyDescent="0.25">
      <c r="A324" s="89"/>
      <c r="B324" s="89"/>
      <c r="C324" s="89"/>
      <c r="D324" s="89"/>
      <c r="E324" s="89"/>
      <c r="F324" s="89"/>
      <c r="G324" s="89"/>
      <c r="H324" s="89"/>
      <c r="I324" s="9"/>
      <c r="J324" s="9"/>
      <c r="K324" s="9"/>
      <c r="AB324">
        <f t="shared" si="17"/>
        <v>0</v>
      </c>
      <c r="AC324">
        <f t="shared" si="18"/>
        <v>0</v>
      </c>
      <c r="AD324">
        <f t="shared" si="19"/>
        <v>0</v>
      </c>
      <c r="AE324">
        <f t="shared" si="16"/>
        <v>0</v>
      </c>
    </row>
    <row r="325" spans="1:31" ht="15" x14ac:dyDescent="0.25">
      <c r="A325" s="89"/>
      <c r="B325" s="89"/>
      <c r="C325" s="89"/>
      <c r="D325" s="89"/>
      <c r="E325" s="89"/>
      <c r="F325" s="89"/>
      <c r="G325" s="89"/>
      <c r="H325" s="89"/>
      <c r="I325" s="9"/>
      <c r="J325" s="9"/>
      <c r="K325" s="9"/>
      <c r="AB325">
        <f t="shared" si="17"/>
        <v>0</v>
      </c>
      <c r="AC325">
        <f t="shared" si="18"/>
        <v>0</v>
      </c>
      <c r="AD325">
        <f t="shared" si="19"/>
        <v>0</v>
      </c>
      <c r="AE325">
        <f t="shared" si="16"/>
        <v>0</v>
      </c>
    </row>
    <row r="326" spans="1:31" ht="15" x14ac:dyDescent="0.25">
      <c r="A326" s="89"/>
      <c r="B326" s="89"/>
      <c r="C326" s="89"/>
      <c r="D326" s="89"/>
      <c r="E326" s="89"/>
      <c r="F326" s="89"/>
      <c r="G326" s="89"/>
      <c r="H326" s="89"/>
      <c r="I326" s="9"/>
      <c r="J326" s="9"/>
      <c r="K326" s="9"/>
      <c r="AB326">
        <f t="shared" si="17"/>
        <v>0</v>
      </c>
      <c r="AC326">
        <f t="shared" si="18"/>
        <v>0</v>
      </c>
      <c r="AD326">
        <f t="shared" si="19"/>
        <v>0</v>
      </c>
      <c r="AE326">
        <f t="shared" si="16"/>
        <v>0</v>
      </c>
    </row>
    <row r="327" spans="1:31" ht="15" x14ac:dyDescent="0.25">
      <c r="A327" s="89"/>
      <c r="B327" s="89"/>
      <c r="C327" s="89"/>
      <c r="D327" s="89"/>
      <c r="E327" s="89"/>
      <c r="F327" s="89"/>
      <c r="G327" s="89"/>
      <c r="H327" s="89"/>
      <c r="I327" s="9"/>
      <c r="J327" s="9"/>
      <c r="K327" s="9"/>
      <c r="AB327">
        <f t="shared" si="17"/>
        <v>0</v>
      </c>
      <c r="AC327">
        <f t="shared" si="18"/>
        <v>0</v>
      </c>
      <c r="AD327">
        <f t="shared" si="19"/>
        <v>0</v>
      </c>
      <c r="AE327">
        <f t="shared" si="16"/>
        <v>0</v>
      </c>
    </row>
    <row r="328" spans="1:31" ht="15" x14ac:dyDescent="0.25">
      <c r="A328" s="89"/>
      <c r="B328" s="89"/>
      <c r="C328" s="89"/>
      <c r="D328" s="89"/>
      <c r="E328" s="89"/>
      <c r="F328" s="89"/>
      <c r="G328" s="89"/>
      <c r="H328" s="89"/>
      <c r="I328" s="9"/>
      <c r="J328" s="9"/>
      <c r="K328" s="9"/>
      <c r="AB328">
        <f t="shared" si="17"/>
        <v>0</v>
      </c>
      <c r="AC328">
        <f t="shared" si="18"/>
        <v>0</v>
      </c>
      <c r="AD328">
        <f t="shared" si="19"/>
        <v>0</v>
      </c>
      <c r="AE328">
        <f t="shared" si="16"/>
        <v>0</v>
      </c>
    </row>
    <row r="329" spans="1:31" ht="15" x14ac:dyDescent="0.25">
      <c r="A329" s="89"/>
      <c r="B329" s="89"/>
      <c r="C329" s="89"/>
      <c r="D329" s="89"/>
      <c r="E329" s="89"/>
      <c r="F329" s="89"/>
      <c r="G329" s="89"/>
      <c r="H329" s="89"/>
      <c r="I329" s="9"/>
      <c r="J329" s="9"/>
      <c r="K329" s="9"/>
      <c r="AB329">
        <f t="shared" si="17"/>
        <v>0</v>
      </c>
      <c r="AC329">
        <f t="shared" si="18"/>
        <v>0</v>
      </c>
      <c r="AD329">
        <f t="shared" si="19"/>
        <v>0</v>
      </c>
      <c r="AE329">
        <f t="shared" si="16"/>
        <v>0</v>
      </c>
    </row>
    <row r="330" spans="1:31" ht="15" x14ac:dyDescent="0.25">
      <c r="A330" s="89"/>
      <c r="B330" s="89"/>
      <c r="C330" s="89"/>
      <c r="D330" s="89"/>
      <c r="E330" s="89"/>
      <c r="F330" s="89"/>
      <c r="G330" s="89"/>
      <c r="H330" s="89"/>
      <c r="I330" s="9"/>
      <c r="J330" s="9"/>
      <c r="K330" s="9"/>
      <c r="AB330">
        <f t="shared" si="17"/>
        <v>0</v>
      </c>
      <c r="AC330">
        <f t="shared" si="18"/>
        <v>0</v>
      </c>
      <c r="AD330">
        <f t="shared" si="19"/>
        <v>0</v>
      </c>
      <c r="AE330">
        <f t="shared" si="16"/>
        <v>0</v>
      </c>
    </row>
    <row r="331" spans="1:31" ht="15" x14ac:dyDescent="0.25">
      <c r="A331" s="89"/>
      <c r="B331" s="89"/>
      <c r="C331" s="89"/>
      <c r="D331" s="89"/>
      <c r="E331" s="89"/>
      <c r="F331" s="89"/>
      <c r="G331" s="89"/>
      <c r="H331" s="89"/>
      <c r="I331" s="9"/>
      <c r="J331" s="9"/>
      <c r="K331" s="9"/>
      <c r="AB331">
        <f t="shared" si="17"/>
        <v>0</v>
      </c>
      <c r="AC331">
        <f t="shared" si="18"/>
        <v>0</v>
      </c>
      <c r="AD331">
        <f t="shared" si="19"/>
        <v>0</v>
      </c>
      <c r="AE331">
        <f t="shared" si="16"/>
        <v>0</v>
      </c>
    </row>
    <row r="332" spans="1:31" ht="15" x14ac:dyDescent="0.25">
      <c r="A332" s="89"/>
      <c r="B332" s="89"/>
      <c r="C332" s="89"/>
      <c r="D332" s="89"/>
      <c r="E332" s="89"/>
      <c r="F332" s="89"/>
      <c r="G332" s="89"/>
      <c r="H332" s="89"/>
      <c r="I332" s="9"/>
      <c r="J332" s="9"/>
      <c r="K332" s="9"/>
      <c r="AB332">
        <f t="shared" si="17"/>
        <v>0</v>
      </c>
      <c r="AC332">
        <f t="shared" si="18"/>
        <v>0</v>
      </c>
      <c r="AD332">
        <f t="shared" si="19"/>
        <v>0</v>
      </c>
      <c r="AE332">
        <f t="shared" si="16"/>
        <v>0</v>
      </c>
    </row>
    <row r="333" spans="1:31" ht="15" x14ac:dyDescent="0.25">
      <c r="A333" s="89"/>
      <c r="B333" s="89"/>
      <c r="C333" s="89"/>
      <c r="D333" s="89"/>
      <c r="E333" s="89"/>
      <c r="F333" s="89"/>
      <c r="G333" s="89"/>
      <c r="H333" s="89"/>
      <c r="I333" s="9"/>
      <c r="J333" s="9"/>
      <c r="K333" s="9"/>
      <c r="AB333">
        <f t="shared" si="17"/>
        <v>0</v>
      </c>
      <c r="AC333">
        <f t="shared" si="18"/>
        <v>0</v>
      </c>
      <c r="AD333">
        <f t="shared" si="19"/>
        <v>0</v>
      </c>
      <c r="AE333">
        <f t="shared" si="16"/>
        <v>0</v>
      </c>
    </row>
    <row r="334" spans="1:31" ht="15" x14ac:dyDescent="0.25">
      <c r="A334" s="89"/>
      <c r="B334" s="89"/>
      <c r="C334" s="89"/>
      <c r="D334" s="89"/>
      <c r="E334" s="89"/>
      <c r="F334" s="89"/>
      <c r="G334" s="89"/>
      <c r="H334" s="89"/>
      <c r="I334" s="9"/>
      <c r="J334" s="9"/>
      <c r="K334" s="9"/>
      <c r="AB334">
        <f t="shared" si="17"/>
        <v>0</v>
      </c>
      <c r="AC334">
        <f t="shared" si="18"/>
        <v>0</v>
      </c>
      <c r="AD334">
        <f t="shared" si="19"/>
        <v>0</v>
      </c>
      <c r="AE334">
        <f t="shared" ref="AE334:AE390" si="20">IF(AND($D334="Question",$H334="Not applicable"),1,0)</f>
        <v>0</v>
      </c>
    </row>
    <row r="335" spans="1:31" ht="15" x14ac:dyDescent="0.25">
      <c r="A335" s="89"/>
      <c r="B335" s="89"/>
      <c r="C335" s="89"/>
      <c r="D335" s="89"/>
      <c r="E335" s="89"/>
      <c r="F335" s="89"/>
      <c r="G335" s="89"/>
      <c r="H335" s="89"/>
      <c r="I335" s="9"/>
      <c r="J335" s="9"/>
      <c r="K335" s="9"/>
      <c r="AB335">
        <f t="shared" ref="AB335:AB390" si="21">IF(AND($D335="Question",$H335="OK"),1,0)</f>
        <v>0</v>
      </c>
      <c r="AC335">
        <f t="shared" ref="AC335:AC390" si="22">IF(AND($D335="Question",$H335="Not OK"),1,0)</f>
        <v>0</v>
      </c>
      <c r="AD335">
        <f t="shared" ref="AD335:AD390" si="23">IF(AND($D335="Question",$H335=""),1,0)</f>
        <v>0</v>
      </c>
      <c r="AE335">
        <f t="shared" si="20"/>
        <v>0</v>
      </c>
    </row>
    <row r="336" spans="1:31" ht="15" x14ac:dyDescent="0.25">
      <c r="A336" s="89"/>
      <c r="B336" s="89"/>
      <c r="C336" s="89"/>
      <c r="D336" s="89"/>
      <c r="E336" s="89"/>
      <c r="F336" s="89"/>
      <c r="G336" s="89"/>
      <c r="H336" s="89"/>
      <c r="I336" s="9"/>
      <c r="J336" s="9"/>
      <c r="K336" s="9"/>
      <c r="AB336">
        <f t="shared" si="21"/>
        <v>0</v>
      </c>
      <c r="AC336">
        <f t="shared" si="22"/>
        <v>0</v>
      </c>
      <c r="AD336">
        <f t="shared" si="23"/>
        <v>0</v>
      </c>
      <c r="AE336">
        <f t="shared" si="20"/>
        <v>0</v>
      </c>
    </row>
    <row r="337" spans="1:31" ht="15" x14ac:dyDescent="0.25">
      <c r="A337" s="89"/>
      <c r="B337" s="89"/>
      <c r="C337" s="89"/>
      <c r="D337" s="89"/>
      <c r="E337" s="89"/>
      <c r="F337" s="89"/>
      <c r="G337" s="89"/>
      <c r="H337" s="89"/>
      <c r="I337" s="9"/>
      <c r="J337" s="9"/>
      <c r="K337" s="9"/>
      <c r="AB337">
        <f t="shared" si="21"/>
        <v>0</v>
      </c>
      <c r="AC337">
        <f t="shared" si="22"/>
        <v>0</v>
      </c>
      <c r="AD337">
        <f t="shared" si="23"/>
        <v>0</v>
      </c>
      <c r="AE337">
        <f t="shared" si="20"/>
        <v>0</v>
      </c>
    </row>
    <row r="338" spans="1:31" ht="15" x14ac:dyDescent="0.25">
      <c r="A338" s="89"/>
      <c r="B338" s="89"/>
      <c r="C338" s="89"/>
      <c r="D338" s="89"/>
      <c r="E338" s="89"/>
      <c r="F338" s="89"/>
      <c r="G338" s="89"/>
      <c r="H338" s="89"/>
      <c r="I338" s="9"/>
      <c r="J338" s="9"/>
      <c r="K338" s="9"/>
      <c r="AB338">
        <f t="shared" si="21"/>
        <v>0</v>
      </c>
      <c r="AC338">
        <f t="shared" si="22"/>
        <v>0</v>
      </c>
      <c r="AD338">
        <f t="shared" si="23"/>
        <v>0</v>
      </c>
      <c r="AE338">
        <f t="shared" si="20"/>
        <v>0</v>
      </c>
    </row>
    <row r="339" spans="1:31" ht="15" x14ac:dyDescent="0.25">
      <c r="A339" s="89"/>
      <c r="B339" s="89"/>
      <c r="C339" s="89"/>
      <c r="D339" s="89"/>
      <c r="E339" s="89"/>
      <c r="F339" s="89"/>
      <c r="G339" s="89"/>
      <c r="H339" s="89"/>
      <c r="I339" s="9"/>
      <c r="J339" s="9"/>
      <c r="K339" s="9"/>
      <c r="AB339">
        <f t="shared" si="21"/>
        <v>0</v>
      </c>
      <c r="AC339">
        <f t="shared" si="22"/>
        <v>0</v>
      </c>
      <c r="AD339">
        <f t="shared" si="23"/>
        <v>0</v>
      </c>
      <c r="AE339">
        <f t="shared" si="20"/>
        <v>0</v>
      </c>
    </row>
    <row r="340" spans="1:31" ht="15" x14ac:dyDescent="0.25">
      <c r="A340" s="89"/>
      <c r="B340" s="89"/>
      <c r="C340" s="89"/>
      <c r="D340" s="89"/>
      <c r="E340" s="89"/>
      <c r="F340" s="89"/>
      <c r="G340" s="89"/>
      <c r="H340" s="89"/>
      <c r="I340" s="9"/>
      <c r="J340" s="9"/>
      <c r="K340" s="9"/>
      <c r="AB340">
        <f t="shared" si="21"/>
        <v>0</v>
      </c>
      <c r="AC340">
        <f t="shared" si="22"/>
        <v>0</v>
      </c>
      <c r="AD340">
        <f t="shared" si="23"/>
        <v>0</v>
      </c>
      <c r="AE340">
        <f t="shared" si="20"/>
        <v>0</v>
      </c>
    </row>
    <row r="341" spans="1:31" ht="15" x14ac:dyDescent="0.25">
      <c r="A341" s="89"/>
      <c r="B341" s="89"/>
      <c r="C341" s="89"/>
      <c r="D341" s="89"/>
      <c r="E341" s="89"/>
      <c r="F341" s="89"/>
      <c r="G341" s="89"/>
      <c r="H341" s="89"/>
      <c r="I341" s="9"/>
      <c r="J341" s="9"/>
      <c r="K341" s="9"/>
      <c r="AB341">
        <f t="shared" si="21"/>
        <v>0</v>
      </c>
      <c r="AC341">
        <f t="shared" si="22"/>
        <v>0</v>
      </c>
      <c r="AD341">
        <f t="shared" si="23"/>
        <v>0</v>
      </c>
      <c r="AE341">
        <f t="shared" si="20"/>
        <v>0</v>
      </c>
    </row>
    <row r="342" spans="1:31" ht="15" x14ac:dyDescent="0.25">
      <c r="A342" s="89"/>
      <c r="B342" s="89"/>
      <c r="C342" s="89"/>
      <c r="D342" s="89"/>
      <c r="E342" s="89"/>
      <c r="F342" s="89"/>
      <c r="G342" s="89"/>
      <c r="H342" s="89"/>
      <c r="I342" s="9"/>
      <c r="J342" s="9"/>
      <c r="K342" s="9"/>
      <c r="AB342">
        <f t="shared" si="21"/>
        <v>0</v>
      </c>
      <c r="AC342">
        <f t="shared" si="22"/>
        <v>0</v>
      </c>
      <c r="AD342">
        <f t="shared" si="23"/>
        <v>0</v>
      </c>
      <c r="AE342">
        <f t="shared" si="20"/>
        <v>0</v>
      </c>
    </row>
    <row r="343" spans="1:31" ht="15" x14ac:dyDescent="0.25">
      <c r="A343" s="89"/>
      <c r="B343" s="89"/>
      <c r="C343" s="89"/>
      <c r="D343" s="89"/>
      <c r="E343" s="89"/>
      <c r="F343" s="89"/>
      <c r="G343" s="89"/>
      <c r="H343" s="89"/>
      <c r="I343" s="9"/>
      <c r="J343" s="9"/>
      <c r="K343" s="9"/>
      <c r="AB343">
        <f t="shared" si="21"/>
        <v>0</v>
      </c>
      <c r="AC343">
        <f t="shared" si="22"/>
        <v>0</v>
      </c>
      <c r="AD343">
        <f t="shared" si="23"/>
        <v>0</v>
      </c>
      <c r="AE343">
        <f t="shared" si="20"/>
        <v>0</v>
      </c>
    </row>
    <row r="344" spans="1:31" ht="15" x14ac:dyDescent="0.25">
      <c r="A344" s="89"/>
      <c r="B344" s="89"/>
      <c r="C344" s="89"/>
      <c r="D344" s="89"/>
      <c r="E344" s="89"/>
      <c r="F344" s="89"/>
      <c r="G344" s="89"/>
      <c r="H344" s="89"/>
      <c r="I344" s="9"/>
      <c r="J344" s="9"/>
      <c r="K344" s="9"/>
      <c r="AB344">
        <f t="shared" si="21"/>
        <v>0</v>
      </c>
      <c r="AC344">
        <f t="shared" si="22"/>
        <v>0</v>
      </c>
      <c r="AD344">
        <f t="shared" si="23"/>
        <v>0</v>
      </c>
      <c r="AE344">
        <f t="shared" si="20"/>
        <v>0</v>
      </c>
    </row>
    <row r="345" spans="1:31" ht="15" x14ac:dyDescent="0.25">
      <c r="A345" s="89"/>
      <c r="B345" s="89"/>
      <c r="C345" s="89"/>
      <c r="D345" s="89"/>
      <c r="E345" s="89"/>
      <c r="F345" s="89"/>
      <c r="G345" s="89"/>
      <c r="H345" s="89"/>
      <c r="I345" s="9"/>
      <c r="J345" s="9"/>
      <c r="K345" s="9"/>
      <c r="AB345">
        <f t="shared" si="21"/>
        <v>0</v>
      </c>
      <c r="AC345">
        <f t="shared" si="22"/>
        <v>0</v>
      </c>
      <c r="AD345">
        <f t="shared" si="23"/>
        <v>0</v>
      </c>
      <c r="AE345">
        <f t="shared" si="20"/>
        <v>0</v>
      </c>
    </row>
    <row r="346" spans="1:31" ht="15" x14ac:dyDescent="0.25">
      <c r="A346" s="89"/>
      <c r="B346" s="89"/>
      <c r="C346" s="89"/>
      <c r="D346" s="89"/>
      <c r="E346" s="89"/>
      <c r="F346" s="89"/>
      <c r="G346" s="89"/>
      <c r="H346" s="89"/>
      <c r="I346" s="9"/>
      <c r="J346" s="9"/>
      <c r="K346" s="9"/>
      <c r="AB346">
        <f t="shared" si="21"/>
        <v>0</v>
      </c>
      <c r="AC346">
        <f t="shared" si="22"/>
        <v>0</v>
      </c>
      <c r="AD346">
        <f t="shared" si="23"/>
        <v>0</v>
      </c>
      <c r="AE346">
        <f t="shared" si="20"/>
        <v>0</v>
      </c>
    </row>
    <row r="347" spans="1:31" ht="15" x14ac:dyDescent="0.25">
      <c r="A347" s="89"/>
      <c r="B347" s="89"/>
      <c r="C347" s="89"/>
      <c r="D347" s="89"/>
      <c r="E347" s="89"/>
      <c r="F347" s="89"/>
      <c r="G347" s="89"/>
      <c r="H347" s="89"/>
      <c r="I347" s="9"/>
      <c r="J347" s="9"/>
      <c r="K347" s="9"/>
      <c r="AB347">
        <f t="shared" si="21"/>
        <v>0</v>
      </c>
      <c r="AC347">
        <f t="shared" si="22"/>
        <v>0</v>
      </c>
      <c r="AD347">
        <f t="shared" si="23"/>
        <v>0</v>
      </c>
      <c r="AE347">
        <f t="shared" si="20"/>
        <v>0</v>
      </c>
    </row>
    <row r="348" spans="1:31" ht="15" x14ac:dyDescent="0.25">
      <c r="A348" s="89"/>
      <c r="B348" s="89"/>
      <c r="C348" s="89"/>
      <c r="D348" s="89"/>
      <c r="E348" s="89"/>
      <c r="F348" s="89"/>
      <c r="G348" s="89"/>
      <c r="H348" s="89"/>
      <c r="I348" s="9"/>
      <c r="J348" s="9"/>
      <c r="K348" s="9"/>
      <c r="AB348">
        <f t="shared" si="21"/>
        <v>0</v>
      </c>
      <c r="AC348">
        <f t="shared" si="22"/>
        <v>0</v>
      </c>
      <c r="AD348">
        <f t="shared" si="23"/>
        <v>0</v>
      </c>
      <c r="AE348">
        <f t="shared" si="20"/>
        <v>0</v>
      </c>
    </row>
    <row r="349" spans="1:31" ht="15" x14ac:dyDescent="0.25">
      <c r="A349" s="89"/>
      <c r="B349" s="89"/>
      <c r="C349" s="89"/>
      <c r="D349" s="89"/>
      <c r="E349" s="89"/>
      <c r="F349" s="89"/>
      <c r="G349" s="89"/>
      <c r="H349" s="89"/>
      <c r="I349" s="9"/>
      <c r="J349" s="9"/>
      <c r="K349" s="9"/>
      <c r="AB349">
        <f t="shared" si="21"/>
        <v>0</v>
      </c>
      <c r="AC349">
        <f t="shared" si="22"/>
        <v>0</v>
      </c>
      <c r="AD349">
        <f t="shared" si="23"/>
        <v>0</v>
      </c>
      <c r="AE349">
        <f t="shared" si="20"/>
        <v>0</v>
      </c>
    </row>
    <row r="350" spans="1:31" ht="15" x14ac:dyDescent="0.25">
      <c r="A350" s="89"/>
      <c r="B350" s="89"/>
      <c r="C350" s="89"/>
      <c r="D350" s="89"/>
      <c r="E350" s="89"/>
      <c r="F350" s="89"/>
      <c r="G350" s="89"/>
      <c r="H350" s="89"/>
      <c r="I350" s="9"/>
      <c r="J350" s="9"/>
      <c r="K350" s="9"/>
      <c r="AB350">
        <f t="shared" si="21"/>
        <v>0</v>
      </c>
      <c r="AC350">
        <f t="shared" si="22"/>
        <v>0</v>
      </c>
      <c r="AD350">
        <f t="shared" si="23"/>
        <v>0</v>
      </c>
      <c r="AE350">
        <f t="shared" si="20"/>
        <v>0</v>
      </c>
    </row>
    <row r="351" spans="1:31" ht="15" x14ac:dyDescent="0.25">
      <c r="A351" s="89"/>
      <c r="B351" s="89"/>
      <c r="C351" s="89"/>
      <c r="D351" s="89"/>
      <c r="E351" s="89"/>
      <c r="F351" s="89"/>
      <c r="G351" s="89"/>
      <c r="H351" s="89"/>
      <c r="I351" s="9"/>
      <c r="J351" s="9"/>
      <c r="K351" s="9"/>
      <c r="AB351">
        <f t="shared" si="21"/>
        <v>0</v>
      </c>
      <c r="AC351">
        <f t="shared" si="22"/>
        <v>0</v>
      </c>
      <c r="AD351">
        <f t="shared" si="23"/>
        <v>0</v>
      </c>
      <c r="AE351">
        <f t="shared" si="20"/>
        <v>0</v>
      </c>
    </row>
    <row r="352" spans="1:31" ht="15" x14ac:dyDescent="0.25">
      <c r="A352" s="89"/>
      <c r="B352" s="89"/>
      <c r="C352" s="89"/>
      <c r="D352" s="89"/>
      <c r="E352" s="89"/>
      <c r="F352" s="89"/>
      <c r="G352" s="89"/>
      <c r="H352" s="89"/>
      <c r="I352" s="9"/>
      <c r="J352" s="9"/>
      <c r="K352" s="9"/>
      <c r="AB352">
        <f t="shared" si="21"/>
        <v>0</v>
      </c>
      <c r="AC352">
        <f t="shared" si="22"/>
        <v>0</v>
      </c>
      <c r="AD352">
        <f t="shared" si="23"/>
        <v>0</v>
      </c>
      <c r="AE352">
        <f t="shared" si="20"/>
        <v>0</v>
      </c>
    </row>
    <row r="353" spans="1:31" ht="15" x14ac:dyDescent="0.25">
      <c r="A353" s="89"/>
      <c r="B353" s="89"/>
      <c r="C353" s="89"/>
      <c r="D353" s="89"/>
      <c r="E353" s="89"/>
      <c r="F353" s="89"/>
      <c r="G353" s="89"/>
      <c r="H353" s="89"/>
      <c r="I353" s="9"/>
      <c r="J353" s="9"/>
      <c r="K353" s="9"/>
      <c r="AB353">
        <f t="shared" si="21"/>
        <v>0</v>
      </c>
      <c r="AC353">
        <f t="shared" si="22"/>
        <v>0</v>
      </c>
      <c r="AD353">
        <f t="shared" si="23"/>
        <v>0</v>
      </c>
      <c r="AE353">
        <f t="shared" si="20"/>
        <v>0</v>
      </c>
    </row>
    <row r="354" spans="1:31" ht="15" x14ac:dyDescent="0.25">
      <c r="A354" s="89"/>
      <c r="B354" s="89"/>
      <c r="C354" s="89"/>
      <c r="D354" s="89"/>
      <c r="E354" s="89"/>
      <c r="F354" s="89"/>
      <c r="G354" s="89"/>
      <c r="H354" s="89"/>
      <c r="I354" s="9"/>
      <c r="J354" s="9"/>
      <c r="K354" s="9"/>
      <c r="AB354">
        <f t="shared" si="21"/>
        <v>0</v>
      </c>
      <c r="AC354">
        <f t="shared" si="22"/>
        <v>0</v>
      </c>
      <c r="AD354">
        <f t="shared" si="23"/>
        <v>0</v>
      </c>
      <c r="AE354">
        <f t="shared" si="20"/>
        <v>0</v>
      </c>
    </row>
    <row r="355" spans="1:31" ht="15" x14ac:dyDescent="0.25">
      <c r="A355" s="89"/>
      <c r="B355" s="89"/>
      <c r="C355" s="89"/>
      <c r="D355" s="89"/>
      <c r="E355" s="89"/>
      <c r="F355" s="89"/>
      <c r="G355" s="89"/>
      <c r="H355" s="89"/>
      <c r="I355" s="9"/>
      <c r="J355" s="9"/>
      <c r="K355" s="9"/>
      <c r="AB355">
        <f t="shared" si="21"/>
        <v>0</v>
      </c>
      <c r="AC355">
        <f t="shared" si="22"/>
        <v>0</v>
      </c>
      <c r="AD355">
        <f t="shared" si="23"/>
        <v>0</v>
      </c>
      <c r="AE355">
        <f t="shared" si="20"/>
        <v>0</v>
      </c>
    </row>
    <row r="356" spans="1:31" ht="15" x14ac:dyDescent="0.25">
      <c r="A356" s="89"/>
      <c r="B356" s="89"/>
      <c r="C356" s="89"/>
      <c r="D356" s="89"/>
      <c r="E356" s="89"/>
      <c r="F356" s="89"/>
      <c r="G356" s="89"/>
      <c r="H356" s="89"/>
      <c r="I356" s="9"/>
      <c r="J356" s="9"/>
      <c r="K356" s="9"/>
      <c r="AB356">
        <f t="shared" si="21"/>
        <v>0</v>
      </c>
      <c r="AC356">
        <f t="shared" si="22"/>
        <v>0</v>
      </c>
      <c r="AD356">
        <f t="shared" si="23"/>
        <v>0</v>
      </c>
      <c r="AE356">
        <f t="shared" si="20"/>
        <v>0</v>
      </c>
    </row>
    <row r="357" spans="1:31" ht="15" x14ac:dyDescent="0.25">
      <c r="A357" s="89"/>
      <c r="B357" s="89"/>
      <c r="C357" s="89"/>
      <c r="D357" s="89"/>
      <c r="E357" s="89"/>
      <c r="F357" s="89"/>
      <c r="G357" s="89"/>
      <c r="H357" s="89"/>
      <c r="I357" s="9"/>
      <c r="J357" s="9"/>
      <c r="K357" s="9"/>
      <c r="AB357">
        <f t="shared" si="21"/>
        <v>0</v>
      </c>
      <c r="AC357">
        <f t="shared" si="22"/>
        <v>0</v>
      </c>
      <c r="AD357">
        <f t="shared" si="23"/>
        <v>0</v>
      </c>
      <c r="AE357">
        <f t="shared" si="20"/>
        <v>0</v>
      </c>
    </row>
    <row r="358" spans="1:31" ht="15" x14ac:dyDescent="0.25">
      <c r="A358" s="89"/>
      <c r="B358" s="89"/>
      <c r="C358" s="89"/>
      <c r="D358" s="89"/>
      <c r="E358" s="89"/>
      <c r="F358" s="89"/>
      <c r="G358" s="89"/>
      <c r="H358" s="89"/>
      <c r="I358" s="9"/>
      <c r="J358" s="9"/>
      <c r="K358" s="9"/>
      <c r="AB358">
        <f t="shared" si="21"/>
        <v>0</v>
      </c>
      <c r="AC358">
        <f t="shared" si="22"/>
        <v>0</v>
      </c>
      <c r="AD358">
        <f t="shared" si="23"/>
        <v>0</v>
      </c>
      <c r="AE358">
        <f t="shared" si="20"/>
        <v>0</v>
      </c>
    </row>
    <row r="359" spans="1:31" ht="15" x14ac:dyDescent="0.25">
      <c r="A359" s="89"/>
      <c r="B359" s="89"/>
      <c r="C359" s="89"/>
      <c r="D359" s="89"/>
      <c r="E359" s="89"/>
      <c r="F359" s="89"/>
      <c r="G359" s="89"/>
      <c r="H359" s="89"/>
      <c r="I359" s="9"/>
      <c r="J359" s="9"/>
      <c r="K359" s="9"/>
      <c r="AB359">
        <f t="shared" si="21"/>
        <v>0</v>
      </c>
      <c r="AC359">
        <f t="shared" si="22"/>
        <v>0</v>
      </c>
      <c r="AD359">
        <f t="shared" si="23"/>
        <v>0</v>
      </c>
      <c r="AE359">
        <f t="shared" si="20"/>
        <v>0</v>
      </c>
    </row>
    <row r="360" spans="1:31" ht="15" x14ac:dyDescent="0.25">
      <c r="A360" s="89"/>
      <c r="B360" s="89"/>
      <c r="C360" s="89"/>
      <c r="D360" s="89"/>
      <c r="E360" s="89"/>
      <c r="F360" s="89"/>
      <c r="G360" s="89"/>
      <c r="H360" s="89"/>
      <c r="I360" s="9"/>
      <c r="J360" s="9"/>
      <c r="K360" s="9"/>
      <c r="AB360">
        <f t="shared" si="21"/>
        <v>0</v>
      </c>
      <c r="AC360">
        <f t="shared" si="22"/>
        <v>0</v>
      </c>
      <c r="AD360">
        <f t="shared" si="23"/>
        <v>0</v>
      </c>
      <c r="AE360">
        <f t="shared" si="20"/>
        <v>0</v>
      </c>
    </row>
    <row r="361" spans="1:31" ht="15" x14ac:dyDescent="0.25">
      <c r="A361" s="89"/>
      <c r="B361" s="89"/>
      <c r="C361" s="89"/>
      <c r="D361" s="89"/>
      <c r="E361" s="89"/>
      <c r="F361" s="89"/>
      <c r="G361" s="89"/>
      <c r="H361" s="89"/>
      <c r="I361" s="9"/>
      <c r="J361" s="9"/>
      <c r="K361" s="9"/>
      <c r="AB361">
        <f t="shared" si="21"/>
        <v>0</v>
      </c>
      <c r="AC361">
        <f t="shared" si="22"/>
        <v>0</v>
      </c>
      <c r="AD361">
        <f t="shared" si="23"/>
        <v>0</v>
      </c>
      <c r="AE361">
        <f t="shared" si="20"/>
        <v>0</v>
      </c>
    </row>
    <row r="362" spans="1:31" ht="15" x14ac:dyDescent="0.25">
      <c r="A362" s="89"/>
      <c r="B362" s="89"/>
      <c r="C362" s="89"/>
      <c r="D362" s="89"/>
      <c r="E362" s="89"/>
      <c r="F362" s="89"/>
      <c r="G362" s="89"/>
      <c r="H362" s="89"/>
      <c r="I362" s="9"/>
      <c r="J362" s="9"/>
      <c r="K362" s="9"/>
      <c r="AB362">
        <f t="shared" si="21"/>
        <v>0</v>
      </c>
      <c r="AC362">
        <f t="shared" si="22"/>
        <v>0</v>
      </c>
      <c r="AD362">
        <f t="shared" si="23"/>
        <v>0</v>
      </c>
      <c r="AE362">
        <f t="shared" si="20"/>
        <v>0</v>
      </c>
    </row>
    <row r="363" spans="1:31" ht="15" x14ac:dyDescent="0.25">
      <c r="A363" s="89"/>
      <c r="B363" s="89"/>
      <c r="C363" s="89"/>
      <c r="D363" s="89"/>
      <c r="E363" s="89"/>
      <c r="F363" s="89"/>
      <c r="G363" s="89"/>
      <c r="H363" s="89"/>
      <c r="I363" s="9"/>
      <c r="J363" s="9"/>
      <c r="K363" s="9"/>
      <c r="AB363">
        <f t="shared" si="21"/>
        <v>0</v>
      </c>
      <c r="AC363">
        <f t="shared" si="22"/>
        <v>0</v>
      </c>
      <c r="AD363">
        <f t="shared" si="23"/>
        <v>0</v>
      </c>
      <c r="AE363">
        <f t="shared" si="20"/>
        <v>0</v>
      </c>
    </row>
    <row r="364" spans="1:31" ht="15" x14ac:dyDescent="0.25">
      <c r="A364" s="89"/>
      <c r="B364" s="89"/>
      <c r="C364" s="89"/>
      <c r="D364" s="89"/>
      <c r="E364" s="89"/>
      <c r="F364" s="89"/>
      <c r="G364" s="89"/>
      <c r="H364" s="89"/>
      <c r="I364" s="9"/>
      <c r="J364" s="9"/>
      <c r="K364" s="9"/>
      <c r="AB364">
        <f t="shared" si="21"/>
        <v>0</v>
      </c>
      <c r="AC364">
        <f t="shared" si="22"/>
        <v>0</v>
      </c>
      <c r="AD364">
        <f t="shared" si="23"/>
        <v>0</v>
      </c>
      <c r="AE364">
        <f t="shared" si="20"/>
        <v>0</v>
      </c>
    </row>
    <row r="365" spans="1:31" ht="15" x14ac:dyDescent="0.25">
      <c r="A365" s="89"/>
      <c r="B365" s="89"/>
      <c r="C365" s="89"/>
      <c r="D365" s="89"/>
      <c r="E365" s="89"/>
      <c r="F365" s="89"/>
      <c r="G365" s="89"/>
      <c r="H365" s="89"/>
      <c r="I365" s="9"/>
      <c r="J365" s="9"/>
      <c r="K365" s="9"/>
      <c r="AB365">
        <f t="shared" si="21"/>
        <v>0</v>
      </c>
      <c r="AC365">
        <f t="shared" si="22"/>
        <v>0</v>
      </c>
      <c r="AD365">
        <f t="shared" si="23"/>
        <v>0</v>
      </c>
      <c r="AE365">
        <f t="shared" si="20"/>
        <v>0</v>
      </c>
    </row>
    <row r="366" spans="1:31" ht="15" x14ac:dyDescent="0.25">
      <c r="A366" s="89"/>
      <c r="B366" s="89"/>
      <c r="C366" s="89"/>
      <c r="D366" s="89"/>
      <c r="E366" s="89"/>
      <c r="F366" s="89"/>
      <c r="G366" s="89"/>
      <c r="H366" s="89"/>
      <c r="I366" s="9"/>
      <c r="J366" s="9"/>
      <c r="K366" s="9"/>
      <c r="AB366">
        <f t="shared" si="21"/>
        <v>0</v>
      </c>
      <c r="AC366">
        <f t="shared" si="22"/>
        <v>0</v>
      </c>
      <c r="AD366">
        <f t="shared" si="23"/>
        <v>0</v>
      </c>
      <c r="AE366">
        <f t="shared" si="20"/>
        <v>0</v>
      </c>
    </row>
    <row r="367" spans="1:31" ht="15" x14ac:dyDescent="0.25">
      <c r="A367" s="89"/>
      <c r="B367" s="89"/>
      <c r="C367" s="89"/>
      <c r="D367" s="89"/>
      <c r="E367" s="89"/>
      <c r="F367" s="89"/>
      <c r="G367" s="89"/>
      <c r="H367" s="89"/>
      <c r="I367" s="9"/>
      <c r="J367" s="9"/>
      <c r="K367" s="9"/>
      <c r="AB367">
        <f t="shared" si="21"/>
        <v>0</v>
      </c>
      <c r="AC367">
        <f t="shared" si="22"/>
        <v>0</v>
      </c>
      <c r="AD367">
        <f t="shared" si="23"/>
        <v>0</v>
      </c>
      <c r="AE367">
        <f t="shared" si="20"/>
        <v>0</v>
      </c>
    </row>
    <row r="368" spans="1:31" ht="15" x14ac:dyDescent="0.25">
      <c r="A368" s="89"/>
      <c r="B368" s="89"/>
      <c r="C368" s="89"/>
      <c r="D368" s="89"/>
      <c r="E368" s="89"/>
      <c r="F368" s="89"/>
      <c r="G368" s="89"/>
      <c r="H368" s="89"/>
      <c r="I368" s="9"/>
      <c r="J368" s="9"/>
      <c r="K368" s="9"/>
      <c r="AB368">
        <f t="shared" si="21"/>
        <v>0</v>
      </c>
      <c r="AC368">
        <f t="shared" si="22"/>
        <v>0</v>
      </c>
      <c r="AD368">
        <f t="shared" si="23"/>
        <v>0</v>
      </c>
      <c r="AE368">
        <f t="shared" si="20"/>
        <v>0</v>
      </c>
    </row>
    <row r="369" spans="1:31" ht="15" x14ac:dyDescent="0.25">
      <c r="A369" s="89"/>
      <c r="B369" s="89"/>
      <c r="C369" s="89"/>
      <c r="D369" s="89"/>
      <c r="E369" s="89"/>
      <c r="F369" s="89"/>
      <c r="G369" s="89"/>
      <c r="H369" s="89"/>
      <c r="I369" s="9"/>
      <c r="J369" s="9"/>
      <c r="K369" s="9"/>
      <c r="AB369">
        <f t="shared" si="21"/>
        <v>0</v>
      </c>
      <c r="AC369">
        <f t="shared" si="22"/>
        <v>0</v>
      </c>
      <c r="AD369">
        <f t="shared" si="23"/>
        <v>0</v>
      </c>
      <c r="AE369">
        <f t="shared" si="20"/>
        <v>0</v>
      </c>
    </row>
    <row r="370" spans="1:31" ht="15" x14ac:dyDescent="0.25">
      <c r="A370" s="89"/>
      <c r="B370" s="89"/>
      <c r="C370" s="89"/>
      <c r="D370" s="89"/>
      <c r="E370" s="89"/>
      <c r="F370" s="89"/>
      <c r="G370" s="89"/>
      <c r="H370" s="89"/>
      <c r="I370" s="9"/>
      <c r="J370" s="9"/>
      <c r="K370" s="9"/>
      <c r="AB370">
        <f t="shared" si="21"/>
        <v>0</v>
      </c>
      <c r="AC370">
        <f t="shared" si="22"/>
        <v>0</v>
      </c>
      <c r="AD370">
        <f t="shared" si="23"/>
        <v>0</v>
      </c>
      <c r="AE370">
        <f t="shared" si="20"/>
        <v>0</v>
      </c>
    </row>
    <row r="371" spans="1:31" ht="15" x14ac:dyDescent="0.25">
      <c r="A371" s="89"/>
      <c r="B371" s="89"/>
      <c r="C371" s="89"/>
      <c r="D371" s="89"/>
      <c r="E371" s="89"/>
      <c r="F371" s="89"/>
      <c r="G371" s="89"/>
      <c r="H371" s="89"/>
      <c r="I371" s="9"/>
      <c r="J371" s="9"/>
      <c r="K371" s="9"/>
      <c r="AB371">
        <f t="shared" si="21"/>
        <v>0</v>
      </c>
      <c r="AC371">
        <f t="shared" si="22"/>
        <v>0</v>
      </c>
      <c r="AD371">
        <f t="shared" si="23"/>
        <v>0</v>
      </c>
      <c r="AE371">
        <f t="shared" si="20"/>
        <v>0</v>
      </c>
    </row>
    <row r="372" spans="1:31" ht="15" x14ac:dyDescent="0.25">
      <c r="A372" s="89"/>
      <c r="B372" s="89"/>
      <c r="C372" s="89"/>
      <c r="D372" s="89"/>
      <c r="E372" s="89"/>
      <c r="F372" s="89"/>
      <c r="G372" s="89"/>
      <c r="H372" s="89"/>
      <c r="I372" s="9"/>
      <c r="J372" s="9"/>
      <c r="K372" s="9"/>
      <c r="AB372">
        <f t="shared" si="21"/>
        <v>0</v>
      </c>
      <c r="AC372">
        <f t="shared" si="22"/>
        <v>0</v>
      </c>
      <c r="AD372">
        <f t="shared" si="23"/>
        <v>0</v>
      </c>
      <c r="AE372">
        <f t="shared" si="20"/>
        <v>0</v>
      </c>
    </row>
    <row r="373" spans="1:31" ht="15" x14ac:dyDescent="0.25">
      <c r="A373" s="89"/>
      <c r="B373" s="89"/>
      <c r="C373" s="89"/>
      <c r="D373" s="89"/>
      <c r="E373" s="89"/>
      <c r="F373" s="89"/>
      <c r="G373" s="89"/>
      <c r="H373" s="89"/>
      <c r="I373" s="9"/>
      <c r="J373" s="9"/>
      <c r="K373" s="9"/>
      <c r="AB373">
        <f t="shared" si="21"/>
        <v>0</v>
      </c>
      <c r="AC373">
        <f t="shared" si="22"/>
        <v>0</v>
      </c>
      <c r="AD373">
        <f t="shared" si="23"/>
        <v>0</v>
      </c>
      <c r="AE373">
        <f t="shared" si="20"/>
        <v>0</v>
      </c>
    </row>
    <row r="374" spans="1:31" ht="15" x14ac:dyDescent="0.25">
      <c r="A374" s="89"/>
      <c r="B374" s="89"/>
      <c r="C374" s="89"/>
      <c r="D374" s="89"/>
      <c r="E374" s="89"/>
      <c r="F374" s="89"/>
      <c r="G374" s="89"/>
      <c r="H374" s="89"/>
      <c r="I374" s="9"/>
      <c r="J374" s="9"/>
      <c r="K374" s="9"/>
      <c r="AB374">
        <f t="shared" si="21"/>
        <v>0</v>
      </c>
      <c r="AC374">
        <f t="shared" si="22"/>
        <v>0</v>
      </c>
      <c r="AD374">
        <f t="shared" si="23"/>
        <v>0</v>
      </c>
      <c r="AE374">
        <f t="shared" si="20"/>
        <v>0</v>
      </c>
    </row>
    <row r="375" spans="1:31" ht="15" x14ac:dyDescent="0.25">
      <c r="A375" s="89"/>
      <c r="B375" s="89"/>
      <c r="C375" s="89"/>
      <c r="D375" s="89"/>
      <c r="E375" s="89"/>
      <c r="F375" s="89"/>
      <c r="G375" s="89"/>
      <c r="H375" s="89"/>
      <c r="I375" s="9"/>
      <c r="J375" s="9"/>
      <c r="K375" s="9"/>
      <c r="AB375">
        <f t="shared" si="21"/>
        <v>0</v>
      </c>
      <c r="AC375">
        <f t="shared" si="22"/>
        <v>0</v>
      </c>
      <c r="AD375">
        <f t="shared" si="23"/>
        <v>0</v>
      </c>
      <c r="AE375">
        <f t="shared" si="20"/>
        <v>0</v>
      </c>
    </row>
    <row r="376" spans="1:31" ht="15" x14ac:dyDescent="0.25">
      <c r="A376" s="89"/>
      <c r="B376" s="89"/>
      <c r="C376" s="89"/>
      <c r="D376" s="89"/>
      <c r="E376" s="89"/>
      <c r="F376" s="89"/>
      <c r="G376" s="89"/>
      <c r="H376" s="89"/>
      <c r="I376" s="9"/>
      <c r="J376" s="9"/>
      <c r="K376" s="9"/>
      <c r="AB376">
        <f t="shared" si="21"/>
        <v>0</v>
      </c>
      <c r="AC376">
        <f t="shared" si="22"/>
        <v>0</v>
      </c>
      <c r="AD376">
        <f t="shared" si="23"/>
        <v>0</v>
      </c>
      <c r="AE376">
        <f t="shared" si="20"/>
        <v>0</v>
      </c>
    </row>
    <row r="377" spans="1:31" ht="15" x14ac:dyDescent="0.25">
      <c r="A377" s="89"/>
      <c r="B377" s="89"/>
      <c r="C377" s="89"/>
      <c r="D377" s="89"/>
      <c r="E377" s="89"/>
      <c r="F377" s="89"/>
      <c r="G377" s="89"/>
      <c r="H377" s="89"/>
      <c r="I377" s="9"/>
      <c r="J377" s="9"/>
      <c r="K377" s="9"/>
      <c r="AB377">
        <f t="shared" si="21"/>
        <v>0</v>
      </c>
      <c r="AC377">
        <f t="shared" si="22"/>
        <v>0</v>
      </c>
      <c r="AD377">
        <f t="shared" si="23"/>
        <v>0</v>
      </c>
      <c r="AE377">
        <f t="shared" si="20"/>
        <v>0</v>
      </c>
    </row>
    <row r="378" spans="1:31" ht="15" x14ac:dyDescent="0.25">
      <c r="A378" s="89"/>
      <c r="B378" s="89"/>
      <c r="C378" s="89"/>
      <c r="D378" s="89"/>
      <c r="E378" s="89"/>
      <c r="F378" s="89"/>
      <c r="G378" s="89"/>
      <c r="H378" s="89"/>
      <c r="I378" s="9"/>
      <c r="J378" s="9"/>
      <c r="K378" s="9"/>
      <c r="AB378">
        <f t="shared" si="21"/>
        <v>0</v>
      </c>
      <c r="AC378">
        <f t="shared" si="22"/>
        <v>0</v>
      </c>
      <c r="AD378">
        <f t="shared" si="23"/>
        <v>0</v>
      </c>
      <c r="AE378">
        <f t="shared" si="20"/>
        <v>0</v>
      </c>
    </row>
    <row r="379" spans="1:31" ht="15" x14ac:dyDescent="0.25">
      <c r="A379" s="89"/>
      <c r="B379" s="89"/>
      <c r="C379" s="89"/>
      <c r="D379" s="89"/>
      <c r="E379" s="89"/>
      <c r="F379" s="89"/>
      <c r="G379" s="89"/>
      <c r="H379" s="89"/>
      <c r="I379" s="9"/>
      <c r="J379" s="9"/>
      <c r="K379" s="9"/>
      <c r="AB379">
        <f t="shared" si="21"/>
        <v>0</v>
      </c>
      <c r="AC379">
        <f t="shared" si="22"/>
        <v>0</v>
      </c>
      <c r="AD379">
        <f t="shared" si="23"/>
        <v>0</v>
      </c>
      <c r="AE379">
        <f t="shared" si="20"/>
        <v>0</v>
      </c>
    </row>
    <row r="380" spans="1:31" ht="15" x14ac:dyDescent="0.25">
      <c r="A380" s="89"/>
      <c r="B380" s="89"/>
      <c r="C380" s="89"/>
      <c r="D380" s="89"/>
      <c r="E380" s="89"/>
      <c r="F380" s="89"/>
      <c r="G380" s="89"/>
      <c r="H380" s="89"/>
      <c r="I380" s="9"/>
      <c r="J380" s="9"/>
      <c r="K380" s="9"/>
      <c r="AB380">
        <f t="shared" si="21"/>
        <v>0</v>
      </c>
      <c r="AC380">
        <f t="shared" si="22"/>
        <v>0</v>
      </c>
      <c r="AD380">
        <f t="shared" si="23"/>
        <v>0</v>
      </c>
      <c r="AE380">
        <f t="shared" si="20"/>
        <v>0</v>
      </c>
    </row>
    <row r="381" spans="1:31" ht="15" x14ac:dyDescent="0.25">
      <c r="A381" s="89"/>
      <c r="B381" s="89"/>
      <c r="C381" s="89"/>
      <c r="D381" s="89"/>
      <c r="E381" s="89"/>
      <c r="F381" s="89"/>
      <c r="G381" s="89"/>
      <c r="H381" s="89"/>
      <c r="I381" s="9"/>
      <c r="J381" s="9"/>
      <c r="K381" s="9"/>
      <c r="AB381">
        <f t="shared" si="21"/>
        <v>0</v>
      </c>
      <c r="AC381">
        <f t="shared" si="22"/>
        <v>0</v>
      </c>
      <c r="AD381">
        <f t="shared" si="23"/>
        <v>0</v>
      </c>
      <c r="AE381">
        <f t="shared" si="20"/>
        <v>0</v>
      </c>
    </row>
    <row r="382" spans="1:31" ht="15" x14ac:dyDescent="0.25">
      <c r="A382" s="89"/>
      <c r="B382" s="89"/>
      <c r="C382" s="89"/>
      <c r="D382" s="89"/>
      <c r="E382" s="89"/>
      <c r="F382" s="89"/>
      <c r="G382" s="89"/>
      <c r="H382" s="89"/>
      <c r="I382" s="9"/>
      <c r="J382" s="9"/>
      <c r="K382" s="9"/>
      <c r="AB382">
        <f t="shared" si="21"/>
        <v>0</v>
      </c>
      <c r="AC382">
        <f t="shared" si="22"/>
        <v>0</v>
      </c>
      <c r="AD382">
        <f t="shared" si="23"/>
        <v>0</v>
      </c>
      <c r="AE382">
        <f t="shared" si="20"/>
        <v>0</v>
      </c>
    </row>
    <row r="383" spans="1:31" ht="15" x14ac:dyDescent="0.25">
      <c r="A383" s="89"/>
      <c r="B383" s="89"/>
      <c r="C383" s="89"/>
      <c r="D383" s="89"/>
      <c r="E383" s="89"/>
      <c r="F383" s="89"/>
      <c r="G383" s="89"/>
      <c r="H383" s="89"/>
      <c r="I383" s="9"/>
      <c r="J383" s="9"/>
      <c r="K383" s="9"/>
      <c r="AB383">
        <f t="shared" si="21"/>
        <v>0</v>
      </c>
      <c r="AC383">
        <f t="shared" si="22"/>
        <v>0</v>
      </c>
      <c r="AD383">
        <f t="shared" si="23"/>
        <v>0</v>
      </c>
      <c r="AE383">
        <f t="shared" si="20"/>
        <v>0</v>
      </c>
    </row>
    <row r="384" spans="1:31" ht="15" x14ac:dyDescent="0.25">
      <c r="A384" s="89"/>
      <c r="B384" s="89"/>
      <c r="C384" s="89"/>
      <c r="D384" s="89"/>
      <c r="E384" s="89"/>
      <c r="F384" s="89"/>
      <c r="G384" s="89"/>
      <c r="H384" s="89"/>
      <c r="I384" s="9"/>
      <c r="J384" s="9"/>
      <c r="K384" s="9"/>
      <c r="AB384">
        <f t="shared" si="21"/>
        <v>0</v>
      </c>
      <c r="AC384">
        <f t="shared" si="22"/>
        <v>0</v>
      </c>
      <c r="AD384">
        <f t="shared" si="23"/>
        <v>0</v>
      </c>
      <c r="AE384">
        <f t="shared" si="20"/>
        <v>0</v>
      </c>
    </row>
    <row r="385" spans="1:31" ht="15" x14ac:dyDescent="0.25">
      <c r="A385" s="89"/>
      <c r="B385" s="89"/>
      <c r="C385" s="89"/>
      <c r="D385" s="89"/>
      <c r="E385" s="89"/>
      <c r="F385" s="89"/>
      <c r="G385" s="89"/>
      <c r="H385" s="89"/>
      <c r="I385" s="9"/>
      <c r="J385" s="9"/>
      <c r="K385" s="9"/>
      <c r="AB385">
        <f t="shared" si="21"/>
        <v>0</v>
      </c>
      <c r="AC385">
        <f t="shared" si="22"/>
        <v>0</v>
      </c>
      <c r="AD385">
        <f t="shared" si="23"/>
        <v>0</v>
      </c>
      <c r="AE385">
        <f t="shared" si="20"/>
        <v>0</v>
      </c>
    </row>
    <row r="386" spans="1:31" ht="15" x14ac:dyDescent="0.25">
      <c r="A386" s="89"/>
      <c r="B386" s="89"/>
      <c r="C386" s="89"/>
      <c r="D386" s="89"/>
      <c r="E386" s="89"/>
      <c r="F386" s="89"/>
      <c r="G386" s="89"/>
      <c r="H386" s="89"/>
      <c r="I386" s="9"/>
      <c r="J386" s="9"/>
      <c r="K386" s="9"/>
      <c r="AB386">
        <f t="shared" si="21"/>
        <v>0</v>
      </c>
      <c r="AC386">
        <f t="shared" si="22"/>
        <v>0</v>
      </c>
      <c r="AD386">
        <f t="shared" si="23"/>
        <v>0</v>
      </c>
      <c r="AE386">
        <f t="shared" si="20"/>
        <v>0</v>
      </c>
    </row>
    <row r="387" spans="1:31" ht="15" x14ac:dyDescent="0.25">
      <c r="A387" s="89"/>
      <c r="B387" s="89"/>
      <c r="C387" s="89"/>
      <c r="D387" s="89"/>
      <c r="E387" s="89"/>
      <c r="F387" s="89"/>
      <c r="G387" s="89"/>
      <c r="H387" s="89"/>
      <c r="I387" s="9"/>
      <c r="J387" s="9"/>
      <c r="K387" s="9"/>
      <c r="AB387">
        <f t="shared" si="21"/>
        <v>0</v>
      </c>
      <c r="AC387">
        <f t="shared" si="22"/>
        <v>0</v>
      </c>
      <c r="AD387">
        <f t="shared" si="23"/>
        <v>0</v>
      </c>
      <c r="AE387">
        <f t="shared" si="20"/>
        <v>0</v>
      </c>
    </row>
    <row r="388" spans="1:31" ht="15" x14ac:dyDescent="0.25">
      <c r="A388" s="89"/>
      <c r="B388" s="89"/>
      <c r="C388" s="89"/>
      <c r="D388" s="89"/>
      <c r="E388" s="89"/>
      <c r="F388" s="89"/>
      <c r="G388" s="89"/>
      <c r="H388" s="89"/>
      <c r="I388" s="9"/>
      <c r="J388" s="9"/>
      <c r="K388" s="9"/>
      <c r="AB388">
        <f t="shared" si="21"/>
        <v>0</v>
      </c>
      <c r="AC388">
        <f t="shared" si="22"/>
        <v>0</v>
      </c>
      <c r="AD388">
        <f t="shared" si="23"/>
        <v>0</v>
      </c>
      <c r="AE388">
        <f t="shared" si="20"/>
        <v>0</v>
      </c>
    </row>
    <row r="389" spans="1:31" ht="15" x14ac:dyDescent="0.25">
      <c r="A389" s="89"/>
      <c r="B389" s="89"/>
      <c r="C389" s="89"/>
      <c r="D389" s="89"/>
      <c r="E389" s="89"/>
      <c r="F389" s="89"/>
      <c r="G389" s="89"/>
      <c r="H389" s="89"/>
      <c r="I389" s="9"/>
      <c r="J389" s="9"/>
      <c r="K389" s="9"/>
      <c r="AB389">
        <f t="shared" si="21"/>
        <v>0</v>
      </c>
      <c r="AC389">
        <f t="shared" si="22"/>
        <v>0</v>
      </c>
      <c r="AD389">
        <f t="shared" si="23"/>
        <v>0</v>
      </c>
      <c r="AE389">
        <f t="shared" si="20"/>
        <v>0</v>
      </c>
    </row>
    <row r="390" spans="1:31" ht="15" x14ac:dyDescent="0.25">
      <c r="A390" s="89"/>
      <c r="B390" s="89"/>
      <c r="C390" s="89"/>
      <c r="D390" s="89"/>
      <c r="E390" s="89"/>
      <c r="F390" s="89"/>
      <c r="G390" s="89"/>
      <c r="H390" s="89"/>
      <c r="I390" s="9"/>
      <c r="J390" s="9"/>
      <c r="K390" s="9"/>
      <c r="AB390">
        <f t="shared" si="21"/>
        <v>0</v>
      </c>
      <c r="AC390">
        <f t="shared" si="22"/>
        <v>0</v>
      </c>
      <c r="AD390">
        <f t="shared" si="23"/>
        <v>0</v>
      </c>
      <c r="AE390">
        <f t="shared" si="20"/>
        <v>0</v>
      </c>
    </row>
    <row r="391" spans="1:31" x14ac:dyDescent="0.2">
      <c r="A391" s="89"/>
      <c r="B391" s="89"/>
      <c r="C391" s="89"/>
      <c r="D391" s="89"/>
      <c r="E391" s="89"/>
      <c r="F391" s="89"/>
      <c r="G391" s="89"/>
      <c r="H391" s="89"/>
      <c r="I391" s="9"/>
      <c r="J391" s="9"/>
      <c r="K391" s="9"/>
    </row>
    <row r="392" spans="1:31" x14ac:dyDescent="0.2">
      <c r="A392" s="89"/>
      <c r="B392" s="89"/>
      <c r="C392" s="89"/>
      <c r="D392" s="89"/>
      <c r="E392" s="89"/>
      <c r="F392" s="89"/>
      <c r="G392" s="89"/>
      <c r="H392" s="89"/>
      <c r="I392" s="9"/>
      <c r="J392" s="9"/>
      <c r="K392" s="9"/>
    </row>
    <row r="393" spans="1:31" x14ac:dyDescent="0.2">
      <c r="A393" s="89"/>
      <c r="B393" s="89"/>
      <c r="C393" s="89"/>
      <c r="D393" s="89"/>
      <c r="E393" s="89"/>
      <c r="F393" s="89"/>
      <c r="G393" s="89"/>
      <c r="H393" s="89"/>
      <c r="I393" s="9"/>
      <c r="J393" s="9"/>
      <c r="K393" s="9"/>
    </row>
    <row r="394" spans="1:31" x14ac:dyDescent="0.2">
      <c r="A394" s="89"/>
      <c r="B394" s="89"/>
      <c r="C394" s="89"/>
      <c r="D394" s="89"/>
      <c r="E394" s="89"/>
      <c r="F394" s="89"/>
      <c r="G394" s="89"/>
      <c r="H394" s="89"/>
      <c r="I394" s="9"/>
      <c r="J394" s="9"/>
      <c r="K394" s="9"/>
    </row>
    <row r="395" spans="1:31" x14ac:dyDescent="0.2">
      <c r="A395" s="89"/>
      <c r="B395" s="89"/>
      <c r="C395" s="89"/>
      <c r="D395" s="89"/>
      <c r="E395" s="89"/>
      <c r="F395" s="89"/>
      <c r="G395" s="89"/>
      <c r="H395" s="89"/>
      <c r="I395" s="9"/>
      <c r="J395" s="9"/>
      <c r="K395" s="9"/>
    </row>
    <row r="396" spans="1:31" x14ac:dyDescent="0.2">
      <c r="A396" s="89"/>
      <c r="B396" s="89"/>
      <c r="C396" s="89"/>
      <c r="D396" s="89"/>
      <c r="E396" s="89"/>
      <c r="F396" s="89"/>
      <c r="G396" s="89"/>
      <c r="H396" s="89"/>
      <c r="I396" s="9"/>
      <c r="J396" s="9"/>
      <c r="K396" s="9"/>
    </row>
    <row r="397" spans="1:31" x14ac:dyDescent="0.2">
      <c r="A397" s="89"/>
      <c r="B397" s="89"/>
      <c r="C397" s="89"/>
      <c r="D397" s="89"/>
      <c r="E397" s="89"/>
      <c r="F397" s="89"/>
      <c r="G397" s="89"/>
      <c r="H397" s="89"/>
      <c r="I397" s="9"/>
      <c r="J397" s="9"/>
      <c r="K397" s="9"/>
    </row>
    <row r="398" spans="1:31" x14ac:dyDescent="0.2">
      <c r="A398" s="89"/>
      <c r="B398" s="89"/>
      <c r="C398" s="89"/>
      <c r="D398" s="89"/>
      <c r="E398" s="89"/>
      <c r="F398" s="89"/>
      <c r="G398" s="89"/>
      <c r="H398" s="89"/>
      <c r="I398" s="9"/>
      <c r="J398" s="9"/>
      <c r="K398" s="9"/>
    </row>
    <row r="399" spans="1:31" x14ac:dyDescent="0.2">
      <c r="A399" s="89"/>
      <c r="B399" s="89"/>
      <c r="C399" s="89"/>
      <c r="D399" s="89"/>
      <c r="E399" s="89"/>
      <c r="F399" s="89"/>
      <c r="G399" s="89"/>
      <c r="H399" s="89"/>
      <c r="I399" s="9"/>
      <c r="J399" s="9"/>
      <c r="K399" s="9"/>
    </row>
    <row r="400" spans="1:31" x14ac:dyDescent="0.2">
      <c r="A400" s="89"/>
      <c r="B400" s="89"/>
      <c r="C400" s="89"/>
      <c r="D400" s="89"/>
      <c r="E400" s="89"/>
      <c r="F400" s="89"/>
      <c r="G400" s="89"/>
      <c r="H400" s="89"/>
      <c r="I400" s="9"/>
      <c r="J400" s="9"/>
      <c r="K400" s="9"/>
    </row>
    <row r="401" spans="1:11" x14ac:dyDescent="0.2">
      <c r="A401" s="89"/>
      <c r="B401" s="89"/>
      <c r="C401" s="89"/>
      <c r="D401" s="89"/>
      <c r="E401" s="89"/>
      <c r="F401" s="89"/>
      <c r="G401" s="89"/>
      <c r="H401" s="89"/>
      <c r="I401" s="9"/>
      <c r="J401" s="9"/>
      <c r="K401" s="9"/>
    </row>
    <row r="402" spans="1:11" x14ac:dyDescent="0.2">
      <c r="A402" s="89"/>
      <c r="B402" s="89"/>
      <c r="C402" s="89"/>
      <c r="D402" s="89"/>
      <c r="E402" s="89"/>
      <c r="F402" s="89"/>
      <c r="G402" s="89"/>
      <c r="H402" s="89"/>
      <c r="I402" s="9"/>
      <c r="J402" s="9"/>
      <c r="K402" s="9"/>
    </row>
    <row r="403" spans="1:11" x14ac:dyDescent="0.2">
      <c r="A403" s="89"/>
      <c r="B403" s="89"/>
      <c r="C403" s="89"/>
      <c r="D403" s="89"/>
      <c r="E403" s="89"/>
      <c r="F403" s="89"/>
      <c r="G403" s="89"/>
      <c r="H403" s="89"/>
      <c r="I403" s="9"/>
      <c r="J403" s="9"/>
      <c r="K403" s="9"/>
    </row>
    <row r="404" spans="1:11" x14ac:dyDescent="0.2">
      <c r="A404" s="89"/>
      <c r="B404" s="89"/>
      <c r="C404" s="89"/>
      <c r="D404" s="89"/>
      <c r="E404" s="89"/>
      <c r="F404" s="89"/>
      <c r="G404" s="89"/>
      <c r="H404" s="89"/>
      <c r="I404" s="9"/>
      <c r="J404" s="9"/>
      <c r="K404" s="9"/>
    </row>
    <row r="405" spans="1:11" x14ac:dyDescent="0.2">
      <c r="A405" s="89"/>
      <c r="B405" s="89"/>
      <c r="C405" s="89"/>
      <c r="D405" s="89"/>
      <c r="E405" s="89"/>
      <c r="F405" s="89"/>
      <c r="G405" s="89"/>
      <c r="H405" s="89"/>
      <c r="I405" s="9"/>
      <c r="J405" s="9"/>
      <c r="K405" s="9"/>
    </row>
    <row r="406" spans="1:11" x14ac:dyDescent="0.2">
      <c r="A406" s="89"/>
      <c r="B406" s="89"/>
      <c r="C406" s="89"/>
      <c r="D406" s="89"/>
      <c r="E406" s="89"/>
      <c r="F406" s="89"/>
      <c r="G406" s="89"/>
      <c r="H406" s="89"/>
      <c r="I406" s="9"/>
      <c r="J406" s="9"/>
      <c r="K406" s="9"/>
    </row>
    <row r="407" spans="1:11" x14ac:dyDescent="0.2">
      <c r="A407" s="89"/>
      <c r="B407" s="89"/>
      <c r="C407" s="89"/>
      <c r="D407" s="89"/>
      <c r="E407" s="89"/>
      <c r="F407" s="89"/>
      <c r="G407" s="89"/>
      <c r="H407" s="89"/>
      <c r="I407" s="9"/>
      <c r="J407" s="9"/>
      <c r="K407" s="9"/>
    </row>
    <row r="408" spans="1:11" x14ac:dyDescent="0.2">
      <c r="A408" s="89"/>
      <c r="B408" s="89"/>
      <c r="C408" s="89"/>
      <c r="D408" s="89"/>
      <c r="E408" s="89"/>
      <c r="F408" s="89"/>
      <c r="G408" s="89"/>
      <c r="H408" s="89"/>
      <c r="I408" s="9"/>
      <c r="J408" s="9"/>
      <c r="K408" s="9"/>
    </row>
    <row r="409" spans="1:11" x14ac:dyDescent="0.2">
      <c r="A409" s="89"/>
      <c r="B409" s="89"/>
      <c r="C409" s="89"/>
      <c r="D409" s="89"/>
      <c r="E409" s="89"/>
      <c r="F409" s="89"/>
      <c r="G409" s="89"/>
      <c r="H409" s="89"/>
      <c r="I409" s="9"/>
      <c r="J409" s="9"/>
      <c r="K409" s="9"/>
    </row>
    <row r="410" spans="1:11" x14ac:dyDescent="0.2">
      <c r="A410" s="89"/>
      <c r="B410" s="89"/>
      <c r="C410" s="89"/>
      <c r="D410" s="89"/>
      <c r="E410" s="89"/>
      <c r="F410" s="89"/>
      <c r="G410" s="89"/>
      <c r="H410" s="89"/>
      <c r="I410" s="9"/>
      <c r="J410" s="9"/>
      <c r="K410" s="9"/>
    </row>
    <row r="411" spans="1:11" x14ac:dyDescent="0.2">
      <c r="A411" s="89"/>
      <c r="B411" s="89"/>
      <c r="C411" s="89"/>
      <c r="D411" s="89"/>
      <c r="E411" s="89"/>
      <c r="F411" s="89"/>
      <c r="G411" s="89"/>
      <c r="H411" s="89"/>
      <c r="I411" s="9"/>
      <c r="J411" s="9"/>
      <c r="K411" s="9"/>
    </row>
    <row r="412" spans="1:11" x14ac:dyDescent="0.2">
      <c r="A412" s="89"/>
      <c r="B412" s="89"/>
      <c r="C412" s="89"/>
      <c r="D412" s="89"/>
      <c r="E412" s="89"/>
      <c r="F412" s="89"/>
      <c r="G412" s="89"/>
      <c r="H412" s="89"/>
      <c r="I412" s="9"/>
      <c r="J412" s="9"/>
      <c r="K412" s="9"/>
    </row>
    <row r="413" spans="1:11" x14ac:dyDescent="0.2">
      <c r="A413" s="89"/>
      <c r="B413" s="89"/>
      <c r="C413" s="89"/>
      <c r="D413" s="89"/>
      <c r="E413" s="89"/>
      <c r="F413" s="89"/>
      <c r="G413" s="89"/>
      <c r="H413" s="89"/>
      <c r="I413" s="9"/>
      <c r="J413" s="9"/>
      <c r="K413" s="9"/>
    </row>
    <row r="414" spans="1:11" x14ac:dyDescent="0.2">
      <c r="A414" s="89"/>
      <c r="B414" s="89"/>
      <c r="C414" s="89"/>
      <c r="D414" s="89"/>
      <c r="E414" s="89"/>
      <c r="F414" s="89"/>
      <c r="G414" s="89"/>
      <c r="H414" s="89"/>
      <c r="I414" s="9"/>
      <c r="J414" s="9"/>
      <c r="K414" s="9"/>
    </row>
    <row r="415" spans="1:11" x14ac:dyDescent="0.2">
      <c r="A415" s="89"/>
      <c r="B415" s="89"/>
      <c r="C415" s="89"/>
      <c r="D415" s="89"/>
      <c r="E415" s="89"/>
      <c r="F415" s="89"/>
      <c r="G415" s="89"/>
      <c r="H415" s="89"/>
      <c r="I415" s="9"/>
      <c r="J415" s="9"/>
      <c r="K415" s="9"/>
    </row>
    <row r="416" spans="1:11" x14ac:dyDescent="0.2">
      <c r="A416" s="89"/>
      <c r="B416" s="89"/>
      <c r="C416" s="89"/>
      <c r="D416" s="89"/>
      <c r="E416" s="89"/>
      <c r="F416" s="89"/>
      <c r="G416" s="89"/>
      <c r="H416" s="89"/>
      <c r="I416" s="9"/>
      <c r="J416" s="9"/>
      <c r="K416" s="9"/>
    </row>
    <row r="417" spans="1:11" x14ac:dyDescent="0.2">
      <c r="A417" s="89"/>
      <c r="B417" s="89"/>
      <c r="C417" s="89"/>
      <c r="D417" s="89"/>
      <c r="E417" s="89"/>
      <c r="F417" s="89"/>
      <c r="G417" s="89"/>
      <c r="H417" s="89"/>
      <c r="I417" s="9"/>
      <c r="J417" s="9"/>
      <c r="K417" s="9"/>
    </row>
    <row r="418" spans="1:11" x14ac:dyDescent="0.2">
      <c r="A418" s="89"/>
      <c r="B418" s="89"/>
      <c r="C418" s="89"/>
      <c r="D418" s="89"/>
      <c r="E418" s="89"/>
      <c r="F418" s="89"/>
      <c r="G418" s="89"/>
      <c r="H418" s="89"/>
      <c r="I418" s="9"/>
      <c r="J418" s="9"/>
      <c r="K418" s="9"/>
    </row>
    <row r="419" spans="1:11" x14ac:dyDescent="0.2">
      <c r="A419" s="89"/>
      <c r="B419" s="89"/>
      <c r="C419" s="89"/>
      <c r="D419" s="89"/>
      <c r="E419" s="89"/>
      <c r="F419" s="89"/>
      <c r="G419" s="89"/>
      <c r="H419" s="89"/>
      <c r="I419" s="9"/>
      <c r="J419" s="9"/>
      <c r="K419" s="9"/>
    </row>
    <row r="420" spans="1:11" x14ac:dyDescent="0.2">
      <c r="A420" s="89"/>
      <c r="B420" s="89"/>
      <c r="C420" s="89"/>
      <c r="D420" s="89"/>
      <c r="E420" s="89"/>
      <c r="F420" s="89"/>
      <c r="G420" s="89"/>
      <c r="H420" s="89"/>
      <c r="I420" s="9"/>
      <c r="J420" s="9"/>
      <c r="K420" s="9"/>
    </row>
    <row r="421" spans="1:11" x14ac:dyDescent="0.2">
      <c r="A421" s="89"/>
      <c r="B421" s="89"/>
      <c r="C421" s="89"/>
      <c r="D421" s="89"/>
      <c r="E421" s="89"/>
      <c r="F421" s="89"/>
      <c r="G421" s="89"/>
      <c r="H421" s="89"/>
      <c r="I421" s="9"/>
      <c r="J421" s="9"/>
      <c r="K421" s="9"/>
    </row>
    <row r="422" spans="1:11" x14ac:dyDescent="0.2">
      <c r="A422" s="89"/>
      <c r="B422" s="89"/>
      <c r="C422" s="89"/>
      <c r="D422" s="89"/>
      <c r="E422" s="89"/>
      <c r="F422" s="89"/>
      <c r="G422" s="89"/>
      <c r="H422" s="89"/>
      <c r="I422" s="9"/>
      <c r="J422" s="9"/>
      <c r="K422" s="9"/>
    </row>
    <row r="423" spans="1:11" x14ac:dyDescent="0.2">
      <c r="A423" s="89"/>
      <c r="B423" s="89"/>
      <c r="C423" s="89"/>
      <c r="D423" s="89"/>
      <c r="E423" s="89"/>
      <c r="F423" s="89"/>
      <c r="G423" s="89"/>
      <c r="H423" s="89"/>
      <c r="I423" s="9"/>
      <c r="J423" s="9"/>
      <c r="K423" s="9"/>
    </row>
    <row r="424" spans="1:11" x14ac:dyDescent="0.2">
      <c r="A424" s="89"/>
      <c r="B424" s="89"/>
      <c r="C424" s="89"/>
      <c r="D424" s="89"/>
      <c r="E424" s="89"/>
      <c r="F424" s="89"/>
      <c r="G424" s="89"/>
      <c r="H424" s="89"/>
      <c r="I424" s="9"/>
      <c r="J424" s="9"/>
      <c r="K424" s="9"/>
    </row>
    <row r="425" spans="1:11" x14ac:dyDescent="0.2">
      <c r="A425" s="89"/>
      <c r="B425" s="89"/>
      <c r="C425" s="89"/>
      <c r="D425" s="89"/>
      <c r="E425" s="89"/>
      <c r="F425" s="89"/>
      <c r="G425" s="89"/>
      <c r="H425" s="89"/>
      <c r="I425" s="9"/>
      <c r="J425" s="9"/>
      <c r="K425" s="9"/>
    </row>
    <row r="426" spans="1:11" x14ac:dyDescent="0.2">
      <c r="A426" s="89"/>
      <c r="B426" s="89"/>
      <c r="C426" s="89"/>
      <c r="D426" s="89"/>
      <c r="E426" s="89"/>
      <c r="F426" s="89"/>
      <c r="G426" s="89"/>
      <c r="H426" s="89"/>
      <c r="I426" s="9"/>
      <c r="J426" s="9"/>
      <c r="K426" s="9"/>
    </row>
    <row r="427" spans="1:11" x14ac:dyDescent="0.2">
      <c r="A427" s="89"/>
      <c r="B427" s="89"/>
      <c r="C427" s="89"/>
      <c r="D427" s="89"/>
      <c r="E427" s="89"/>
      <c r="F427" s="89"/>
      <c r="G427" s="89"/>
      <c r="H427" s="89"/>
      <c r="I427" s="9"/>
      <c r="J427" s="9"/>
      <c r="K427" s="9"/>
    </row>
    <row r="428" spans="1:11" x14ac:dyDescent="0.2">
      <c r="A428" s="89"/>
      <c r="B428" s="89"/>
      <c r="C428" s="89"/>
      <c r="D428" s="89"/>
      <c r="E428" s="89"/>
      <c r="F428" s="89"/>
      <c r="G428" s="89"/>
      <c r="H428" s="89"/>
      <c r="I428" s="9"/>
      <c r="J428" s="9"/>
      <c r="K428" s="9"/>
    </row>
    <row r="429" spans="1:11" x14ac:dyDescent="0.2">
      <c r="A429" s="89"/>
      <c r="B429" s="89"/>
      <c r="C429" s="89"/>
      <c r="D429" s="89"/>
      <c r="E429" s="89"/>
      <c r="F429" s="89"/>
      <c r="G429" s="89"/>
      <c r="H429" s="89"/>
      <c r="I429" s="9"/>
      <c r="J429" s="9"/>
      <c r="K429" s="9"/>
    </row>
    <row r="430" spans="1:11" x14ac:dyDescent="0.2">
      <c r="A430" s="89"/>
      <c r="B430" s="89"/>
      <c r="C430" s="89"/>
      <c r="D430" s="89"/>
      <c r="E430" s="89"/>
      <c r="F430" s="89"/>
      <c r="G430" s="89"/>
      <c r="H430" s="89"/>
      <c r="I430" s="9"/>
      <c r="J430" s="9"/>
      <c r="K430" s="9"/>
    </row>
    <row r="431" spans="1:11" x14ac:dyDescent="0.2">
      <c r="A431" s="89"/>
      <c r="B431" s="89"/>
      <c r="C431" s="89"/>
      <c r="D431" s="89"/>
      <c r="E431" s="89"/>
      <c r="F431" s="89"/>
      <c r="G431" s="89"/>
      <c r="H431" s="89"/>
      <c r="I431" s="9"/>
      <c r="J431" s="9"/>
      <c r="K431" s="9"/>
    </row>
    <row r="432" spans="1:11" x14ac:dyDescent="0.2">
      <c r="A432" s="89"/>
      <c r="B432" s="89"/>
      <c r="C432" s="89"/>
      <c r="D432" s="89"/>
      <c r="E432" s="89"/>
      <c r="F432" s="89"/>
      <c r="G432" s="89"/>
      <c r="H432" s="89"/>
      <c r="I432" s="9"/>
      <c r="J432" s="9"/>
      <c r="K432" s="9"/>
    </row>
    <row r="433" spans="1:11" x14ac:dyDescent="0.2">
      <c r="A433" s="89"/>
      <c r="B433" s="89"/>
      <c r="C433" s="89"/>
      <c r="D433" s="89"/>
      <c r="E433" s="89"/>
      <c r="F433" s="89"/>
      <c r="G433" s="89"/>
      <c r="H433" s="89"/>
      <c r="I433" s="9"/>
      <c r="J433" s="9"/>
      <c r="K433" s="9"/>
    </row>
    <row r="434" spans="1:11" x14ac:dyDescent="0.2">
      <c r="A434" s="89"/>
      <c r="B434" s="89"/>
      <c r="C434" s="89"/>
      <c r="D434" s="89"/>
      <c r="E434" s="89"/>
      <c r="F434" s="89"/>
      <c r="G434" s="89"/>
      <c r="H434" s="89"/>
      <c r="I434" s="9"/>
      <c r="J434" s="9"/>
      <c r="K434" s="9"/>
    </row>
    <row r="435" spans="1:11" x14ac:dyDescent="0.2">
      <c r="A435" s="89"/>
      <c r="B435" s="89"/>
      <c r="C435" s="89"/>
      <c r="D435" s="89"/>
      <c r="E435" s="89"/>
      <c r="F435" s="89"/>
      <c r="G435" s="89"/>
      <c r="H435" s="89"/>
      <c r="I435" s="9"/>
      <c r="J435" s="9"/>
      <c r="K435" s="9"/>
    </row>
    <row r="436" spans="1:11" x14ac:dyDescent="0.2">
      <c r="A436" s="89"/>
      <c r="B436" s="89"/>
      <c r="C436" s="89"/>
      <c r="D436" s="89"/>
      <c r="E436" s="89"/>
      <c r="F436" s="89"/>
      <c r="G436" s="89"/>
      <c r="H436" s="89"/>
      <c r="I436" s="9"/>
      <c r="J436" s="9"/>
      <c r="K436" s="9"/>
    </row>
    <row r="437" spans="1:11" x14ac:dyDescent="0.2">
      <c r="A437" s="89"/>
      <c r="B437" s="89"/>
      <c r="C437" s="89"/>
      <c r="D437" s="89"/>
      <c r="E437" s="89"/>
      <c r="F437" s="89"/>
      <c r="G437" s="89"/>
      <c r="H437" s="89"/>
      <c r="I437" s="9"/>
      <c r="J437" s="9"/>
      <c r="K437" s="9"/>
    </row>
    <row r="438" spans="1:11" x14ac:dyDescent="0.2">
      <c r="A438" s="89"/>
      <c r="B438" s="89"/>
      <c r="C438" s="89"/>
      <c r="D438" s="89"/>
      <c r="E438" s="89"/>
      <c r="F438" s="89"/>
      <c r="G438" s="89"/>
      <c r="H438" s="89"/>
      <c r="I438" s="9"/>
      <c r="J438" s="9"/>
      <c r="K438" s="9"/>
    </row>
    <row r="439" spans="1:11" x14ac:dyDescent="0.2">
      <c r="A439" s="89"/>
      <c r="B439" s="89"/>
      <c r="C439" s="89"/>
      <c r="D439" s="89"/>
      <c r="E439" s="89"/>
      <c r="F439" s="89"/>
      <c r="G439" s="89"/>
      <c r="H439" s="89"/>
      <c r="I439" s="9"/>
      <c r="J439" s="9"/>
      <c r="K439" s="9"/>
    </row>
    <row r="440" spans="1:11" x14ac:dyDescent="0.2">
      <c r="A440" s="89"/>
      <c r="B440" s="89"/>
      <c r="C440" s="89"/>
      <c r="D440" s="89"/>
      <c r="E440" s="89"/>
      <c r="F440" s="89"/>
      <c r="G440" s="89"/>
      <c r="H440" s="89"/>
      <c r="I440" s="9"/>
      <c r="J440" s="9"/>
      <c r="K440" s="9"/>
    </row>
    <row r="441" spans="1:11" x14ac:dyDescent="0.2">
      <c r="A441" s="89"/>
      <c r="B441" s="89"/>
      <c r="C441" s="89"/>
      <c r="D441" s="89"/>
      <c r="E441" s="89"/>
      <c r="F441" s="89"/>
      <c r="G441" s="89"/>
      <c r="H441" s="89"/>
      <c r="I441" s="9"/>
      <c r="J441" s="9"/>
      <c r="K441" s="9"/>
    </row>
    <row r="442" spans="1:11" x14ac:dyDescent="0.2">
      <c r="A442" s="89"/>
      <c r="B442" s="89"/>
      <c r="C442" s="89"/>
      <c r="D442" s="89"/>
      <c r="E442" s="89"/>
      <c r="F442" s="89"/>
      <c r="G442" s="89"/>
      <c r="H442" s="89"/>
      <c r="I442" s="9"/>
      <c r="J442" s="9"/>
      <c r="K442" s="9"/>
    </row>
    <row r="443" spans="1:11" x14ac:dyDescent="0.2">
      <c r="A443" s="89"/>
      <c r="B443" s="89"/>
      <c r="C443" s="89"/>
      <c r="D443" s="89"/>
      <c r="E443" s="89"/>
      <c r="F443" s="89"/>
      <c r="G443" s="89"/>
      <c r="H443" s="89"/>
      <c r="I443" s="9"/>
      <c r="J443" s="9"/>
      <c r="K443" s="9"/>
    </row>
    <row r="444" spans="1:11" x14ac:dyDescent="0.2">
      <c r="A444" s="89"/>
      <c r="B444" s="89"/>
      <c r="C444" s="89"/>
      <c r="D444" s="89"/>
      <c r="E444" s="89"/>
      <c r="F444" s="89"/>
      <c r="G444" s="89"/>
      <c r="H444" s="89"/>
      <c r="I444" s="9"/>
      <c r="J444" s="9"/>
      <c r="K444" s="9"/>
    </row>
    <row r="445" spans="1:11" x14ac:dyDescent="0.2">
      <c r="A445" s="89"/>
      <c r="B445" s="89"/>
      <c r="C445" s="89"/>
      <c r="D445" s="89"/>
      <c r="E445" s="89"/>
      <c r="F445" s="89"/>
      <c r="G445" s="89"/>
      <c r="H445" s="89"/>
      <c r="I445" s="9"/>
      <c r="J445" s="9"/>
      <c r="K445" s="9"/>
    </row>
    <row r="446" spans="1:11" x14ac:dyDescent="0.2">
      <c r="A446" s="89"/>
      <c r="B446" s="89"/>
      <c r="C446" s="89"/>
      <c r="D446" s="89"/>
      <c r="E446" s="89"/>
      <c r="F446" s="89"/>
      <c r="G446" s="89"/>
      <c r="H446" s="89"/>
      <c r="I446" s="9"/>
      <c r="J446" s="9"/>
      <c r="K446" s="9"/>
    </row>
    <row r="447" spans="1:11" x14ac:dyDescent="0.2">
      <c r="A447" s="89"/>
      <c r="B447" s="89"/>
      <c r="C447" s="89"/>
      <c r="D447" s="89"/>
      <c r="E447" s="89"/>
      <c r="F447" s="89"/>
      <c r="G447" s="89"/>
      <c r="H447" s="89"/>
      <c r="I447" s="9"/>
      <c r="J447" s="9"/>
      <c r="K447" s="9"/>
    </row>
    <row r="448" spans="1:11" x14ac:dyDescent="0.2">
      <c r="A448" s="89"/>
      <c r="B448" s="89"/>
      <c r="C448" s="89"/>
      <c r="D448" s="89"/>
      <c r="E448" s="89"/>
      <c r="F448" s="89"/>
      <c r="G448" s="89"/>
      <c r="H448" s="89"/>
      <c r="I448" s="9"/>
      <c r="J448" s="9"/>
      <c r="K448" s="9"/>
    </row>
    <row r="449" spans="1:11" x14ac:dyDescent="0.2">
      <c r="A449" s="89"/>
      <c r="B449" s="89"/>
      <c r="C449" s="89"/>
      <c r="D449" s="89"/>
      <c r="E449" s="89"/>
      <c r="F449" s="89"/>
      <c r="G449" s="89"/>
      <c r="H449" s="89"/>
      <c r="I449" s="9"/>
      <c r="J449" s="9"/>
      <c r="K449" s="9"/>
    </row>
    <row r="450" spans="1:11" x14ac:dyDescent="0.2">
      <c r="A450" s="89"/>
      <c r="B450" s="89"/>
      <c r="C450" s="89"/>
      <c r="D450" s="89"/>
      <c r="E450" s="89"/>
      <c r="F450" s="89"/>
      <c r="G450" s="89"/>
      <c r="H450" s="89"/>
      <c r="I450" s="9"/>
      <c r="J450" s="9"/>
      <c r="K450" s="9"/>
    </row>
    <row r="451" spans="1:11" x14ac:dyDescent="0.2">
      <c r="A451" s="89"/>
      <c r="B451" s="89"/>
      <c r="C451" s="89"/>
      <c r="D451" s="89"/>
      <c r="E451" s="89"/>
      <c r="F451" s="89"/>
      <c r="G451" s="89"/>
      <c r="H451" s="89"/>
      <c r="I451" s="9"/>
      <c r="J451" s="9"/>
      <c r="K451" s="9"/>
    </row>
    <row r="452" spans="1:11" x14ac:dyDescent="0.2">
      <c r="A452" s="89"/>
      <c r="B452" s="89"/>
      <c r="C452" s="89"/>
      <c r="D452" s="89"/>
      <c r="E452" s="89"/>
      <c r="F452" s="89"/>
      <c r="G452" s="89"/>
      <c r="H452" s="89"/>
      <c r="I452" s="9"/>
      <c r="J452" s="9"/>
      <c r="K452" s="9"/>
    </row>
    <row r="453" spans="1:11" x14ac:dyDescent="0.2">
      <c r="A453" s="89"/>
      <c r="B453" s="89"/>
      <c r="C453" s="89"/>
      <c r="D453" s="89"/>
      <c r="E453" s="89"/>
      <c r="F453" s="89"/>
      <c r="G453" s="89"/>
      <c r="H453" s="89"/>
      <c r="I453" s="9"/>
      <c r="J453" s="9"/>
      <c r="K453" s="9"/>
    </row>
    <row r="454" spans="1:11" x14ac:dyDescent="0.2">
      <c r="A454" s="89"/>
      <c r="B454" s="89"/>
      <c r="C454" s="89"/>
      <c r="D454" s="89"/>
      <c r="E454" s="89"/>
      <c r="F454" s="89"/>
      <c r="G454" s="89"/>
      <c r="H454" s="89"/>
      <c r="I454" s="9"/>
      <c r="J454" s="9"/>
      <c r="K454" s="9"/>
    </row>
    <row r="455" spans="1:11" x14ac:dyDescent="0.2">
      <c r="A455" s="89"/>
      <c r="B455" s="89"/>
      <c r="C455" s="89"/>
      <c r="D455" s="89"/>
      <c r="E455" s="89"/>
      <c r="F455" s="89"/>
      <c r="G455" s="89"/>
      <c r="H455" s="89"/>
      <c r="I455" s="9"/>
      <c r="J455" s="9"/>
      <c r="K455" s="9"/>
    </row>
    <row r="456" spans="1:11" x14ac:dyDescent="0.2">
      <c r="A456" s="89"/>
      <c r="B456" s="89"/>
      <c r="C456" s="89"/>
      <c r="D456" s="89"/>
      <c r="E456" s="89"/>
      <c r="F456" s="89"/>
      <c r="G456" s="89"/>
      <c r="H456" s="89"/>
      <c r="I456" s="9"/>
      <c r="J456" s="9"/>
      <c r="K456" s="9"/>
    </row>
    <row r="457" spans="1:11" x14ac:dyDescent="0.2">
      <c r="A457" s="89"/>
      <c r="B457" s="89"/>
      <c r="C457" s="89"/>
      <c r="D457" s="89"/>
      <c r="E457" s="89"/>
      <c r="F457" s="89"/>
      <c r="G457" s="89"/>
      <c r="H457" s="89"/>
      <c r="I457" s="9"/>
      <c r="J457" s="9"/>
      <c r="K457" s="9"/>
    </row>
    <row r="458" spans="1:11" x14ac:dyDescent="0.2">
      <c r="A458" s="89"/>
      <c r="B458" s="89"/>
      <c r="C458" s="89"/>
      <c r="D458" s="89"/>
      <c r="E458" s="89"/>
      <c r="F458" s="89"/>
      <c r="G458" s="89"/>
      <c r="H458" s="89"/>
      <c r="I458" s="9"/>
      <c r="J458" s="9"/>
      <c r="K458" s="9"/>
    </row>
    <row r="459" spans="1:11" x14ac:dyDescent="0.2">
      <c r="A459" s="89"/>
      <c r="B459" s="89"/>
      <c r="C459" s="89"/>
      <c r="D459" s="89"/>
      <c r="E459" s="89"/>
      <c r="F459" s="89"/>
      <c r="G459" s="89"/>
      <c r="H459" s="89"/>
      <c r="I459" s="9"/>
      <c r="J459" s="9"/>
      <c r="K459" s="9"/>
    </row>
    <row r="460" spans="1:11" x14ac:dyDescent="0.2">
      <c r="A460" s="89"/>
      <c r="B460" s="89"/>
      <c r="C460" s="89"/>
      <c r="D460" s="89"/>
      <c r="E460" s="89"/>
      <c r="F460" s="89"/>
      <c r="G460" s="89"/>
      <c r="H460" s="89"/>
      <c r="I460" s="9"/>
      <c r="J460" s="9"/>
      <c r="K460" s="9"/>
    </row>
    <row r="461" spans="1:11" x14ac:dyDescent="0.2">
      <c r="A461" s="89"/>
      <c r="B461" s="89"/>
      <c r="C461" s="89"/>
      <c r="D461" s="89"/>
      <c r="E461" s="89"/>
      <c r="F461" s="89"/>
      <c r="G461" s="89"/>
      <c r="H461" s="89"/>
      <c r="I461" s="9"/>
      <c r="J461" s="9"/>
      <c r="K461" s="9"/>
    </row>
    <row r="462" spans="1:11" x14ac:dyDescent="0.2">
      <c r="A462" s="89"/>
      <c r="B462" s="89"/>
      <c r="C462" s="89"/>
      <c r="D462" s="89"/>
      <c r="E462" s="89"/>
      <c r="F462" s="89"/>
      <c r="G462" s="89"/>
      <c r="H462" s="89"/>
      <c r="I462" s="9"/>
      <c r="J462" s="9"/>
      <c r="K462" s="9"/>
    </row>
    <row r="463" spans="1:11" x14ac:dyDescent="0.2">
      <c r="A463" s="89"/>
      <c r="B463" s="89"/>
      <c r="C463" s="89"/>
      <c r="D463" s="89"/>
      <c r="E463" s="89"/>
      <c r="F463" s="89"/>
      <c r="G463" s="89"/>
      <c r="H463" s="89"/>
      <c r="I463" s="9"/>
      <c r="J463" s="9"/>
      <c r="K463" s="9"/>
    </row>
    <row r="464" spans="1:11" x14ac:dyDescent="0.2">
      <c r="A464" s="89"/>
      <c r="B464" s="89"/>
      <c r="C464" s="89"/>
      <c r="D464" s="89"/>
      <c r="E464" s="89"/>
      <c r="F464" s="89"/>
      <c r="G464" s="89"/>
      <c r="H464" s="89"/>
      <c r="I464" s="9"/>
      <c r="J464" s="9"/>
      <c r="K464" s="9"/>
    </row>
    <row r="465" spans="1:11" x14ac:dyDescent="0.2">
      <c r="A465" s="89"/>
      <c r="B465" s="89"/>
      <c r="C465" s="89"/>
      <c r="D465" s="89"/>
      <c r="E465" s="89"/>
      <c r="F465" s="89"/>
      <c r="G465" s="89"/>
      <c r="H465" s="89"/>
      <c r="I465" s="9"/>
      <c r="J465" s="9"/>
      <c r="K465" s="9"/>
    </row>
    <row r="466" spans="1:11" x14ac:dyDescent="0.2">
      <c r="A466" s="89"/>
      <c r="B466" s="89"/>
      <c r="C466" s="89"/>
      <c r="D466" s="89"/>
      <c r="E466" s="89"/>
      <c r="F466" s="89"/>
      <c r="G466" s="89"/>
      <c r="H466" s="89"/>
      <c r="I466" s="9"/>
      <c r="J466" s="9"/>
      <c r="K466" s="9"/>
    </row>
    <row r="467" spans="1:11" x14ac:dyDescent="0.2">
      <c r="A467" s="89"/>
      <c r="B467" s="89"/>
      <c r="C467" s="89"/>
      <c r="D467" s="89"/>
      <c r="E467" s="89"/>
      <c r="F467" s="89"/>
      <c r="G467" s="89"/>
      <c r="H467" s="89"/>
      <c r="I467" s="9"/>
      <c r="J467" s="9"/>
      <c r="K467" s="9"/>
    </row>
    <row r="468" spans="1:11" x14ac:dyDescent="0.2">
      <c r="A468" s="89"/>
      <c r="B468" s="89"/>
      <c r="C468" s="89"/>
      <c r="D468" s="89"/>
      <c r="E468" s="89"/>
      <c r="F468" s="89"/>
      <c r="G468" s="89"/>
      <c r="H468" s="89"/>
      <c r="I468" s="9"/>
      <c r="J468" s="9"/>
      <c r="K468" s="9"/>
    </row>
    <row r="469" spans="1:11" x14ac:dyDescent="0.2">
      <c r="A469" s="89"/>
      <c r="B469" s="89"/>
      <c r="C469" s="89"/>
      <c r="D469" s="89"/>
      <c r="E469" s="89"/>
      <c r="F469" s="89"/>
      <c r="G469" s="89"/>
      <c r="H469" s="89"/>
      <c r="I469" s="9"/>
      <c r="J469" s="9"/>
      <c r="K469" s="9"/>
    </row>
    <row r="470" spans="1:11" x14ac:dyDescent="0.2">
      <c r="A470" s="89"/>
      <c r="B470" s="89"/>
      <c r="C470" s="89"/>
      <c r="D470" s="89"/>
      <c r="E470" s="89"/>
      <c r="F470" s="89"/>
      <c r="G470" s="89"/>
      <c r="H470" s="89"/>
      <c r="I470" s="9"/>
      <c r="J470" s="9"/>
      <c r="K470" s="9"/>
    </row>
    <row r="471" spans="1:11" x14ac:dyDescent="0.2">
      <c r="A471" s="89"/>
      <c r="B471" s="89"/>
      <c r="C471" s="89"/>
      <c r="D471" s="89"/>
      <c r="E471" s="89"/>
      <c r="F471" s="89"/>
      <c r="G471" s="89"/>
      <c r="H471" s="89"/>
      <c r="I471" s="9"/>
      <c r="J471" s="9"/>
      <c r="K471" s="9"/>
    </row>
    <row r="472" spans="1:11" x14ac:dyDescent="0.2">
      <c r="A472" s="89"/>
      <c r="B472" s="89"/>
      <c r="C472" s="89"/>
      <c r="D472" s="89"/>
      <c r="E472" s="89"/>
      <c r="F472" s="89"/>
      <c r="G472" s="89"/>
      <c r="H472" s="89"/>
      <c r="I472" s="9"/>
      <c r="J472" s="9"/>
      <c r="K472" s="9"/>
    </row>
    <row r="473" spans="1:11" x14ac:dyDescent="0.2">
      <c r="A473" s="89"/>
      <c r="B473" s="89"/>
      <c r="C473" s="89"/>
      <c r="D473" s="89"/>
      <c r="E473" s="89"/>
      <c r="F473" s="89"/>
      <c r="G473" s="89"/>
      <c r="H473" s="89"/>
      <c r="I473" s="9"/>
      <c r="J473" s="9"/>
      <c r="K473" s="9"/>
    </row>
    <row r="474" spans="1:11" x14ac:dyDescent="0.2">
      <c r="A474" s="89"/>
      <c r="B474" s="89"/>
      <c r="C474" s="89"/>
      <c r="D474" s="89"/>
      <c r="E474" s="89"/>
      <c r="F474" s="89"/>
      <c r="G474" s="89"/>
      <c r="H474" s="89"/>
      <c r="I474" s="9"/>
      <c r="J474" s="9"/>
      <c r="K474" s="9"/>
    </row>
    <row r="475" spans="1:11" x14ac:dyDescent="0.2">
      <c r="A475" s="89"/>
      <c r="B475" s="89"/>
      <c r="C475" s="89"/>
      <c r="D475" s="89"/>
      <c r="E475" s="89"/>
      <c r="F475" s="89"/>
      <c r="G475" s="89"/>
      <c r="H475" s="89"/>
      <c r="I475" s="9"/>
      <c r="J475" s="9"/>
      <c r="K475" s="9"/>
    </row>
    <row r="476" spans="1:11" x14ac:dyDescent="0.2">
      <c r="A476" s="89"/>
      <c r="B476" s="89"/>
      <c r="C476" s="89"/>
      <c r="D476" s="89"/>
      <c r="E476" s="89"/>
      <c r="F476" s="89"/>
      <c r="G476" s="89"/>
      <c r="H476" s="89"/>
      <c r="I476" s="9"/>
      <c r="J476" s="9"/>
      <c r="K476" s="9"/>
    </row>
    <row r="477" spans="1:11" x14ac:dyDescent="0.2">
      <c r="A477" s="89"/>
      <c r="B477" s="89"/>
      <c r="C477" s="89"/>
      <c r="D477" s="89"/>
      <c r="E477" s="89"/>
      <c r="F477" s="89"/>
      <c r="G477" s="89"/>
      <c r="H477" s="89"/>
      <c r="I477" s="9"/>
      <c r="J477" s="9"/>
      <c r="K477" s="9"/>
    </row>
    <row r="478" spans="1:11" x14ac:dyDescent="0.2">
      <c r="A478" s="89"/>
      <c r="B478" s="89"/>
      <c r="C478" s="89"/>
      <c r="D478" s="89"/>
      <c r="E478" s="89"/>
      <c r="F478" s="89"/>
      <c r="G478" s="89"/>
      <c r="H478" s="89"/>
      <c r="I478" s="9"/>
      <c r="J478" s="9"/>
      <c r="K478" s="9"/>
    </row>
    <row r="479" spans="1:11" x14ac:dyDescent="0.2">
      <c r="A479" s="89"/>
      <c r="B479" s="89"/>
      <c r="C479" s="89"/>
      <c r="D479" s="89"/>
      <c r="E479" s="89"/>
      <c r="F479" s="89"/>
      <c r="G479" s="89"/>
      <c r="H479" s="89"/>
      <c r="I479" s="9"/>
      <c r="J479" s="9"/>
      <c r="K479" s="9"/>
    </row>
    <row r="480" spans="1:11" x14ac:dyDescent="0.2">
      <c r="A480" s="89"/>
      <c r="B480" s="89"/>
      <c r="C480" s="89"/>
      <c r="D480" s="89"/>
      <c r="E480" s="89"/>
      <c r="F480" s="89"/>
      <c r="G480" s="89"/>
      <c r="H480" s="89"/>
      <c r="I480" s="9"/>
      <c r="J480" s="9"/>
      <c r="K480" s="9"/>
    </row>
    <row r="481" spans="1:11" x14ac:dyDescent="0.2">
      <c r="A481" s="89"/>
      <c r="B481" s="89"/>
      <c r="C481" s="89"/>
      <c r="D481" s="89"/>
      <c r="E481" s="89"/>
      <c r="F481" s="89"/>
      <c r="G481" s="89"/>
      <c r="H481" s="89"/>
      <c r="I481" s="9"/>
      <c r="J481" s="9"/>
      <c r="K481" s="9"/>
    </row>
    <row r="482" spans="1:11" x14ac:dyDescent="0.2">
      <c r="A482" s="89"/>
      <c r="B482" s="89"/>
      <c r="C482" s="89"/>
      <c r="D482" s="89"/>
      <c r="E482" s="89"/>
      <c r="F482" s="89"/>
      <c r="G482" s="89"/>
      <c r="H482" s="89"/>
      <c r="I482" s="9"/>
      <c r="J482" s="9"/>
      <c r="K482" s="9"/>
    </row>
    <row r="483" spans="1:11" x14ac:dyDescent="0.2">
      <c r="A483" s="89"/>
      <c r="B483" s="89"/>
      <c r="C483" s="89"/>
      <c r="D483" s="89"/>
      <c r="E483" s="89"/>
      <c r="F483" s="89"/>
      <c r="G483" s="89"/>
      <c r="H483" s="89"/>
      <c r="I483" s="9"/>
      <c r="J483" s="9"/>
      <c r="K483" s="9"/>
    </row>
    <row r="484" spans="1:11" x14ac:dyDescent="0.2">
      <c r="A484" s="89"/>
      <c r="B484" s="89"/>
      <c r="C484" s="89"/>
      <c r="D484" s="89"/>
      <c r="E484" s="89"/>
      <c r="F484" s="89"/>
      <c r="G484" s="89"/>
      <c r="H484" s="89"/>
      <c r="I484" s="9"/>
      <c r="J484" s="9"/>
      <c r="K484" s="9"/>
    </row>
    <row r="485" spans="1:11" x14ac:dyDescent="0.2">
      <c r="A485" s="89"/>
      <c r="B485" s="89"/>
      <c r="C485" s="89"/>
      <c r="D485" s="89"/>
      <c r="E485" s="89"/>
      <c r="F485" s="89"/>
      <c r="G485" s="89"/>
      <c r="H485" s="89"/>
      <c r="I485" s="9"/>
      <c r="J485" s="9"/>
      <c r="K485" s="9"/>
    </row>
    <row r="486" spans="1:11" x14ac:dyDescent="0.2">
      <c r="A486" s="89"/>
      <c r="B486" s="89"/>
      <c r="C486" s="89"/>
      <c r="D486" s="89"/>
      <c r="E486" s="89"/>
      <c r="F486" s="89"/>
      <c r="G486" s="89"/>
      <c r="H486" s="89"/>
      <c r="I486" s="9"/>
      <c r="J486" s="9"/>
      <c r="K486" s="9"/>
    </row>
    <row r="487" spans="1:11" x14ac:dyDescent="0.2">
      <c r="A487" s="89"/>
      <c r="B487" s="89"/>
      <c r="C487" s="89"/>
      <c r="D487" s="89"/>
      <c r="E487" s="89"/>
      <c r="F487" s="89"/>
      <c r="G487" s="89"/>
      <c r="H487" s="89"/>
      <c r="I487" s="9"/>
      <c r="J487" s="9"/>
      <c r="K487" s="9"/>
    </row>
    <row r="488" spans="1:11" x14ac:dyDescent="0.2">
      <c r="A488" s="89"/>
      <c r="B488" s="89"/>
      <c r="C488" s="89"/>
      <c r="D488" s="89"/>
      <c r="E488" s="89"/>
      <c r="F488" s="89"/>
      <c r="G488" s="89"/>
      <c r="H488" s="89"/>
      <c r="I488" s="9"/>
      <c r="J488" s="9"/>
      <c r="K488" s="9"/>
    </row>
    <row r="489" spans="1:11" x14ac:dyDescent="0.2">
      <c r="A489" s="89"/>
      <c r="B489" s="89"/>
      <c r="C489" s="89"/>
      <c r="D489" s="89"/>
      <c r="E489" s="89"/>
      <c r="F489" s="89"/>
      <c r="G489" s="89"/>
      <c r="H489" s="89"/>
      <c r="I489" s="9"/>
      <c r="J489" s="9"/>
      <c r="K489" s="9"/>
    </row>
    <row r="490" spans="1:11" x14ac:dyDescent="0.2">
      <c r="A490" s="89"/>
      <c r="B490" s="89"/>
      <c r="C490" s="89"/>
      <c r="D490" s="89"/>
      <c r="E490" s="89"/>
      <c r="F490" s="89"/>
      <c r="G490" s="89"/>
      <c r="H490" s="89"/>
      <c r="I490" s="9"/>
      <c r="J490" s="9"/>
      <c r="K490" s="9"/>
    </row>
    <row r="491" spans="1:11" x14ac:dyDescent="0.2">
      <c r="A491" s="89"/>
      <c r="B491" s="89"/>
      <c r="C491" s="89"/>
      <c r="D491" s="89"/>
      <c r="E491" s="89"/>
      <c r="F491" s="89"/>
      <c r="G491" s="89"/>
      <c r="H491" s="89"/>
      <c r="I491" s="9"/>
      <c r="J491" s="9"/>
      <c r="K491" s="9"/>
    </row>
    <row r="492" spans="1:11" x14ac:dyDescent="0.2">
      <c r="A492" s="89"/>
      <c r="B492" s="89"/>
      <c r="C492" s="89"/>
      <c r="D492" s="89"/>
      <c r="E492" s="89"/>
      <c r="F492" s="89"/>
      <c r="G492" s="89"/>
      <c r="H492" s="89"/>
      <c r="I492" s="9"/>
      <c r="J492" s="9"/>
      <c r="K492" s="9"/>
    </row>
    <row r="493" spans="1:11" x14ac:dyDescent="0.2">
      <c r="A493" s="89"/>
      <c r="B493" s="89"/>
      <c r="C493" s="89"/>
      <c r="D493" s="89"/>
      <c r="E493" s="89"/>
      <c r="F493" s="89"/>
      <c r="G493" s="89"/>
      <c r="H493" s="89"/>
      <c r="I493" s="9"/>
      <c r="J493" s="9"/>
      <c r="K493" s="9"/>
    </row>
    <row r="494" spans="1:11" x14ac:dyDescent="0.2">
      <c r="A494" s="89"/>
      <c r="B494" s="89"/>
      <c r="C494" s="89"/>
      <c r="D494" s="89"/>
      <c r="E494" s="89"/>
      <c r="F494" s="89"/>
      <c r="G494" s="89"/>
      <c r="H494" s="89"/>
      <c r="I494" s="9"/>
      <c r="J494" s="9"/>
      <c r="K494" s="9"/>
    </row>
    <row r="495" spans="1:11" x14ac:dyDescent="0.2">
      <c r="A495" s="89"/>
      <c r="B495" s="89"/>
      <c r="C495" s="89"/>
      <c r="D495" s="89"/>
      <c r="E495" s="89"/>
      <c r="F495" s="89"/>
      <c r="G495" s="89"/>
      <c r="H495" s="89"/>
      <c r="I495" s="9"/>
      <c r="J495" s="9"/>
      <c r="K495" s="9"/>
    </row>
    <row r="496" spans="1:11" x14ac:dyDescent="0.2">
      <c r="A496" s="89"/>
      <c r="B496" s="89"/>
      <c r="C496" s="89"/>
      <c r="D496" s="89"/>
      <c r="E496" s="89"/>
      <c r="F496" s="89"/>
      <c r="G496" s="89"/>
      <c r="H496" s="89"/>
      <c r="I496" s="9"/>
      <c r="J496" s="9"/>
      <c r="K496" s="9"/>
    </row>
    <row r="497" spans="1:11" x14ac:dyDescent="0.2">
      <c r="A497" s="89"/>
      <c r="B497" s="89"/>
      <c r="C497" s="89"/>
      <c r="D497" s="89"/>
      <c r="E497" s="89"/>
      <c r="F497" s="89"/>
      <c r="G497" s="89"/>
      <c r="H497" s="89"/>
      <c r="I497" s="9"/>
      <c r="J497" s="9"/>
      <c r="K497" s="9"/>
    </row>
    <row r="498" spans="1:11" x14ac:dyDescent="0.2">
      <c r="A498" s="89"/>
      <c r="B498" s="89"/>
      <c r="C498" s="89"/>
      <c r="D498" s="89"/>
      <c r="E498" s="89"/>
      <c r="F498" s="89"/>
      <c r="G498" s="89"/>
      <c r="H498" s="89"/>
      <c r="I498" s="9"/>
      <c r="J498" s="9"/>
      <c r="K498" s="9"/>
    </row>
    <row r="499" spans="1:11" x14ac:dyDescent="0.2">
      <c r="A499" s="89"/>
      <c r="B499" s="89"/>
      <c r="C499" s="89"/>
      <c r="D499" s="89"/>
      <c r="E499" s="89"/>
      <c r="F499" s="89"/>
      <c r="G499" s="89"/>
      <c r="H499" s="89"/>
      <c r="I499" s="9"/>
      <c r="J499" s="9"/>
      <c r="K499" s="9"/>
    </row>
    <row r="500" spans="1:11" x14ac:dyDescent="0.2">
      <c r="A500" s="89"/>
      <c r="B500" s="89"/>
      <c r="C500" s="89"/>
      <c r="D500" s="89"/>
      <c r="E500" s="89"/>
      <c r="F500" s="89"/>
      <c r="G500" s="89"/>
      <c r="H500" s="89"/>
      <c r="I500" s="9"/>
      <c r="J500" s="9"/>
      <c r="K500" s="9"/>
    </row>
    <row r="501" spans="1:11" x14ac:dyDescent="0.2">
      <c r="A501" s="89"/>
      <c r="B501" s="89"/>
      <c r="C501" s="89"/>
      <c r="D501" s="89"/>
      <c r="E501" s="89"/>
      <c r="F501" s="89"/>
      <c r="G501" s="89"/>
      <c r="H501" s="89"/>
      <c r="I501" s="9"/>
      <c r="J501" s="9"/>
      <c r="K501" s="9"/>
    </row>
    <row r="502" spans="1:11" x14ac:dyDescent="0.2">
      <c r="A502" s="89"/>
      <c r="B502" s="89"/>
      <c r="C502" s="89"/>
      <c r="D502" s="89"/>
      <c r="E502" s="89"/>
      <c r="F502" s="89"/>
      <c r="G502" s="89"/>
      <c r="H502" s="89"/>
      <c r="I502" s="9"/>
      <c r="J502" s="9"/>
      <c r="K502" s="9"/>
    </row>
    <row r="503" spans="1:11" x14ac:dyDescent="0.2">
      <c r="A503" s="89"/>
      <c r="B503" s="89"/>
      <c r="C503" s="89"/>
      <c r="D503" s="89"/>
      <c r="E503" s="89"/>
      <c r="F503" s="89"/>
      <c r="G503" s="89"/>
      <c r="H503" s="89"/>
      <c r="I503" s="9"/>
      <c r="J503" s="9"/>
      <c r="K503" s="9"/>
    </row>
    <row r="504" spans="1:11" x14ac:dyDescent="0.2">
      <c r="A504" s="89"/>
      <c r="B504" s="89"/>
      <c r="C504" s="89"/>
      <c r="D504" s="89"/>
      <c r="E504" s="89"/>
      <c r="F504" s="89"/>
      <c r="G504" s="89"/>
      <c r="H504" s="89"/>
      <c r="I504" s="9"/>
      <c r="J504" s="9"/>
      <c r="K504" s="9"/>
    </row>
    <row r="505" spans="1:11" x14ac:dyDescent="0.2">
      <c r="A505" s="89"/>
      <c r="B505" s="89"/>
      <c r="C505" s="89"/>
      <c r="D505" s="89"/>
      <c r="E505" s="89"/>
      <c r="F505" s="89"/>
      <c r="G505" s="89"/>
      <c r="H505" s="89"/>
      <c r="I505" s="9"/>
      <c r="J505" s="9"/>
      <c r="K505" s="9"/>
    </row>
    <row r="506" spans="1:11" x14ac:dyDescent="0.2">
      <c r="A506" s="89"/>
      <c r="B506" s="89"/>
      <c r="C506" s="89"/>
      <c r="D506" s="89"/>
      <c r="E506" s="89"/>
      <c r="F506" s="89"/>
      <c r="G506" s="89"/>
      <c r="H506" s="89"/>
      <c r="I506" s="9"/>
      <c r="J506" s="9"/>
      <c r="K506" s="9"/>
    </row>
    <row r="507" spans="1:11" x14ac:dyDescent="0.2">
      <c r="A507" s="89"/>
      <c r="B507" s="89"/>
      <c r="C507" s="89"/>
      <c r="D507" s="89"/>
      <c r="E507" s="89"/>
      <c r="F507" s="89"/>
      <c r="G507" s="89"/>
      <c r="H507" s="89"/>
      <c r="I507" s="9"/>
      <c r="J507" s="9"/>
      <c r="K507" s="9"/>
    </row>
    <row r="508" spans="1:11" x14ac:dyDescent="0.2">
      <c r="A508" s="89"/>
      <c r="B508" s="89"/>
      <c r="C508" s="89"/>
      <c r="D508" s="89"/>
      <c r="E508" s="89"/>
      <c r="F508" s="89"/>
      <c r="G508" s="89"/>
      <c r="H508" s="89"/>
      <c r="I508" s="9"/>
      <c r="J508" s="9"/>
      <c r="K508" s="9"/>
    </row>
    <row r="509" spans="1:11" x14ac:dyDescent="0.2">
      <c r="A509" s="89"/>
      <c r="B509" s="89"/>
      <c r="C509" s="89"/>
      <c r="D509" s="89"/>
      <c r="E509" s="89"/>
      <c r="F509" s="89"/>
      <c r="G509" s="89"/>
      <c r="H509" s="89"/>
      <c r="I509" s="9"/>
      <c r="J509" s="9"/>
      <c r="K509" s="9"/>
    </row>
    <row r="510" spans="1:11" x14ac:dyDescent="0.2">
      <c r="A510" s="89"/>
      <c r="B510" s="89"/>
      <c r="C510" s="89"/>
      <c r="D510" s="89"/>
      <c r="E510" s="89"/>
      <c r="F510" s="89"/>
      <c r="G510" s="89"/>
      <c r="H510" s="89"/>
      <c r="I510" s="9"/>
      <c r="J510" s="9"/>
      <c r="K510" s="9"/>
    </row>
    <row r="511" spans="1:11" x14ac:dyDescent="0.2">
      <c r="A511" s="89"/>
      <c r="B511" s="89"/>
      <c r="C511" s="89"/>
      <c r="D511" s="89"/>
      <c r="E511" s="89"/>
      <c r="F511" s="89"/>
      <c r="G511" s="89"/>
      <c r="H511" s="89"/>
      <c r="I511" s="9"/>
      <c r="J511" s="9"/>
      <c r="K511" s="9"/>
    </row>
    <row r="512" spans="1:11" x14ac:dyDescent="0.2">
      <c r="A512" s="89"/>
      <c r="B512" s="89"/>
      <c r="C512" s="89"/>
      <c r="D512" s="89"/>
      <c r="E512" s="89"/>
      <c r="F512" s="89"/>
      <c r="G512" s="89"/>
      <c r="H512" s="89"/>
      <c r="I512" s="9"/>
      <c r="J512" s="9"/>
      <c r="K512" s="9"/>
    </row>
    <row r="513" spans="1:11" x14ac:dyDescent="0.2">
      <c r="A513" s="89"/>
      <c r="B513" s="89"/>
      <c r="C513" s="89"/>
      <c r="D513" s="89"/>
      <c r="E513" s="89"/>
      <c r="F513" s="89"/>
      <c r="G513" s="89"/>
      <c r="H513" s="89"/>
      <c r="I513" s="9"/>
      <c r="J513" s="9"/>
      <c r="K513" s="9"/>
    </row>
    <row r="514" spans="1:11" x14ac:dyDescent="0.2">
      <c r="A514" s="89"/>
      <c r="B514" s="89"/>
      <c r="C514" s="89"/>
      <c r="D514" s="89"/>
      <c r="E514" s="89"/>
      <c r="F514" s="89"/>
      <c r="G514" s="89"/>
      <c r="H514" s="89"/>
      <c r="I514" s="9"/>
      <c r="J514" s="9"/>
      <c r="K514" s="9"/>
    </row>
    <row r="515" spans="1:11" x14ac:dyDescent="0.2">
      <c r="A515" s="89"/>
      <c r="B515" s="89"/>
      <c r="C515" s="89"/>
      <c r="D515" s="89"/>
      <c r="E515" s="89"/>
      <c r="F515" s="89"/>
      <c r="G515" s="89"/>
      <c r="H515" s="89"/>
      <c r="I515" s="9"/>
      <c r="J515" s="9"/>
      <c r="K515" s="9"/>
    </row>
    <row r="516" spans="1:11" x14ac:dyDescent="0.2">
      <c r="A516" s="89"/>
      <c r="B516" s="89"/>
      <c r="C516" s="89"/>
      <c r="D516" s="89"/>
      <c r="E516" s="89"/>
      <c r="F516" s="89"/>
      <c r="G516" s="89"/>
      <c r="H516" s="89"/>
      <c r="I516" s="9"/>
      <c r="J516" s="9"/>
      <c r="K516" s="9"/>
    </row>
    <row r="517" spans="1:11" x14ac:dyDescent="0.2">
      <c r="A517" s="89"/>
      <c r="B517" s="89"/>
      <c r="C517" s="89"/>
      <c r="D517" s="89"/>
      <c r="E517" s="89"/>
      <c r="F517" s="89"/>
      <c r="G517" s="89"/>
      <c r="H517" s="89"/>
      <c r="I517" s="9"/>
      <c r="J517" s="9"/>
      <c r="K517" s="9"/>
    </row>
    <row r="518" spans="1:11" x14ac:dyDescent="0.2">
      <c r="A518" s="89"/>
      <c r="B518" s="89"/>
      <c r="C518" s="89"/>
      <c r="D518" s="89"/>
      <c r="E518" s="89"/>
      <c r="F518" s="89"/>
      <c r="G518" s="89"/>
      <c r="H518" s="89"/>
      <c r="I518" s="9"/>
      <c r="J518" s="9"/>
      <c r="K518" s="9"/>
    </row>
    <row r="519" spans="1:11" x14ac:dyDescent="0.2">
      <c r="A519" s="89"/>
      <c r="B519" s="89"/>
      <c r="C519" s="89"/>
      <c r="D519" s="89"/>
      <c r="E519" s="89"/>
      <c r="F519" s="89"/>
      <c r="G519" s="89"/>
      <c r="H519" s="89"/>
      <c r="I519" s="9"/>
      <c r="J519" s="9"/>
      <c r="K519" s="9"/>
    </row>
    <row r="520" spans="1:11" x14ac:dyDescent="0.2">
      <c r="A520" s="89"/>
      <c r="B520" s="89"/>
      <c r="C520" s="89"/>
      <c r="D520" s="89"/>
      <c r="E520" s="89"/>
      <c r="F520" s="89"/>
      <c r="G520" s="89"/>
      <c r="H520" s="89"/>
      <c r="I520" s="9"/>
      <c r="J520" s="9"/>
      <c r="K520" s="9"/>
    </row>
    <row r="521" spans="1:11" x14ac:dyDescent="0.2">
      <c r="A521" s="89"/>
      <c r="B521" s="89"/>
      <c r="C521" s="89"/>
      <c r="D521" s="89"/>
      <c r="E521" s="89"/>
      <c r="F521" s="89"/>
      <c r="G521" s="89"/>
      <c r="H521" s="89"/>
      <c r="I521" s="9"/>
      <c r="J521" s="9"/>
      <c r="K521" s="9"/>
    </row>
    <row r="522" spans="1:11" x14ac:dyDescent="0.2">
      <c r="A522" s="89"/>
      <c r="B522" s="89"/>
      <c r="C522" s="89"/>
      <c r="D522" s="89"/>
      <c r="E522" s="89"/>
      <c r="F522" s="89"/>
      <c r="G522" s="89"/>
      <c r="H522" s="89"/>
      <c r="I522" s="9"/>
      <c r="J522" s="9"/>
      <c r="K522" s="9"/>
    </row>
    <row r="523" spans="1:11" x14ac:dyDescent="0.2">
      <c r="A523" s="89"/>
      <c r="B523" s="89"/>
      <c r="C523" s="89"/>
      <c r="D523" s="89"/>
      <c r="E523" s="89"/>
      <c r="F523" s="89"/>
      <c r="G523" s="89"/>
      <c r="H523" s="89"/>
      <c r="I523" s="9"/>
      <c r="J523" s="9"/>
      <c r="K523" s="9"/>
    </row>
    <row r="524" spans="1:11" x14ac:dyDescent="0.2">
      <c r="A524" s="89"/>
      <c r="B524" s="89"/>
      <c r="C524" s="89"/>
      <c r="D524" s="89"/>
      <c r="E524" s="89"/>
      <c r="F524" s="89"/>
      <c r="G524" s="89"/>
      <c r="H524" s="89"/>
      <c r="I524" s="9"/>
      <c r="J524" s="9"/>
      <c r="K524" s="9"/>
    </row>
    <row r="525" spans="1:11" x14ac:dyDescent="0.2">
      <c r="A525" s="89"/>
      <c r="B525" s="89"/>
      <c r="C525" s="89"/>
      <c r="D525" s="89"/>
      <c r="E525" s="89"/>
      <c r="F525" s="89"/>
      <c r="G525" s="89"/>
      <c r="H525" s="89"/>
      <c r="I525" s="9"/>
      <c r="J525" s="9"/>
      <c r="K525" s="9"/>
    </row>
    <row r="526" spans="1:11" x14ac:dyDescent="0.2">
      <c r="A526" s="89"/>
      <c r="B526" s="89"/>
      <c r="C526" s="89"/>
      <c r="D526" s="89"/>
      <c r="E526" s="89"/>
      <c r="F526" s="89"/>
      <c r="G526" s="89"/>
      <c r="H526" s="89"/>
      <c r="I526" s="9"/>
      <c r="J526" s="9"/>
      <c r="K526" s="9"/>
    </row>
    <row r="527" spans="1:11" x14ac:dyDescent="0.2">
      <c r="A527" s="89"/>
      <c r="B527" s="89"/>
      <c r="C527" s="89"/>
      <c r="D527" s="89"/>
      <c r="E527" s="89"/>
      <c r="F527" s="89"/>
      <c r="G527" s="89"/>
      <c r="H527" s="89"/>
      <c r="I527" s="9"/>
      <c r="J527" s="9"/>
      <c r="K527" s="9"/>
    </row>
    <row r="528" spans="1:11" x14ac:dyDescent="0.2">
      <c r="A528" s="89"/>
      <c r="B528" s="89"/>
      <c r="C528" s="89"/>
      <c r="D528" s="89"/>
      <c r="E528" s="89"/>
      <c r="F528" s="89"/>
      <c r="G528" s="89"/>
      <c r="H528" s="89"/>
      <c r="I528" s="9"/>
      <c r="J528" s="9"/>
      <c r="K528" s="9"/>
    </row>
    <row r="529" spans="1:11" x14ac:dyDescent="0.2">
      <c r="A529" s="89"/>
      <c r="B529" s="89"/>
      <c r="C529" s="89"/>
      <c r="D529" s="89"/>
      <c r="E529" s="89"/>
      <c r="F529" s="89"/>
      <c r="G529" s="89"/>
      <c r="H529" s="89"/>
      <c r="I529" s="9"/>
      <c r="J529" s="9"/>
      <c r="K529" s="9"/>
    </row>
    <row r="530" spans="1:11" x14ac:dyDescent="0.2">
      <c r="A530" s="89"/>
      <c r="B530" s="89"/>
      <c r="C530" s="89"/>
      <c r="D530" s="89"/>
      <c r="E530" s="89"/>
      <c r="F530" s="89"/>
      <c r="G530" s="89"/>
      <c r="H530" s="89"/>
      <c r="I530" s="9"/>
      <c r="J530" s="9"/>
      <c r="K530" s="9"/>
    </row>
    <row r="531" spans="1:11" x14ac:dyDescent="0.2">
      <c r="A531" s="89"/>
      <c r="B531" s="89"/>
      <c r="C531" s="89"/>
      <c r="D531" s="89"/>
      <c r="E531" s="89"/>
      <c r="F531" s="89"/>
      <c r="G531" s="89"/>
      <c r="H531" s="89"/>
      <c r="I531" s="9"/>
      <c r="J531" s="9"/>
      <c r="K531" s="9"/>
    </row>
    <row r="532" spans="1:11" x14ac:dyDescent="0.2">
      <c r="A532" s="89"/>
      <c r="B532" s="89"/>
      <c r="C532" s="89"/>
      <c r="D532" s="89"/>
      <c r="E532" s="89"/>
      <c r="F532" s="89"/>
      <c r="G532" s="89"/>
      <c r="H532" s="89"/>
      <c r="I532" s="9"/>
      <c r="J532" s="9"/>
      <c r="K532" s="9"/>
    </row>
    <row r="533" spans="1:11" x14ac:dyDescent="0.2">
      <c r="A533" s="89"/>
      <c r="B533" s="89"/>
      <c r="C533" s="89"/>
      <c r="D533" s="89"/>
      <c r="E533" s="89"/>
      <c r="F533" s="89"/>
      <c r="G533" s="89"/>
      <c r="H533" s="89"/>
      <c r="I533" s="9"/>
      <c r="J533" s="9"/>
      <c r="K533" s="9"/>
    </row>
    <row r="534" spans="1:11" x14ac:dyDescent="0.2">
      <c r="A534" s="89"/>
      <c r="B534" s="89"/>
      <c r="C534" s="89"/>
      <c r="D534" s="89"/>
      <c r="E534" s="89"/>
      <c r="F534" s="89"/>
      <c r="G534" s="89"/>
      <c r="H534" s="89"/>
      <c r="I534" s="9"/>
      <c r="J534" s="9"/>
      <c r="K534" s="9"/>
    </row>
    <row r="535" spans="1:11" x14ac:dyDescent="0.2">
      <c r="A535" s="89"/>
      <c r="B535" s="89"/>
      <c r="C535" s="89"/>
      <c r="D535" s="89"/>
      <c r="E535" s="89"/>
      <c r="F535" s="89"/>
      <c r="G535" s="89"/>
      <c r="H535" s="89"/>
      <c r="I535" s="9"/>
      <c r="J535" s="9"/>
      <c r="K535" s="9"/>
    </row>
    <row r="536" spans="1:11" x14ac:dyDescent="0.2">
      <c r="A536" s="89"/>
      <c r="B536" s="89"/>
      <c r="C536" s="89"/>
      <c r="D536" s="89"/>
      <c r="E536" s="89"/>
      <c r="F536" s="89"/>
      <c r="G536" s="89"/>
      <c r="H536" s="89"/>
      <c r="I536" s="9"/>
      <c r="J536" s="9"/>
      <c r="K536" s="9"/>
    </row>
    <row r="537" spans="1:11" x14ac:dyDescent="0.2">
      <c r="A537" s="89"/>
      <c r="B537" s="89"/>
      <c r="C537" s="89"/>
      <c r="D537" s="89"/>
      <c r="E537" s="89"/>
      <c r="F537" s="89"/>
      <c r="G537" s="89"/>
      <c r="H537" s="89"/>
      <c r="I537" s="9"/>
      <c r="J537" s="9"/>
      <c r="K537" s="9"/>
    </row>
    <row r="538" spans="1:11" x14ac:dyDescent="0.2">
      <c r="A538" s="89"/>
      <c r="B538" s="89"/>
      <c r="C538" s="89"/>
      <c r="D538" s="89"/>
      <c r="E538" s="89"/>
      <c r="F538" s="89"/>
      <c r="G538" s="89"/>
      <c r="H538" s="89"/>
      <c r="I538" s="9"/>
      <c r="J538" s="9"/>
      <c r="K538" s="9"/>
    </row>
    <row r="539" spans="1:11" x14ac:dyDescent="0.2">
      <c r="A539" s="89"/>
      <c r="B539" s="89"/>
      <c r="C539" s="89"/>
      <c r="D539" s="89"/>
      <c r="E539" s="89"/>
      <c r="F539" s="89"/>
      <c r="G539" s="89"/>
      <c r="H539" s="89"/>
      <c r="I539" s="9"/>
      <c r="J539" s="9"/>
      <c r="K539" s="9"/>
    </row>
    <row r="540" spans="1:11" x14ac:dyDescent="0.2">
      <c r="A540" s="89"/>
      <c r="B540" s="89"/>
      <c r="C540" s="89"/>
      <c r="D540" s="89"/>
      <c r="E540" s="89"/>
      <c r="F540" s="89"/>
      <c r="G540" s="89"/>
      <c r="H540" s="89"/>
      <c r="I540" s="9"/>
      <c r="J540" s="9"/>
      <c r="K540" s="9"/>
    </row>
    <row r="541" spans="1:11" x14ac:dyDescent="0.2">
      <c r="A541" s="89"/>
      <c r="B541" s="89"/>
      <c r="C541" s="89"/>
      <c r="D541" s="89"/>
      <c r="E541" s="89"/>
      <c r="F541" s="89"/>
      <c r="G541" s="89"/>
      <c r="H541" s="89"/>
      <c r="I541" s="9"/>
      <c r="J541" s="9"/>
      <c r="K541" s="9"/>
    </row>
    <row r="542" spans="1:11" x14ac:dyDescent="0.2">
      <c r="A542" s="89"/>
      <c r="B542" s="89"/>
      <c r="C542" s="89"/>
      <c r="D542" s="89"/>
      <c r="E542" s="89"/>
      <c r="F542" s="89"/>
      <c r="G542" s="89"/>
      <c r="H542" s="89"/>
      <c r="I542" s="9"/>
      <c r="J542" s="9"/>
      <c r="K542" s="9"/>
    </row>
    <row r="543" spans="1:11" x14ac:dyDescent="0.2">
      <c r="A543" s="89"/>
      <c r="B543" s="89"/>
      <c r="C543" s="89"/>
      <c r="D543" s="89"/>
      <c r="E543" s="89"/>
      <c r="F543" s="89"/>
      <c r="G543" s="89"/>
      <c r="H543" s="89"/>
      <c r="I543" s="9"/>
      <c r="J543" s="9"/>
      <c r="K543" s="9"/>
    </row>
    <row r="544" spans="1:11" x14ac:dyDescent="0.2">
      <c r="A544" s="89"/>
      <c r="B544" s="89"/>
      <c r="C544" s="89"/>
      <c r="D544" s="89"/>
      <c r="E544" s="89"/>
      <c r="F544" s="89"/>
      <c r="G544" s="89"/>
      <c r="H544" s="89"/>
      <c r="I544" s="9"/>
      <c r="J544" s="9"/>
      <c r="K544" s="9"/>
    </row>
    <row r="545" spans="1:11" x14ac:dyDescent="0.2">
      <c r="A545" s="89"/>
      <c r="B545" s="89"/>
      <c r="C545" s="89"/>
      <c r="D545" s="89"/>
      <c r="E545" s="89"/>
      <c r="F545" s="89"/>
      <c r="G545" s="89"/>
      <c r="H545" s="89"/>
      <c r="I545" s="9"/>
      <c r="J545" s="9"/>
      <c r="K545" s="9"/>
    </row>
    <row r="546" spans="1:11" x14ac:dyDescent="0.2">
      <c r="A546" s="89"/>
      <c r="B546" s="89"/>
      <c r="C546" s="89"/>
      <c r="D546" s="89"/>
      <c r="E546" s="89"/>
      <c r="F546" s="89"/>
      <c r="G546" s="89"/>
      <c r="H546" s="89"/>
      <c r="I546" s="9"/>
      <c r="J546" s="9"/>
      <c r="K546" s="9"/>
    </row>
    <row r="547" spans="1:11" x14ac:dyDescent="0.2">
      <c r="A547" s="89"/>
      <c r="B547" s="89"/>
      <c r="C547" s="89"/>
      <c r="D547" s="89"/>
      <c r="E547" s="89"/>
      <c r="F547" s="89"/>
      <c r="G547" s="89"/>
      <c r="H547" s="89"/>
      <c r="I547" s="9"/>
      <c r="J547" s="9"/>
      <c r="K547" s="9"/>
    </row>
    <row r="548" spans="1:11" x14ac:dyDescent="0.2">
      <c r="A548" s="89"/>
      <c r="B548" s="89"/>
      <c r="C548" s="89"/>
      <c r="D548" s="89"/>
      <c r="E548" s="89"/>
      <c r="F548" s="89"/>
      <c r="G548" s="89"/>
      <c r="H548" s="89"/>
      <c r="I548" s="9"/>
      <c r="J548" s="9"/>
      <c r="K548" s="9"/>
    </row>
    <row r="549" spans="1:11" x14ac:dyDescent="0.2">
      <c r="A549" s="89"/>
      <c r="B549" s="89"/>
      <c r="C549" s="89"/>
      <c r="D549" s="89"/>
      <c r="E549" s="89"/>
      <c r="F549" s="89"/>
      <c r="G549" s="89"/>
      <c r="H549" s="89"/>
      <c r="I549" s="9"/>
      <c r="J549" s="9"/>
      <c r="K549" s="9"/>
    </row>
    <row r="550" spans="1:11" x14ac:dyDescent="0.2">
      <c r="A550" s="89"/>
      <c r="B550" s="89"/>
      <c r="C550" s="89"/>
      <c r="D550" s="89"/>
      <c r="E550" s="89"/>
      <c r="F550" s="89"/>
      <c r="G550" s="89"/>
      <c r="H550" s="89"/>
      <c r="I550" s="9"/>
      <c r="J550" s="9"/>
      <c r="K550" s="9"/>
    </row>
    <row r="551" spans="1:11" x14ac:dyDescent="0.2">
      <c r="A551" s="89"/>
      <c r="B551" s="89"/>
      <c r="C551" s="89"/>
      <c r="D551" s="89"/>
      <c r="E551" s="89"/>
      <c r="F551" s="89"/>
      <c r="G551" s="89"/>
      <c r="H551" s="89"/>
      <c r="I551" s="9"/>
      <c r="J551" s="9"/>
      <c r="K551" s="9"/>
    </row>
    <row r="552" spans="1:11" x14ac:dyDescent="0.2">
      <c r="A552" s="89"/>
      <c r="B552" s="89"/>
      <c r="C552" s="89"/>
      <c r="D552" s="89"/>
      <c r="E552" s="89"/>
      <c r="F552" s="89"/>
      <c r="G552" s="89"/>
      <c r="H552" s="89"/>
      <c r="I552" s="9"/>
      <c r="J552" s="9"/>
      <c r="K552" s="9"/>
    </row>
    <row r="553" spans="1:11" x14ac:dyDescent="0.2">
      <c r="A553" s="89"/>
      <c r="B553" s="89"/>
      <c r="C553" s="89"/>
      <c r="D553" s="89"/>
      <c r="E553" s="89"/>
      <c r="F553" s="89"/>
      <c r="G553" s="89"/>
      <c r="H553" s="89"/>
      <c r="I553" s="9"/>
      <c r="J553" s="9"/>
      <c r="K553" s="9"/>
    </row>
    <row r="554" spans="1:11" x14ac:dyDescent="0.2">
      <c r="A554" s="89"/>
      <c r="B554" s="89"/>
      <c r="C554" s="89"/>
      <c r="D554" s="89"/>
      <c r="E554" s="89"/>
      <c r="F554" s="89"/>
      <c r="G554" s="89"/>
      <c r="H554" s="89"/>
      <c r="I554" s="9"/>
      <c r="J554" s="9"/>
      <c r="K554" s="9"/>
    </row>
    <row r="555" spans="1:11" x14ac:dyDescent="0.2">
      <c r="A555" s="89"/>
      <c r="B555" s="89"/>
      <c r="C555" s="89"/>
      <c r="D555" s="89"/>
      <c r="E555" s="89"/>
      <c r="F555" s="89"/>
      <c r="G555" s="89"/>
      <c r="H555" s="89"/>
      <c r="I555" s="9"/>
      <c r="J555" s="9"/>
      <c r="K555" s="9"/>
    </row>
    <row r="556" spans="1:11" x14ac:dyDescent="0.2">
      <c r="A556" s="89"/>
      <c r="B556" s="89"/>
      <c r="C556" s="89"/>
      <c r="D556" s="89"/>
      <c r="E556" s="89"/>
      <c r="F556" s="89"/>
      <c r="G556" s="89"/>
      <c r="H556" s="89"/>
      <c r="I556" s="9"/>
      <c r="J556" s="9"/>
      <c r="K556" s="9"/>
    </row>
    <row r="557" spans="1:11" x14ac:dyDescent="0.2">
      <c r="A557" s="89"/>
      <c r="B557" s="89"/>
      <c r="C557" s="89"/>
      <c r="D557" s="89"/>
      <c r="E557" s="89"/>
      <c r="F557" s="89"/>
      <c r="G557" s="89"/>
      <c r="H557" s="89"/>
      <c r="I557" s="9"/>
      <c r="J557" s="9"/>
      <c r="K557" s="9"/>
    </row>
    <row r="558" spans="1:11" x14ac:dyDescent="0.2">
      <c r="A558" s="89"/>
      <c r="B558" s="89"/>
      <c r="C558" s="89"/>
      <c r="D558" s="89"/>
      <c r="E558" s="89"/>
      <c r="F558" s="89"/>
      <c r="G558" s="89"/>
      <c r="H558" s="89"/>
      <c r="I558" s="9"/>
      <c r="J558" s="9"/>
      <c r="K558" s="9"/>
    </row>
    <row r="559" spans="1:11" x14ac:dyDescent="0.2">
      <c r="A559" s="89"/>
      <c r="B559" s="89"/>
      <c r="C559" s="89"/>
      <c r="D559" s="89"/>
      <c r="E559" s="89"/>
      <c r="F559" s="89"/>
      <c r="G559" s="89"/>
      <c r="H559" s="89"/>
      <c r="I559" s="9"/>
      <c r="J559" s="9"/>
      <c r="K559" s="9"/>
    </row>
    <row r="560" spans="1:11" x14ac:dyDescent="0.2">
      <c r="A560" s="89"/>
      <c r="B560" s="89"/>
      <c r="C560" s="89"/>
      <c r="D560" s="89"/>
      <c r="E560" s="89"/>
      <c r="F560" s="89"/>
      <c r="G560" s="89"/>
      <c r="H560" s="89"/>
      <c r="I560" s="9"/>
      <c r="J560" s="9"/>
      <c r="K560" s="9"/>
    </row>
    <row r="561" spans="1:11" x14ac:dyDescent="0.2">
      <c r="A561" s="89"/>
      <c r="B561" s="89"/>
      <c r="C561" s="89"/>
      <c r="D561" s="89"/>
      <c r="E561" s="89"/>
      <c r="F561" s="89"/>
      <c r="G561" s="89"/>
      <c r="H561" s="89"/>
      <c r="I561" s="9"/>
      <c r="J561" s="9"/>
      <c r="K561" s="9"/>
    </row>
    <row r="562" spans="1:11" x14ac:dyDescent="0.2">
      <c r="A562" s="89"/>
      <c r="B562" s="89"/>
      <c r="C562" s="89"/>
      <c r="D562" s="89"/>
      <c r="E562" s="89"/>
      <c r="F562" s="89"/>
      <c r="G562" s="89"/>
      <c r="H562" s="89"/>
      <c r="I562" s="9"/>
      <c r="J562" s="9"/>
      <c r="K562" s="9"/>
    </row>
    <row r="563" spans="1:11" x14ac:dyDescent="0.2">
      <c r="A563" s="89"/>
      <c r="B563" s="89"/>
      <c r="C563" s="89"/>
      <c r="D563" s="89"/>
      <c r="E563" s="89"/>
      <c r="F563" s="89"/>
      <c r="G563" s="89"/>
      <c r="H563" s="89"/>
      <c r="I563" s="9"/>
      <c r="J563" s="9"/>
      <c r="K563" s="9"/>
    </row>
    <row r="564" spans="1:11" x14ac:dyDescent="0.2">
      <c r="A564" s="89"/>
      <c r="B564" s="89"/>
      <c r="C564" s="89"/>
      <c r="D564" s="89"/>
      <c r="E564" s="89"/>
      <c r="F564" s="89"/>
      <c r="G564" s="89"/>
      <c r="H564" s="89"/>
      <c r="I564" s="9"/>
      <c r="J564" s="9"/>
      <c r="K564" s="9"/>
    </row>
    <row r="565" spans="1:11" x14ac:dyDescent="0.2">
      <c r="A565" s="89"/>
      <c r="B565" s="89"/>
      <c r="C565" s="89"/>
      <c r="D565" s="89"/>
      <c r="E565" s="89"/>
      <c r="F565" s="89"/>
      <c r="G565" s="89"/>
      <c r="H565" s="89"/>
      <c r="I565" s="9"/>
      <c r="J565" s="9"/>
      <c r="K565" s="9"/>
    </row>
    <row r="566" spans="1:11" x14ac:dyDescent="0.2">
      <c r="A566" s="89"/>
      <c r="B566" s="89"/>
      <c r="C566" s="89"/>
      <c r="D566" s="89"/>
      <c r="E566" s="89"/>
      <c r="F566" s="89"/>
      <c r="G566" s="89"/>
      <c r="H566" s="89"/>
      <c r="I566" s="9"/>
      <c r="J566" s="9"/>
      <c r="K566" s="9"/>
    </row>
    <row r="567" spans="1:11" x14ac:dyDescent="0.2">
      <c r="A567" s="89"/>
      <c r="B567" s="89"/>
      <c r="C567" s="89"/>
      <c r="D567" s="89"/>
      <c r="E567" s="89"/>
      <c r="F567" s="89"/>
      <c r="G567" s="89"/>
      <c r="H567" s="89"/>
      <c r="I567" s="9"/>
      <c r="J567" s="9"/>
      <c r="K567" s="9"/>
    </row>
    <row r="568" spans="1:11" x14ac:dyDescent="0.2">
      <c r="A568" s="89"/>
      <c r="B568" s="89"/>
      <c r="C568" s="89"/>
      <c r="D568" s="89"/>
      <c r="E568" s="89"/>
      <c r="F568" s="89"/>
      <c r="G568" s="89"/>
      <c r="H568" s="89"/>
      <c r="I568" s="9"/>
      <c r="J568" s="9"/>
      <c r="K568" s="9"/>
    </row>
    <row r="569" spans="1:11" x14ac:dyDescent="0.2">
      <c r="A569" s="89"/>
      <c r="B569" s="89"/>
      <c r="C569" s="89"/>
      <c r="D569" s="89"/>
      <c r="E569" s="89"/>
      <c r="F569" s="89"/>
      <c r="G569" s="89"/>
      <c r="H569" s="89"/>
      <c r="I569" s="9"/>
      <c r="J569" s="9"/>
      <c r="K569" s="9"/>
    </row>
    <row r="570" spans="1:11" x14ac:dyDescent="0.2">
      <c r="A570" s="89"/>
      <c r="B570" s="89"/>
      <c r="C570" s="89"/>
      <c r="D570" s="89"/>
      <c r="E570" s="89"/>
      <c r="F570" s="89"/>
      <c r="G570" s="89"/>
      <c r="H570" s="89"/>
      <c r="I570" s="9"/>
      <c r="J570" s="9"/>
      <c r="K570" s="9"/>
    </row>
    <row r="571" spans="1:11" x14ac:dyDescent="0.2">
      <c r="A571" s="89"/>
      <c r="B571" s="89"/>
      <c r="C571" s="89"/>
      <c r="D571" s="89"/>
      <c r="E571" s="89"/>
      <c r="F571" s="89"/>
      <c r="G571" s="89"/>
      <c r="H571" s="89"/>
      <c r="I571" s="9"/>
      <c r="J571" s="9"/>
      <c r="K571" s="9"/>
    </row>
    <row r="572" spans="1:11" x14ac:dyDescent="0.2">
      <c r="A572" s="89"/>
      <c r="B572" s="89"/>
      <c r="C572" s="89"/>
      <c r="D572" s="89"/>
      <c r="E572" s="89"/>
      <c r="F572" s="89"/>
      <c r="G572" s="89"/>
      <c r="H572" s="89"/>
      <c r="I572" s="9"/>
      <c r="J572" s="9"/>
      <c r="K572" s="9"/>
    </row>
    <row r="573" spans="1:11" x14ac:dyDescent="0.2">
      <c r="A573" s="89"/>
      <c r="B573" s="89"/>
      <c r="C573" s="89"/>
      <c r="D573" s="89"/>
      <c r="E573" s="89"/>
      <c r="F573" s="89"/>
      <c r="G573" s="89"/>
      <c r="H573" s="89"/>
      <c r="I573" s="9"/>
      <c r="J573" s="9"/>
      <c r="K573" s="9"/>
    </row>
    <row r="574" spans="1:11" x14ac:dyDescent="0.2">
      <c r="A574" s="89"/>
      <c r="B574" s="89"/>
      <c r="C574" s="89"/>
      <c r="D574" s="89"/>
      <c r="E574" s="89"/>
      <c r="F574" s="89"/>
      <c r="G574" s="89"/>
      <c r="H574" s="89"/>
      <c r="I574" s="9"/>
      <c r="J574" s="9"/>
      <c r="K574" s="9"/>
    </row>
    <row r="575" spans="1:11" x14ac:dyDescent="0.2">
      <c r="A575" s="89"/>
      <c r="B575" s="89"/>
      <c r="C575" s="89"/>
      <c r="D575" s="89"/>
      <c r="E575" s="89"/>
      <c r="F575" s="89"/>
      <c r="G575" s="89"/>
      <c r="H575" s="89"/>
      <c r="I575" s="9"/>
      <c r="J575" s="9"/>
      <c r="K575" s="9"/>
    </row>
    <row r="576" spans="1:11" x14ac:dyDescent="0.2">
      <c r="A576" s="89"/>
      <c r="B576" s="89"/>
      <c r="C576" s="89"/>
      <c r="D576" s="89"/>
      <c r="E576" s="89"/>
      <c r="F576" s="89"/>
      <c r="G576" s="89"/>
      <c r="H576" s="89"/>
      <c r="I576" s="9"/>
      <c r="J576" s="9"/>
      <c r="K576" s="9"/>
    </row>
    <row r="577" spans="1:11" x14ac:dyDescent="0.2">
      <c r="A577" s="89"/>
      <c r="B577" s="89"/>
      <c r="C577" s="89"/>
      <c r="D577" s="89"/>
      <c r="E577" s="89"/>
      <c r="F577" s="89"/>
      <c r="G577" s="89"/>
      <c r="H577" s="89"/>
      <c r="I577" s="9"/>
      <c r="J577" s="9"/>
      <c r="K577" s="9"/>
    </row>
    <row r="578" spans="1:11" x14ac:dyDescent="0.2">
      <c r="A578" s="89"/>
      <c r="B578" s="89"/>
      <c r="C578" s="89"/>
      <c r="D578" s="89"/>
      <c r="E578" s="89"/>
      <c r="F578" s="89"/>
      <c r="G578" s="89"/>
      <c r="H578" s="89"/>
      <c r="I578" s="9"/>
      <c r="J578" s="9"/>
      <c r="K578" s="9"/>
    </row>
    <row r="579" spans="1:11" x14ac:dyDescent="0.2">
      <c r="A579" s="89"/>
      <c r="B579" s="89"/>
      <c r="C579" s="89"/>
      <c r="D579" s="89"/>
      <c r="E579" s="89"/>
      <c r="F579" s="89"/>
      <c r="G579" s="89"/>
      <c r="H579" s="89"/>
      <c r="I579" s="9"/>
      <c r="J579" s="9"/>
      <c r="K579" s="9"/>
    </row>
    <row r="580" spans="1:11" x14ac:dyDescent="0.2">
      <c r="A580" s="89"/>
      <c r="B580" s="89"/>
      <c r="C580" s="89"/>
      <c r="D580" s="89"/>
      <c r="E580" s="89"/>
      <c r="F580" s="89"/>
      <c r="G580" s="89"/>
      <c r="H580" s="89"/>
      <c r="I580" s="9"/>
      <c r="J580" s="9"/>
      <c r="K580" s="9"/>
    </row>
    <row r="581" spans="1:11" x14ac:dyDescent="0.2">
      <c r="A581" s="89"/>
      <c r="B581" s="89"/>
      <c r="C581" s="89"/>
      <c r="D581" s="89"/>
      <c r="E581" s="89"/>
      <c r="F581" s="89"/>
      <c r="G581" s="89"/>
      <c r="H581" s="89"/>
      <c r="I581" s="9"/>
      <c r="J581" s="9"/>
      <c r="K581" s="9"/>
    </row>
    <row r="582" spans="1:11" x14ac:dyDescent="0.2">
      <c r="A582" s="89"/>
      <c r="B582" s="89"/>
      <c r="C582" s="89"/>
      <c r="D582" s="89"/>
      <c r="E582" s="89"/>
      <c r="F582" s="89"/>
      <c r="G582" s="89"/>
      <c r="H582" s="89"/>
      <c r="I582" s="9"/>
      <c r="J582" s="9"/>
      <c r="K582" s="9"/>
    </row>
    <row r="583" spans="1:11" x14ac:dyDescent="0.2">
      <c r="A583" s="89"/>
      <c r="B583" s="89"/>
      <c r="C583" s="89"/>
      <c r="D583" s="89"/>
      <c r="E583" s="89"/>
      <c r="F583" s="89"/>
      <c r="G583" s="89"/>
      <c r="H583" s="89"/>
      <c r="I583" s="9"/>
      <c r="J583" s="9"/>
      <c r="K583" s="9"/>
    </row>
    <row r="584" spans="1:11" x14ac:dyDescent="0.2">
      <c r="A584" s="89"/>
      <c r="B584" s="89"/>
      <c r="C584" s="89"/>
      <c r="D584" s="89"/>
      <c r="E584" s="89"/>
      <c r="F584" s="89"/>
      <c r="G584" s="89"/>
      <c r="H584" s="89"/>
      <c r="I584" s="9"/>
      <c r="J584" s="9"/>
      <c r="K584" s="9"/>
    </row>
    <row r="585" spans="1:11" x14ac:dyDescent="0.2">
      <c r="A585" s="89"/>
      <c r="B585" s="89"/>
      <c r="C585" s="89"/>
      <c r="D585" s="89"/>
      <c r="E585" s="89"/>
      <c r="F585" s="89"/>
      <c r="G585" s="89"/>
      <c r="H585" s="89"/>
      <c r="I585" s="9"/>
      <c r="J585" s="9"/>
      <c r="K585" s="9"/>
    </row>
    <row r="586" spans="1:11" x14ac:dyDescent="0.2">
      <c r="A586" s="89"/>
      <c r="B586" s="89"/>
      <c r="C586" s="89"/>
      <c r="D586" s="89"/>
      <c r="E586" s="89"/>
      <c r="F586" s="89"/>
      <c r="G586" s="89"/>
      <c r="H586" s="89"/>
      <c r="I586" s="9"/>
      <c r="J586" s="9"/>
      <c r="K586" s="9"/>
    </row>
    <row r="587" spans="1:11" x14ac:dyDescent="0.2">
      <c r="A587" s="89"/>
      <c r="B587" s="89"/>
      <c r="C587" s="89"/>
      <c r="D587" s="89"/>
      <c r="E587" s="89"/>
      <c r="F587" s="89"/>
      <c r="G587" s="89"/>
      <c r="H587" s="89"/>
      <c r="I587" s="9"/>
      <c r="J587" s="9"/>
      <c r="K587" s="9"/>
    </row>
    <row r="588" spans="1:11" x14ac:dyDescent="0.2">
      <c r="A588" s="89"/>
      <c r="B588" s="89"/>
      <c r="C588" s="89"/>
      <c r="D588" s="89"/>
      <c r="E588" s="89"/>
      <c r="F588" s="89"/>
      <c r="G588" s="89"/>
      <c r="H588" s="89"/>
      <c r="I588" s="9"/>
      <c r="J588" s="9"/>
      <c r="K588" s="9"/>
    </row>
    <row r="589" spans="1:11" x14ac:dyDescent="0.2">
      <c r="A589" s="89"/>
      <c r="B589" s="89"/>
      <c r="C589" s="89"/>
      <c r="D589" s="89"/>
      <c r="E589" s="89"/>
      <c r="F589" s="89"/>
      <c r="G589" s="89"/>
      <c r="H589" s="89"/>
      <c r="I589" s="9"/>
      <c r="J589" s="9"/>
      <c r="K589" s="9"/>
    </row>
    <row r="590" spans="1:11" x14ac:dyDescent="0.2">
      <c r="A590" s="89"/>
      <c r="B590" s="89"/>
      <c r="C590" s="89"/>
      <c r="D590" s="89"/>
      <c r="E590" s="89"/>
      <c r="F590" s="89"/>
      <c r="G590" s="89"/>
      <c r="H590" s="89"/>
      <c r="I590" s="9"/>
      <c r="J590" s="9"/>
      <c r="K590" s="9"/>
    </row>
    <row r="591" spans="1:11" x14ac:dyDescent="0.2">
      <c r="A591" s="89"/>
      <c r="B591" s="89"/>
      <c r="C591" s="89"/>
      <c r="D591" s="89"/>
      <c r="E591" s="89"/>
      <c r="F591" s="89"/>
      <c r="G591" s="89"/>
      <c r="H591" s="89"/>
      <c r="I591" s="9"/>
      <c r="J591" s="9"/>
      <c r="K591" s="9"/>
    </row>
    <row r="592" spans="1:11" x14ac:dyDescent="0.2">
      <c r="A592" s="89"/>
      <c r="B592" s="89"/>
      <c r="C592" s="89"/>
      <c r="D592" s="89"/>
      <c r="E592" s="89"/>
      <c r="F592" s="89"/>
      <c r="G592" s="89"/>
      <c r="H592" s="89"/>
      <c r="I592" s="9"/>
      <c r="J592" s="9"/>
      <c r="K592" s="9"/>
    </row>
    <row r="593" spans="1:11" x14ac:dyDescent="0.2">
      <c r="A593" s="89"/>
      <c r="B593" s="89"/>
      <c r="C593" s="89"/>
      <c r="D593" s="89"/>
      <c r="E593" s="89"/>
      <c r="F593" s="89"/>
      <c r="G593" s="89"/>
      <c r="H593" s="89"/>
      <c r="I593" s="9"/>
      <c r="J593" s="9"/>
      <c r="K593" s="9"/>
    </row>
    <row r="594" spans="1:11" x14ac:dyDescent="0.2">
      <c r="A594" s="89"/>
      <c r="B594" s="89"/>
      <c r="C594" s="89"/>
      <c r="D594" s="89"/>
      <c r="E594" s="89"/>
      <c r="F594" s="89"/>
      <c r="G594" s="89"/>
      <c r="H594" s="89"/>
      <c r="I594" s="9"/>
      <c r="J594" s="9"/>
      <c r="K594" s="9"/>
    </row>
    <row r="595" spans="1:11" x14ac:dyDescent="0.2">
      <c r="A595" s="89"/>
      <c r="B595" s="89"/>
      <c r="C595" s="89"/>
      <c r="D595" s="89"/>
      <c r="E595" s="89"/>
      <c r="F595" s="89"/>
      <c r="G595" s="89"/>
      <c r="H595" s="89"/>
      <c r="I595" s="9"/>
      <c r="J595" s="9"/>
      <c r="K595" s="9"/>
    </row>
    <row r="596" spans="1:11" x14ac:dyDescent="0.2">
      <c r="A596" s="89"/>
      <c r="B596" s="89"/>
      <c r="C596" s="89"/>
      <c r="D596" s="89"/>
      <c r="E596" s="89"/>
      <c r="F596" s="89"/>
      <c r="G596" s="89"/>
      <c r="H596" s="89"/>
      <c r="I596" s="9"/>
      <c r="J596" s="9"/>
      <c r="K596" s="9"/>
    </row>
    <row r="597" spans="1:11" x14ac:dyDescent="0.2">
      <c r="A597" s="89"/>
      <c r="B597" s="89"/>
      <c r="C597" s="89"/>
      <c r="D597" s="89"/>
      <c r="E597" s="89"/>
      <c r="F597" s="89"/>
      <c r="G597" s="89"/>
      <c r="H597" s="89"/>
      <c r="I597" s="9"/>
      <c r="J597" s="9"/>
      <c r="K597" s="9"/>
    </row>
    <row r="598" spans="1:11" x14ac:dyDescent="0.2">
      <c r="A598" s="89"/>
      <c r="B598" s="89"/>
      <c r="C598" s="89"/>
      <c r="D598" s="89"/>
      <c r="E598" s="89"/>
      <c r="F598" s="89"/>
      <c r="G598" s="89"/>
      <c r="H598" s="89"/>
      <c r="I598" s="9"/>
      <c r="J598" s="9"/>
      <c r="K598" s="9"/>
    </row>
    <row r="599" spans="1:11" x14ac:dyDescent="0.2">
      <c r="A599" s="89"/>
      <c r="B599" s="89"/>
      <c r="C599" s="89"/>
      <c r="D599" s="89"/>
      <c r="E599" s="89"/>
      <c r="F599" s="89"/>
      <c r="G599" s="89"/>
      <c r="H599" s="89"/>
      <c r="I599" s="9"/>
      <c r="J599" s="9"/>
      <c r="K599" s="9"/>
    </row>
    <row r="600" spans="1:11" x14ac:dyDescent="0.2">
      <c r="A600" s="89"/>
      <c r="B600" s="89"/>
      <c r="C600" s="89"/>
      <c r="D600" s="89"/>
      <c r="E600" s="89"/>
      <c r="F600" s="89"/>
      <c r="G600" s="89"/>
      <c r="H600" s="89"/>
      <c r="I600" s="9"/>
      <c r="J600" s="9"/>
      <c r="K600" s="9"/>
    </row>
    <row r="601" spans="1:11" x14ac:dyDescent="0.2">
      <c r="A601" s="89"/>
      <c r="B601" s="89"/>
      <c r="C601" s="89"/>
      <c r="D601" s="89"/>
      <c r="E601" s="89"/>
      <c r="F601" s="89"/>
      <c r="G601" s="89"/>
      <c r="H601" s="89"/>
      <c r="I601" s="9"/>
      <c r="J601" s="9"/>
      <c r="K601" s="9"/>
    </row>
    <row r="602" spans="1:11" x14ac:dyDescent="0.2">
      <c r="A602" s="89"/>
      <c r="B602" s="89"/>
      <c r="C602" s="89"/>
      <c r="D602" s="89"/>
      <c r="E602" s="89"/>
      <c r="F602" s="89"/>
      <c r="G602" s="89"/>
      <c r="H602" s="89"/>
      <c r="I602" s="9"/>
      <c r="J602" s="9"/>
      <c r="K602" s="9"/>
    </row>
    <row r="603" spans="1:11" x14ac:dyDescent="0.2">
      <c r="A603" s="89"/>
      <c r="B603" s="89"/>
      <c r="C603" s="89"/>
      <c r="D603" s="89"/>
      <c r="E603" s="89"/>
      <c r="F603" s="89"/>
      <c r="G603" s="89"/>
      <c r="H603" s="89"/>
      <c r="I603" s="9"/>
      <c r="J603" s="9"/>
      <c r="K603" s="9"/>
    </row>
    <row r="604" spans="1:11" x14ac:dyDescent="0.2">
      <c r="A604" s="89"/>
      <c r="B604" s="89"/>
      <c r="C604" s="89"/>
      <c r="D604" s="89"/>
      <c r="E604" s="89"/>
      <c r="F604" s="89"/>
      <c r="G604" s="89"/>
      <c r="H604" s="89"/>
      <c r="I604" s="9"/>
      <c r="J604" s="9"/>
      <c r="K604" s="9"/>
    </row>
    <row r="605" spans="1:11" x14ac:dyDescent="0.2">
      <c r="A605" s="89"/>
      <c r="B605" s="89"/>
      <c r="C605" s="89"/>
      <c r="D605" s="89"/>
      <c r="E605" s="89"/>
      <c r="F605" s="89"/>
      <c r="G605" s="89"/>
      <c r="H605" s="89"/>
      <c r="I605" s="9"/>
      <c r="J605" s="9"/>
      <c r="K605" s="9"/>
    </row>
    <row r="606" spans="1:11" x14ac:dyDescent="0.2">
      <c r="A606" s="89"/>
      <c r="B606" s="89"/>
      <c r="C606" s="89"/>
      <c r="D606" s="89"/>
      <c r="E606" s="89"/>
      <c r="F606" s="89"/>
      <c r="G606" s="89"/>
      <c r="H606" s="89"/>
      <c r="I606" s="9"/>
      <c r="J606" s="9"/>
      <c r="K606" s="9"/>
    </row>
    <row r="607" spans="1:11" x14ac:dyDescent="0.2">
      <c r="A607" s="89"/>
      <c r="B607" s="89"/>
      <c r="C607" s="89"/>
      <c r="D607" s="89"/>
      <c r="E607" s="89"/>
      <c r="F607" s="89"/>
      <c r="G607" s="89"/>
      <c r="H607" s="89"/>
      <c r="I607" s="9"/>
      <c r="J607" s="9"/>
      <c r="K607" s="9"/>
    </row>
    <row r="608" spans="1:11" x14ac:dyDescent="0.2">
      <c r="A608" s="89"/>
      <c r="B608" s="89"/>
      <c r="C608" s="89"/>
      <c r="D608" s="89"/>
      <c r="E608" s="89"/>
      <c r="F608" s="89"/>
      <c r="G608" s="89"/>
      <c r="H608" s="89"/>
      <c r="I608" s="9"/>
      <c r="J608" s="9"/>
      <c r="K608" s="9"/>
    </row>
    <row r="609" spans="1:11" x14ac:dyDescent="0.2">
      <c r="A609" s="89"/>
      <c r="B609" s="89"/>
      <c r="C609" s="89"/>
      <c r="D609" s="89"/>
      <c r="E609" s="89"/>
      <c r="F609" s="89"/>
      <c r="G609" s="89"/>
      <c r="H609" s="89"/>
      <c r="I609" s="9"/>
      <c r="J609" s="9"/>
      <c r="K609" s="9"/>
    </row>
    <row r="610" spans="1:11" x14ac:dyDescent="0.2">
      <c r="A610" s="89"/>
      <c r="B610" s="89"/>
      <c r="C610" s="89"/>
      <c r="D610" s="89"/>
      <c r="E610" s="89"/>
      <c r="F610" s="89"/>
      <c r="G610" s="89"/>
      <c r="H610" s="89"/>
      <c r="I610" s="9"/>
      <c r="J610" s="9"/>
      <c r="K610" s="9"/>
    </row>
    <row r="611" spans="1:11" x14ac:dyDescent="0.2">
      <c r="A611" s="89"/>
      <c r="B611" s="89"/>
      <c r="C611" s="89"/>
      <c r="D611" s="89"/>
      <c r="E611" s="89"/>
      <c r="F611" s="89"/>
      <c r="G611" s="89"/>
      <c r="H611" s="89"/>
      <c r="I611" s="9"/>
      <c r="J611" s="9"/>
      <c r="K611" s="9"/>
    </row>
    <row r="612" spans="1:11" x14ac:dyDescent="0.2">
      <c r="A612" s="89"/>
      <c r="B612" s="89"/>
      <c r="C612" s="89"/>
      <c r="D612" s="89"/>
      <c r="E612" s="89"/>
      <c r="F612" s="89"/>
      <c r="G612" s="89"/>
      <c r="H612" s="89"/>
      <c r="I612" s="9"/>
      <c r="J612" s="9"/>
      <c r="K612" s="9"/>
    </row>
    <row r="613" spans="1:11" x14ac:dyDescent="0.2">
      <c r="A613" s="89"/>
      <c r="B613" s="89"/>
      <c r="C613" s="89"/>
      <c r="D613" s="89"/>
      <c r="E613" s="89"/>
      <c r="F613" s="89"/>
      <c r="G613" s="89"/>
      <c r="H613" s="89"/>
      <c r="I613" s="9"/>
      <c r="J613" s="9"/>
      <c r="K613" s="9"/>
    </row>
    <row r="614" spans="1:11" x14ac:dyDescent="0.2">
      <c r="A614" s="89"/>
      <c r="B614" s="89"/>
      <c r="C614" s="89"/>
      <c r="D614" s="89"/>
      <c r="E614" s="89"/>
      <c r="F614" s="89"/>
      <c r="G614" s="89"/>
      <c r="H614" s="89"/>
      <c r="I614" s="9"/>
      <c r="J614" s="9"/>
      <c r="K614" s="9"/>
    </row>
    <row r="615" spans="1:11" x14ac:dyDescent="0.2">
      <c r="A615" s="89"/>
      <c r="B615" s="89"/>
      <c r="C615" s="89"/>
      <c r="D615" s="89"/>
      <c r="E615" s="89"/>
      <c r="F615" s="89"/>
      <c r="G615" s="89"/>
      <c r="H615" s="89"/>
      <c r="I615" s="9"/>
      <c r="J615" s="9"/>
      <c r="K615" s="9"/>
    </row>
    <row r="616" spans="1:11" x14ac:dyDescent="0.2">
      <c r="A616" s="89"/>
      <c r="B616" s="89"/>
      <c r="C616" s="89"/>
      <c r="D616" s="89"/>
      <c r="E616" s="89"/>
      <c r="F616" s="89"/>
      <c r="G616" s="89"/>
      <c r="H616" s="89"/>
      <c r="I616" s="9"/>
      <c r="J616" s="9"/>
      <c r="K616" s="9"/>
    </row>
    <row r="617" spans="1:11" x14ac:dyDescent="0.2">
      <c r="A617" s="89"/>
      <c r="B617" s="89"/>
      <c r="C617" s="89"/>
      <c r="D617" s="89"/>
      <c r="E617" s="89"/>
      <c r="F617" s="89"/>
      <c r="G617" s="89"/>
      <c r="H617" s="89"/>
      <c r="I617" s="9"/>
      <c r="J617" s="9"/>
      <c r="K617" s="9"/>
    </row>
    <row r="618" spans="1:11" x14ac:dyDescent="0.2">
      <c r="A618" s="89"/>
      <c r="B618" s="89"/>
      <c r="C618" s="89"/>
      <c r="D618" s="89"/>
      <c r="E618" s="89"/>
      <c r="F618" s="89"/>
      <c r="G618" s="89"/>
      <c r="H618" s="89"/>
      <c r="I618" s="9"/>
      <c r="J618" s="9"/>
      <c r="K618" s="9"/>
    </row>
    <row r="619" spans="1:11" x14ac:dyDescent="0.2">
      <c r="A619" s="89"/>
      <c r="B619" s="89"/>
      <c r="C619" s="89"/>
      <c r="D619" s="89"/>
      <c r="E619" s="89"/>
      <c r="F619" s="89"/>
      <c r="G619" s="89"/>
      <c r="H619" s="89"/>
      <c r="I619" s="9"/>
      <c r="J619" s="9"/>
      <c r="K619" s="9"/>
    </row>
    <row r="620" spans="1:11" x14ac:dyDescent="0.2">
      <c r="A620" s="89"/>
      <c r="B620" s="89"/>
      <c r="C620" s="89"/>
      <c r="D620" s="89"/>
      <c r="E620" s="89"/>
      <c r="F620" s="89"/>
      <c r="G620" s="89"/>
      <c r="H620" s="89"/>
      <c r="I620" s="9"/>
      <c r="J620" s="9"/>
      <c r="K620" s="9"/>
    </row>
    <row r="621" spans="1:11" x14ac:dyDescent="0.2">
      <c r="A621" s="89"/>
      <c r="B621" s="89"/>
      <c r="C621" s="89"/>
      <c r="D621" s="89"/>
      <c r="E621" s="89"/>
      <c r="F621" s="89"/>
      <c r="G621" s="89"/>
      <c r="H621" s="89"/>
      <c r="I621" s="9"/>
      <c r="J621" s="9"/>
      <c r="K621" s="9"/>
    </row>
    <row r="622" spans="1:11" x14ac:dyDescent="0.2">
      <c r="A622" s="89"/>
      <c r="B622" s="89"/>
      <c r="C622" s="89"/>
      <c r="D622" s="89"/>
      <c r="E622" s="89"/>
      <c r="F622" s="89"/>
      <c r="G622" s="89"/>
      <c r="H622" s="89"/>
      <c r="I622" s="9"/>
      <c r="J622" s="9"/>
      <c r="K622" s="9"/>
    </row>
    <row r="623" spans="1:11" x14ac:dyDescent="0.2">
      <c r="A623" s="89"/>
      <c r="B623" s="89"/>
      <c r="C623" s="89"/>
      <c r="D623" s="89"/>
      <c r="E623" s="89"/>
      <c r="F623" s="89"/>
      <c r="G623" s="89"/>
      <c r="H623" s="89"/>
      <c r="I623" s="9"/>
      <c r="J623" s="9"/>
      <c r="K623" s="9"/>
    </row>
    <row r="624" spans="1:11" x14ac:dyDescent="0.2">
      <c r="A624" s="89"/>
      <c r="B624" s="89"/>
      <c r="C624" s="89"/>
      <c r="D624" s="89"/>
      <c r="E624" s="89"/>
      <c r="F624" s="89"/>
      <c r="G624" s="89"/>
      <c r="H624" s="89"/>
      <c r="I624" s="9"/>
      <c r="J624" s="9"/>
      <c r="K624" s="9"/>
    </row>
    <row r="625" spans="1:11" x14ac:dyDescent="0.2">
      <c r="A625" s="89"/>
      <c r="B625" s="89"/>
      <c r="C625" s="89"/>
      <c r="D625" s="89"/>
      <c r="E625" s="89"/>
      <c r="F625" s="89"/>
      <c r="G625" s="89"/>
      <c r="H625" s="89"/>
      <c r="I625" s="9"/>
      <c r="J625" s="9"/>
      <c r="K625" s="9"/>
    </row>
    <row r="626" spans="1:11" x14ac:dyDescent="0.2">
      <c r="A626" s="89"/>
      <c r="B626" s="89"/>
      <c r="C626" s="89"/>
      <c r="D626" s="89"/>
      <c r="E626" s="89"/>
      <c r="F626" s="89"/>
      <c r="G626" s="89"/>
      <c r="H626" s="89"/>
      <c r="I626" s="9"/>
      <c r="J626" s="9"/>
      <c r="K626" s="9"/>
    </row>
    <row r="627" spans="1:11" x14ac:dyDescent="0.2">
      <c r="A627" s="89"/>
      <c r="B627" s="89"/>
      <c r="C627" s="89"/>
      <c r="D627" s="89"/>
      <c r="E627" s="89"/>
      <c r="F627" s="89"/>
      <c r="G627" s="89"/>
      <c r="H627" s="89"/>
      <c r="I627" s="9"/>
      <c r="J627" s="9"/>
      <c r="K627" s="9"/>
    </row>
    <row r="628" spans="1:11" x14ac:dyDescent="0.2">
      <c r="A628" s="89"/>
      <c r="B628" s="89"/>
      <c r="C628" s="89"/>
      <c r="D628" s="89"/>
      <c r="E628" s="89"/>
      <c r="F628" s="89"/>
      <c r="G628" s="89"/>
      <c r="H628" s="89"/>
      <c r="I628" s="9"/>
      <c r="J628" s="9"/>
      <c r="K628" s="9"/>
    </row>
    <row r="629" spans="1:11" x14ac:dyDescent="0.2">
      <c r="A629" s="89"/>
      <c r="B629" s="89"/>
      <c r="C629" s="89"/>
      <c r="D629" s="89"/>
      <c r="E629" s="89"/>
      <c r="F629" s="89"/>
      <c r="G629" s="89"/>
      <c r="H629" s="89"/>
      <c r="I629" s="9"/>
      <c r="J629" s="9"/>
      <c r="K629" s="9"/>
    </row>
    <row r="630" spans="1:11" x14ac:dyDescent="0.2">
      <c r="A630" s="89"/>
      <c r="B630" s="89"/>
      <c r="C630" s="89"/>
      <c r="D630" s="89"/>
      <c r="E630" s="89"/>
      <c r="F630" s="89"/>
      <c r="G630" s="89"/>
      <c r="H630" s="89"/>
      <c r="I630" s="9"/>
      <c r="J630" s="9"/>
      <c r="K630" s="9"/>
    </row>
    <row r="631" spans="1:11" x14ac:dyDescent="0.2">
      <c r="A631" s="89"/>
      <c r="B631" s="89"/>
      <c r="C631" s="89"/>
      <c r="D631" s="89"/>
      <c r="E631" s="89"/>
      <c r="F631" s="89"/>
      <c r="G631" s="89"/>
      <c r="H631" s="89"/>
      <c r="I631" s="9"/>
      <c r="J631" s="9"/>
      <c r="K631" s="9"/>
    </row>
    <row r="632" spans="1:11" x14ac:dyDescent="0.2">
      <c r="A632" s="89"/>
      <c r="B632" s="89"/>
      <c r="C632" s="89"/>
      <c r="D632" s="89"/>
      <c r="E632" s="89"/>
      <c r="F632" s="89"/>
      <c r="G632" s="89"/>
      <c r="H632" s="89"/>
      <c r="I632" s="9"/>
      <c r="J632" s="9"/>
      <c r="K632" s="9"/>
    </row>
    <row r="633" spans="1:11" x14ac:dyDescent="0.2">
      <c r="A633" s="89"/>
      <c r="B633" s="89"/>
      <c r="C633" s="89"/>
      <c r="D633" s="89"/>
      <c r="E633" s="89"/>
      <c r="F633" s="89"/>
      <c r="G633" s="89"/>
      <c r="H633" s="89"/>
      <c r="I633" s="9"/>
      <c r="J633" s="9"/>
      <c r="K633" s="9"/>
    </row>
    <row r="634" spans="1:11" x14ac:dyDescent="0.2">
      <c r="A634" s="89"/>
      <c r="B634" s="89"/>
      <c r="C634" s="89"/>
      <c r="D634" s="89"/>
      <c r="E634" s="89"/>
      <c r="F634" s="89"/>
      <c r="G634" s="89"/>
      <c r="H634" s="89"/>
      <c r="I634" s="9"/>
      <c r="J634" s="9"/>
      <c r="K634" s="9"/>
    </row>
    <row r="635" spans="1:11" x14ac:dyDescent="0.2">
      <c r="A635" s="89"/>
      <c r="B635" s="89"/>
      <c r="C635" s="89"/>
      <c r="D635" s="89"/>
      <c r="E635" s="89"/>
      <c r="F635" s="89"/>
      <c r="G635" s="89"/>
      <c r="H635" s="89"/>
      <c r="I635" s="9"/>
      <c r="J635" s="9"/>
      <c r="K635" s="9"/>
    </row>
    <row r="636" spans="1:11" x14ac:dyDescent="0.2">
      <c r="A636" s="89"/>
      <c r="B636" s="89"/>
      <c r="C636" s="89"/>
      <c r="D636" s="89"/>
      <c r="E636" s="89"/>
      <c r="F636" s="89"/>
      <c r="G636" s="89"/>
      <c r="H636" s="89"/>
      <c r="I636" s="9"/>
      <c r="J636" s="9"/>
      <c r="K636" s="9"/>
    </row>
    <row r="637" spans="1:11" x14ac:dyDescent="0.2">
      <c r="A637" s="89"/>
      <c r="B637" s="89"/>
      <c r="C637" s="89"/>
      <c r="D637" s="89"/>
      <c r="E637" s="89"/>
      <c r="F637" s="89"/>
      <c r="G637" s="89"/>
      <c r="H637" s="89"/>
      <c r="I637" s="9"/>
      <c r="J637" s="9"/>
      <c r="K637" s="9"/>
    </row>
    <row r="638" spans="1:11" x14ac:dyDescent="0.2">
      <c r="A638" s="89"/>
      <c r="B638" s="89"/>
      <c r="C638" s="89"/>
      <c r="D638" s="89"/>
      <c r="E638" s="89"/>
      <c r="F638" s="89"/>
      <c r="G638" s="89"/>
      <c r="H638" s="89"/>
      <c r="I638" s="9"/>
      <c r="J638" s="9"/>
      <c r="K638" s="9"/>
    </row>
    <row r="639" spans="1:11" x14ac:dyDescent="0.2">
      <c r="A639" s="89"/>
      <c r="B639" s="89"/>
      <c r="C639" s="89"/>
      <c r="D639" s="89"/>
      <c r="E639" s="89"/>
      <c r="F639" s="89"/>
      <c r="G639" s="89"/>
      <c r="H639" s="89"/>
      <c r="I639" s="9"/>
      <c r="J639" s="9"/>
      <c r="K639" s="9"/>
    </row>
    <row r="640" spans="1:11" x14ac:dyDescent="0.2">
      <c r="A640" s="89"/>
      <c r="B640" s="89"/>
      <c r="C640" s="89"/>
      <c r="D640" s="89"/>
      <c r="E640" s="89"/>
      <c r="F640" s="89"/>
      <c r="G640" s="89"/>
      <c r="H640" s="89"/>
      <c r="I640" s="9"/>
      <c r="J640" s="9"/>
      <c r="K640" s="9"/>
    </row>
    <row r="641" spans="1:11" x14ac:dyDescent="0.2">
      <c r="A641" s="89"/>
      <c r="B641" s="89"/>
      <c r="C641" s="89"/>
      <c r="D641" s="89"/>
      <c r="E641" s="89"/>
      <c r="F641" s="89"/>
      <c r="G641" s="89"/>
      <c r="H641" s="89"/>
      <c r="I641" s="9"/>
      <c r="J641" s="9"/>
      <c r="K641" s="9"/>
    </row>
    <row r="642" spans="1:11" x14ac:dyDescent="0.2">
      <c r="A642" s="89"/>
      <c r="B642" s="89"/>
      <c r="C642" s="89"/>
      <c r="D642" s="89"/>
      <c r="E642" s="89"/>
      <c r="F642" s="89"/>
      <c r="G642" s="89"/>
      <c r="H642" s="89"/>
      <c r="I642" s="9"/>
      <c r="J642" s="9"/>
      <c r="K642" s="9"/>
    </row>
    <row r="643" spans="1:11" x14ac:dyDescent="0.2">
      <c r="A643" s="89"/>
      <c r="B643" s="89"/>
      <c r="C643" s="89"/>
      <c r="D643" s="89"/>
      <c r="E643" s="89"/>
      <c r="F643" s="89"/>
      <c r="G643" s="89"/>
      <c r="H643" s="89"/>
      <c r="I643" s="9"/>
      <c r="J643" s="9"/>
      <c r="K643" s="9"/>
    </row>
    <row r="644" spans="1:11" x14ac:dyDescent="0.2">
      <c r="A644" s="89"/>
      <c r="B644" s="89"/>
      <c r="C644" s="89"/>
      <c r="D644" s="89"/>
      <c r="E644" s="89"/>
      <c r="F644" s="89"/>
      <c r="G644" s="89"/>
      <c r="H644" s="89"/>
      <c r="I644" s="9"/>
      <c r="J644" s="9"/>
      <c r="K644" s="9"/>
    </row>
    <row r="645" spans="1:11" x14ac:dyDescent="0.2">
      <c r="A645" s="89"/>
      <c r="B645" s="89"/>
      <c r="C645" s="89"/>
      <c r="D645" s="89"/>
      <c r="E645" s="89"/>
      <c r="F645" s="89"/>
      <c r="G645" s="89"/>
      <c r="H645" s="89"/>
      <c r="I645" s="9"/>
      <c r="J645" s="9"/>
      <c r="K645" s="9"/>
    </row>
    <row r="646" spans="1:11" x14ac:dyDescent="0.2">
      <c r="A646" s="89"/>
      <c r="B646" s="89"/>
      <c r="C646" s="89"/>
      <c r="D646" s="89"/>
      <c r="E646" s="89"/>
      <c r="F646" s="89"/>
      <c r="G646" s="89"/>
      <c r="H646" s="89"/>
      <c r="I646" s="9"/>
      <c r="J646" s="9"/>
      <c r="K646" s="9"/>
    </row>
    <row r="647" spans="1:11" x14ac:dyDescent="0.2">
      <c r="A647" s="89"/>
      <c r="B647" s="89"/>
      <c r="C647" s="89"/>
      <c r="D647" s="89"/>
      <c r="E647" s="89"/>
      <c r="F647" s="89"/>
      <c r="G647" s="89"/>
      <c r="H647" s="89"/>
      <c r="I647" s="9"/>
      <c r="J647" s="9"/>
      <c r="K647" s="9"/>
    </row>
    <row r="648" spans="1:11" x14ac:dyDescent="0.2">
      <c r="A648" s="89"/>
      <c r="B648" s="89"/>
      <c r="C648" s="89"/>
      <c r="D648" s="89"/>
      <c r="E648" s="89"/>
      <c r="F648" s="89"/>
      <c r="G648" s="89"/>
      <c r="H648" s="89"/>
      <c r="I648" s="9"/>
      <c r="J648" s="9"/>
      <c r="K648" s="9"/>
    </row>
    <row r="649" spans="1:11" x14ac:dyDescent="0.2">
      <c r="A649" s="89"/>
      <c r="B649" s="89"/>
      <c r="C649" s="89"/>
      <c r="D649" s="89"/>
      <c r="E649" s="89"/>
      <c r="F649" s="89"/>
      <c r="G649" s="89"/>
      <c r="H649" s="89"/>
      <c r="I649" s="9"/>
      <c r="J649" s="9"/>
      <c r="K649" s="9"/>
    </row>
    <row r="650" spans="1:11" x14ac:dyDescent="0.2">
      <c r="A650" s="89"/>
      <c r="B650" s="89"/>
      <c r="C650" s="89"/>
      <c r="D650" s="89"/>
      <c r="E650" s="89"/>
      <c r="F650" s="89"/>
      <c r="G650" s="89"/>
      <c r="H650" s="89"/>
      <c r="I650" s="9"/>
      <c r="J650" s="9"/>
      <c r="K650" s="9"/>
    </row>
    <row r="651" spans="1:11" x14ac:dyDescent="0.2">
      <c r="A651" s="89"/>
      <c r="B651" s="89"/>
      <c r="C651" s="89"/>
      <c r="D651" s="89"/>
      <c r="E651" s="89"/>
      <c r="F651" s="89"/>
      <c r="G651" s="89"/>
      <c r="H651" s="89"/>
      <c r="I651" s="9"/>
      <c r="J651" s="9"/>
      <c r="K651" s="9"/>
    </row>
    <row r="652" spans="1:11" x14ac:dyDescent="0.2">
      <c r="A652" s="89"/>
      <c r="B652" s="89"/>
      <c r="C652" s="89"/>
      <c r="D652" s="89"/>
      <c r="E652" s="89"/>
      <c r="F652" s="89"/>
      <c r="G652" s="89"/>
      <c r="H652" s="89"/>
      <c r="I652" s="9"/>
      <c r="J652" s="9"/>
      <c r="K652" s="9"/>
    </row>
    <row r="653" spans="1:11" x14ac:dyDescent="0.2">
      <c r="A653" s="89"/>
      <c r="B653" s="89"/>
      <c r="C653" s="89"/>
      <c r="D653" s="89"/>
      <c r="E653" s="89"/>
      <c r="F653" s="89"/>
      <c r="G653" s="89"/>
      <c r="H653" s="89"/>
      <c r="I653" s="9"/>
      <c r="J653" s="9"/>
      <c r="K653" s="9"/>
    </row>
    <row r="654" spans="1:11" x14ac:dyDescent="0.2">
      <c r="A654" s="89"/>
      <c r="B654" s="89"/>
      <c r="C654" s="89"/>
      <c r="D654" s="89"/>
      <c r="E654" s="89"/>
      <c r="F654" s="89"/>
      <c r="G654" s="89"/>
      <c r="H654" s="89"/>
      <c r="I654" s="9"/>
      <c r="J654" s="9"/>
      <c r="K654" s="9"/>
    </row>
    <row r="655" spans="1:11" x14ac:dyDescent="0.2">
      <c r="A655" s="89"/>
      <c r="B655" s="89"/>
      <c r="C655" s="89"/>
      <c r="D655" s="89"/>
      <c r="E655" s="89"/>
      <c r="F655" s="89"/>
      <c r="G655" s="89"/>
      <c r="H655" s="89"/>
      <c r="I655" s="9"/>
      <c r="J655" s="9"/>
      <c r="K655" s="9"/>
    </row>
    <row r="656" spans="1:11" x14ac:dyDescent="0.2">
      <c r="A656" s="89"/>
      <c r="B656" s="89"/>
      <c r="C656" s="89"/>
      <c r="D656" s="89"/>
      <c r="E656" s="89"/>
      <c r="F656" s="89"/>
      <c r="G656" s="89"/>
      <c r="H656" s="89"/>
      <c r="I656" s="9"/>
      <c r="J656" s="9"/>
      <c r="K656" s="9"/>
    </row>
    <row r="657" spans="1:11" x14ac:dyDescent="0.2">
      <c r="A657" s="89"/>
      <c r="B657" s="89"/>
      <c r="C657" s="89"/>
      <c r="D657" s="89"/>
      <c r="E657" s="89"/>
      <c r="F657" s="89"/>
      <c r="G657" s="89"/>
      <c r="H657" s="89"/>
      <c r="I657" s="9"/>
      <c r="J657" s="9"/>
      <c r="K657" s="9"/>
    </row>
    <row r="658" spans="1:11" x14ac:dyDescent="0.2">
      <c r="A658" s="89"/>
      <c r="B658" s="89"/>
      <c r="C658" s="89"/>
      <c r="D658" s="89"/>
      <c r="E658" s="89"/>
      <c r="F658" s="89"/>
      <c r="G658" s="89"/>
      <c r="H658" s="89"/>
      <c r="I658" s="9"/>
      <c r="J658" s="9"/>
      <c r="K658" s="9"/>
    </row>
    <row r="659" spans="1:11" x14ac:dyDescent="0.2">
      <c r="A659" s="89"/>
      <c r="B659" s="89"/>
      <c r="C659" s="89"/>
      <c r="D659" s="89"/>
      <c r="E659" s="89"/>
      <c r="F659" s="89"/>
      <c r="G659" s="89"/>
      <c r="H659" s="89"/>
      <c r="I659" s="9"/>
      <c r="J659" s="9"/>
      <c r="K659" s="9"/>
    </row>
    <row r="660" spans="1:11" x14ac:dyDescent="0.2">
      <c r="A660" s="89"/>
      <c r="B660" s="89"/>
      <c r="C660" s="89"/>
      <c r="D660" s="89"/>
      <c r="E660" s="89"/>
      <c r="F660" s="89"/>
      <c r="G660" s="89"/>
      <c r="H660" s="89"/>
      <c r="I660" s="9"/>
      <c r="J660" s="9"/>
      <c r="K660" s="9"/>
    </row>
    <row r="661" spans="1:11" x14ac:dyDescent="0.2">
      <c r="A661" s="89"/>
      <c r="B661" s="89"/>
      <c r="C661" s="89"/>
      <c r="D661" s="89"/>
      <c r="E661" s="89"/>
      <c r="F661" s="89"/>
      <c r="G661" s="89"/>
      <c r="H661" s="89"/>
      <c r="I661" s="9"/>
      <c r="J661" s="9"/>
      <c r="K661" s="9"/>
    </row>
    <row r="662" spans="1:11" x14ac:dyDescent="0.2">
      <c r="A662" s="89"/>
      <c r="B662" s="89"/>
      <c r="C662" s="89"/>
      <c r="D662" s="89"/>
      <c r="E662" s="89"/>
      <c r="F662" s="89"/>
      <c r="G662" s="89"/>
      <c r="H662" s="89"/>
      <c r="I662" s="9"/>
      <c r="J662" s="9"/>
      <c r="K662" s="9"/>
    </row>
    <row r="663" spans="1:11" x14ac:dyDescent="0.2">
      <c r="A663" s="89"/>
      <c r="B663" s="89"/>
      <c r="C663" s="89"/>
      <c r="D663" s="89"/>
      <c r="E663" s="89"/>
      <c r="F663" s="89"/>
      <c r="G663" s="89"/>
      <c r="H663" s="89"/>
      <c r="I663" s="9"/>
      <c r="J663" s="9"/>
      <c r="K663" s="9"/>
    </row>
    <row r="664" spans="1:11" x14ac:dyDescent="0.2">
      <c r="A664" s="89"/>
      <c r="B664" s="89"/>
      <c r="C664" s="89"/>
      <c r="D664" s="89"/>
      <c r="E664" s="89"/>
      <c r="F664" s="89"/>
      <c r="G664" s="89"/>
      <c r="H664" s="89"/>
      <c r="I664" s="9"/>
      <c r="J664" s="9"/>
      <c r="K664" s="9"/>
    </row>
    <row r="665" spans="1:11" x14ac:dyDescent="0.2">
      <c r="A665" s="89"/>
      <c r="B665" s="89"/>
      <c r="C665" s="89"/>
      <c r="D665" s="89"/>
      <c r="E665" s="89"/>
      <c r="F665" s="89"/>
      <c r="G665" s="89"/>
      <c r="H665" s="89"/>
      <c r="I665" s="9"/>
      <c r="J665" s="9"/>
      <c r="K665" s="9"/>
    </row>
    <row r="666" spans="1:11" x14ac:dyDescent="0.2">
      <c r="A666" s="89"/>
      <c r="B666" s="89"/>
      <c r="C666" s="89"/>
      <c r="D666" s="89"/>
      <c r="E666" s="89"/>
      <c r="F666" s="89"/>
      <c r="G666" s="89"/>
      <c r="H666" s="89"/>
      <c r="I666" s="9"/>
      <c r="J666" s="9"/>
      <c r="K666" s="9"/>
    </row>
    <row r="667" spans="1:11" x14ac:dyDescent="0.2">
      <c r="A667" s="89"/>
      <c r="B667" s="89"/>
      <c r="C667" s="89"/>
      <c r="D667" s="89"/>
      <c r="E667" s="89"/>
      <c r="F667" s="89"/>
      <c r="G667" s="89"/>
      <c r="H667" s="89"/>
      <c r="I667" s="9"/>
      <c r="J667" s="9"/>
      <c r="K667" s="9"/>
    </row>
    <row r="668" spans="1:11" x14ac:dyDescent="0.2">
      <c r="A668" s="89"/>
      <c r="B668" s="89"/>
      <c r="C668" s="89"/>
      <c r="D668" s="89"/>
      <c r="E668" s="89"/>
      <c r="F668" s="89"/>
      <c r="G668" s="89"/>
      <c r="H668" s="89"/>
      <c r="I668" s="9"/>
      <c r="J668" s="9"/>
      <c r="K668" s="9"/>
    </row>
    <row r="669" spans="1:11" x14ac:dyDescent="0.2">
      <c r="A669" s="89"/>
      <c r="B669" s="89"/>
      <c r="C669" s="89"/>
      <c r="D669" s="89"/>
      <c r="E669" s="89"/>
      <c r="F669" s="89"/>
      <c r="G669" s="89"/>
      <c r="H669" s="89"/>
      <c r="I669" s="9"/>
      <c r="J669" s="9"/>
      <c r="K669" s="9"/>
    </row>
    <row r="670" spans="1:11" x14ac:dyDescent="0.2">
      <c r="A670" s="89"/>
      <c r="B670" s="89"/>
      <c r="C670" s="89"/>
      <c r="D670" s="89"/>
      <c r="E670" s="89"/>
      <c r="F670" s="89"/>
      <c r="G670" s="89"/>
      <c r="H670" s="89"/>
      <c r="I670" s="9"/>
      <c r="J670" s="9"/>
      <c r="K670" s="9"/>
    </row>
    <row r="671" spans="1:11" x14ac:dyDescent="0.2">
      <c r="A671" s="89"/>
      <c r="B671" s="89"/>
      <c r="C671" s="89"/>
      <c r="D671" s="89"/>
      <c r="E671" s="89"/>
      <c r="F671" s="89"/>
      <c r="G671" s="89"/>
      <c r="H671" s="89"/>
      <c r="I671" s="9"/>
      <c r="J671" s="9"/>
      <c r="K671" s="9"/>
    </row>
    <row r="672" spans="1:11" x14ac:dyDescent="0.2">
      <c r="A672" s="89"/>
      <c r="B672" s="89"/>
      <c r="C672" s="89"/>
      <c r="D672" s="89"/>
      <c r="E672" s="89"/>
      <c r="F672" s="89"/>
      <c r="G672" s="89"/>
      <c r="H672" s="89"/>
      <c r="I672" s="9"/>
      <c r="J672" s="9"/>
      <c r="K672" s="9"/>
    </row>
    <row r="673" spans="1:11" x14ac:dyDescent="0.2">
      <c r="A673" s="89"/>
      <c r="B673" s="89"/>
      <c r="C673" s="89"/>
      <c r="D673" s="89"/>
      <c r="E673" s="89"/>
      <c r="F673" s="89"/>
      <c r="G673" s="89"/>
      <c r="H673" s="89"/>
      <c r="I673" s="9"/>
      <c r="J673" s="9"/>
      <c r="K673" s="9"/>
    </row>
    <row r="674" spans="1:11" x14ac:dyDescent="0.2">
      <c r="A674" s="89"/>
      <c r="B674" s="89"/>
      <c r="C674" s="89"/>
      <c r="D674" s="89"/>
      <c r="E674" s="89"/>
      <c r="F674" s="89"/>
      <c r="G674" s="89"/>
      <c r="H674" s="89"/>
      <c r="I674" s="9"/>
      <c r="J674" s="9"/>
      <c r="K674" s="9"/>
    </row>
    <row r="675" spans="1:11" x14ac:dyDescent="0.2">
      <c r="A675" s="89"/>
      <c r="B675" s="89"/>
      <c r="C675" s="89"/>
      <c r="D675" s="89"/>
      <c r="E675" s="89"/>
      <c r="F675" s="89"/>
      <c r="G675" s="89"/>
      <c r="H675" s="89"/>
      <c r="I675" s="9"/>
      <c r="J675" s="9"/>
      <c r="K675" s="9"/>
    </row>
    <row r="676" spans="1:11" x14ac:dyDescent="0.2">
      <c r="A676" s="89"/>
      <c r="B676" s="89"/>
      <c r="C676" s="89"/>
      <c r="D676" s="89"/>
      <c r="E676" s="89"/>
      <c r="F676" s="89"/>
      <c r="G676" s="89"/>
      <c r="H676" s="89"/>
      <c r="I676" s="9"/>
      <c r="J676" s="9"/>
      <c r="K676" s="9"/>
    </row>
    <row r="677" spans="1:11" x14ac:dyDescent="0.2">
      <c r="A677" s="89"/>
      <c r="B677" s="89"/>
      <c r="C677" s="89"/>
      <c r="D677" s="89"/>
      <c r="E677" s="89"/>
      <c r="F677" s="89"/>
      <c r="G677" s="89"/>
      <c r="H677" s="89"/>
      <c r="I677" s="9"/>
      <c r="J677" s="9"/>
      <c r="K677" s="9"/>
    </row>
    <row r="678" spans="1:11" x14ac:dyDescent="0.2">
      <c r="A678" s="89"/>
      <c r="B678" s="89"/>
      <c r="C678" s="89"/>
      <c r="D678" s="89"/>
      <c r="E678" s="89"/>
      <c r="F678" s="89"/>
      <c r="G678" s="89"/>
      <c r="H678" s="89"/>
      <c r="I678" s="9"/>
      <c r="J678" s="9"/>
      <c r="K678" s="9"/>
    </row>
    <row r="679" spans="1:11" x14ac:dyDescent="0.2">
      <c r="A679" s="89"/>
      <c r="B679" s="89"/>
      <c r="C679" s="89"/>
      <c r="D679" s="89"/>
      <c r="E679" s="89"/>
      <c r="F679" s="89"/>
      <c r="G679" s="89"/>
      <c r="H679" s="89"/>
      <c r="I679" s="9"/>
      <c r="J679" s="9"/>
      <c r="K679" s="9"/>
    </row>
    <row r="680" spans="1:11" x14ac:dyDescent="0.2">
      <c r="A680" s="89"/>
      <c r="B680" s="89"/>
      <c r="C680" s="89"/>
      <c r="D680" s="89"/>
      <c r="E680" s="89"/>
      <c r="F680" s="89"/>
      <c r="G680" s="89"/>
      <c r="H680" s="89"/>
      <c r="I680" s="9"/>
      <c r="J680" s="9"/>
      <c r="K680" s="9"/>
    </row>
    <row r="681" spans="1:11" x14ac:dyDescent="0.2">
      <c r="A681" s="89"/>
      <c r="B681" s="89"/>
      <c r="C681" s="89"/>
      <c r="D681" s="89"/>
      <c r="E681" s="89"/>
      <c r="F681" s="89"/>
      <c r="G681" s="89"/>
      <c r="H681" s="89"/>
      <c r="I681" s="9"/>
      <c r="J681" s="9"/>
      <c r="K681" s="9"/>
    </row>
    <row r="682" spans="1:11" x14ac:dyDescent="0.2">
      <c r="A682" s="89"/>
      <c r="B682" s="89"/>
      <c r="C682" s="89"/>
      <c r="D682" s="89"/>
      <c r="E682" s="89"/>
      <c r="F682" s="89"/>
      <c r="G682" s="89"/>
      <c r="H682" s="89"/>
      <c r="I682" s="9"/>
      <c r="J682" s="9"/>
      <c r="K682" s="9"/>
    </row>
    <row r="683" spans="1:11" x14ac:dyDescent="0.2">
      <c r="A683" s="89"/>
      <c r="B683" s="89"/>
      <c r="C683" s="89"/>
      <c r="D683" s="89"/>
      <c r="E683" s="89"/>
      <c r="F683" s="89"/>
      <c r="G683" s="89"/>
      <c r="H683" s="89"/>
      <c r="I683" s="9"/>
      <c r="J683" s="9"/>
      <c r="K683" s="9"/>
    </row>
    <row r="684" spans="1:11" x14ac:dyDescent="0.2">
      <c r="A684" s="89"/>
      <c r="B684" s="89"/>
      <c r="C684" s="89"/>
      <c r="D684" s="89"/>
      <c r="E684" s="89"/>
      <c r="F684" s="89"/>
      <c r="G684" s="89"/>
      <c r="H684" s="89"/>
      <c r="I684" s="9"/>
      <c r="J684" s="9"/>
      <c r="K684" s="9"/>
    </row>
    <row r="685" spans="1:11" x14ac:dyDescent="0.2">
      <c r="A685" s="89"/>
      <c r="B685" s="89"/>
      <c r="C685" s="89"/>
      <c r="D685" s="89"/>
      <c r="E685" s="89"/>
      <c r="F685" s="89"/>
      <c r="G685" s="89"/>
      <c r="H685" s="89"/>
      <c r="I685" s="9"/>
      <c r="J685" s="9"/>
      <c r="K685" s="9"/>
    </row>
    <row r="686" spans="1:11" x14ac:dyDescent="0.2">
      <c r="A686" s="89"/>
      <c r="B686" s="89"/>
      <c r="C686" s="89"/>
      <c r="D686" s="89"/>
      <c r="E686" s="89"/>
      <c r="F686" s="89"/>
      <c r="G686" s="89"/>
      <c r="H686" s="89"/>
      <c r="I686" s="9"/>
      <c r="J686" s="9"/>
      <c r="K686" s="9"/>
    </row>
    <row r="687" spans="1:11" x14ac:dyDescent="0.2">
      <c r="A687" s="89"/>
      <c r="B687" s="89"/>
      <c r="C687" s="89"/>
      <c r="D687" s="89"/>
      <c r="E687" s="89"/>
      <c r="F687" s="89"/>
      <c r="G687" s="89"/>
      <c r="H687" s="89"/>
      <c r="I687" s="9"/>
      <c r="J687" s="9"/>
      <c r="K687" s="9"/>
    </row>
    <row r="688" spans="1:11" x14ac:dyDescent="0.2">
      <c r="A688" s="89"/>
      <c r="B688" s="89"/>
      <c r="C688" s="89"/>
      <c r="D688" s="89"/>
      <c r="E688" s="89"/>
      <c r="F688" s="89"/>
      <c r="G688" s="89"/>
      <c r="H688" s="89"/>
      <c r="I688" s="9"/>
      <c r="J688" s="9"/>
      <c r="K688" s="9"/>
    </row>
    <row r="689" spans="1:11" x14ac:dyDescent="0.2">
      <c r="A689" s="89"/>
      <c r="B689" s="89"/>
      <c r="C689" s="89"/>
      <c r="D689" s="89"/>
      <c r="E689" s="89"/>
      <c r="F689" s="89"/>
      <c r="G689" s="89"/>
      <c r="H689" s="89"/>
      <c r="I689" s="9"/>
      <c r="J689" s="9"/>
      <c r="K689" s="9"/>
    </row>
    <row r="690" spans="1:11" x14ac:dyDescent="0.2">
      <c r="A690" s="89"/>
      <c r="B690" s="89"/>
      <c r="C690" s="89"/>
      <c r="D690" s="89"/>
      <c r="E690" s="89"/>
      <c r="F690" s="89"/>
      <c r="G690" s="89"/>
      <c r="H690" s="89"/>
      <c r="I690" s="9"/>
      <c r="J690" s="9"/>
      <c r="K690" s="9"/>
    </row>
    <row r="691" spans="1:11" x14ac:dyDescent="0.2">
      <c r="A691" s="89"/>
      <c r="B691" s="89"/>
      <c r="C691" s="89"/>
      <c r="D691" s="89"/>
      <c r="E691" s="89"/>
      <c r="F691" s="89"/>
      <c r="G691" s="89"/>
      <c r="H691" s="89"/>
      <c r="I691" s="9"/>
      <c r="J691" s="9"/>
      <c r="K691" s="9"/>
    </row>
    <row r="692" spans="1:11" x14ac:dyDescent="0.2">
      <c r="A692" s="89"/>
      <c r="B692" s="89"/>
      <c r="C692" s="89"/>
      <c r="D692" s="89"/>
      <c r="E692" s="89"/>
      <c r="F692" s="89"/>
      <c r="G692" s="89"/>
      <c r="H692" s="89"/>
      <c r="I692" s="9"/>
      <c r="J692" s="9"/>
      <c r="K692" s="9"/>
    </row>
    <row r="693" spans="1:11" x14ac:dyDescent="0.2">
      <c r="A693" s="89"/>
      <c r="B693" s="89"/>
      <c r="C693" s="89"/>
      <c r="D693" s="89"/>
      <c r="E693" s="89"/>
      <c r="F693" s="89"/>
      <c r="G693" s="89"/>
      <c r="H693" s="89"/>
      <c r="I693" s="9"/>
      <c r="J693" s="9"/>
      <c r="K693" s="9"/>
    </row>
    <row r="694" spans="1:11" x14ac:dyDescent="0.2">
      <c r="A694" s="89"/>
      <c r="B694" s="89"/>
      <c r="C694" s="89"/>
      <c r="D694" s="89"/>
      <c r="E694" s="89"/>
      <c r="F694" s="89"/>
      <c r="G694" s="89"/>
      <c r="H694" s="89"/>
      <c r="I694" s="9"/>
      <c r="J694" s="9"/>
      <c r="K694" s="9"/>
    </row>
    <row r="695" spans="1:11" x14ac:dyDescent="0.2">
      <c r="A695" s="89"/>
      <c r="B695" s="89"/>
      <c r="C695" s="89"/>
      <c r="D695" s="89"/>
      <c r="E695" s="89"/>
      <c r="F695" s="89"/>
      <c r="G695" s="89"/>
      <c r="H695" s="89"/>
      <c r="I695" s="9"/>
      <c r="J695" s="9"/>
      <c r="K695" s="9"/>
    </row>
    <row r="696" spans="1:11" x14ac:dyDescent="0.2">
      <c r="A696" s="89"/>
      <c r="B696" s="89"/>
      <c r="C696" s="89"/>
      <c r="D696" s="89"/>
      <c r="E696" s="89"/>
      <c r="F696" s="89"/>
      <c r="G696" s="89"/>
      <c r="H696" s="89"/>
      <c r="I696" s="9"/>
      <c r="J696" s="9"/>
      <c r="K696" s="9"/>
    </row>
    <row r="697" spans="1:11" x14ac:dyDescent="0.2">
      <c r="A697" s="89"/>
      <c r="B697" s="89"/>
      <c r="C697" s="89"/>
      <c r="D697" s="89"/>
      <c r="E697" s="89"/>
      <c r="F697" s="89"/>
      <c r="G697" s="89"/>
      <c r="H697" s="89"/>
      <c r="I697" s="9"/>
      <c r="J697" s="9"/>
      <c r="K697" s="9"/>
    </row>
    <row r="698" spans="1:11" x14ac:dyDescent="0.2">
      <c r="A698" s="89"/>
      <c r="B698" s="89"/>
      <c r="C698" s="89"/>
      <c r="D698" s="89"/>
      <c r="E698" s="89"/>
      <c r="F698" s="89"/>
      <c r="G698" s="89"/>
      <c r="H698" s="89"/>
      <c r="I698" s="9"/>
      <c r="J698" s="9"/>
      <c r="K698" s="9"/>
    </row>
    <row r="699" spans="1:11" x14ac:dyDescent="0.2">
      <c r="A699" s="89"/>
      <c r="B699" s="89"/>
      <c r="C699" s="89"/>
      <c r="D699" s="89"/>
      <c r="E699" s="89"/>
      <c r="F699" s="89"/>
      <c r="G699" s="89"/>
      <c r="H699" s="89"/>
      <c r="I699" s="9"/>
      <c r="J699" s="9"/>
      <c r="K699" s="9"/>
    </row>
    <row r="700" spans="1:11" x14ac:dyDescent="0.2">
      <c r="A700" s="89"/>
      <c r="B700" s="89"/>
      <c r="C700" s="89"/>
      <c r="D700" s="89"/>
      <c r="E700" s="89"/>
      <c r="F700" s="89"/>
      <c r="G700" s="89"/>
      <c r="H700" s="89"/>
      <c r="I700" s="9"/>
      <c r="J700" s="9"/>
      <c r="K700" s="9"/>
    </row>
    <row r="701" spans="1:11" x14ac:dyDescent="0.2">
      <c r="A701" s="89"/>
      <c r="B701" s="89"/>
      <c r="C701" s="89"/>
      <c r="D701" s="89"/>
      <c r="E701" s="89"/>
      <c r="F701" s="89"/>
      <c r="G701" s="89"/>
      <c r="H701" s="89"/>
      <c r="I701" s="9"/>
      <c r="J701" s="9"/>
      <c r="K701" s="9"/>
    </row>
    <row r="702" spans="1:11" x14ac:dyDescent="0.2">
      <c r="A702" s="89"/>
      <c r="B702" s="89"/>
      <c r="C702" s="89"/>
      <c r="D702" s="89"/>
      <c r="E702" s="89"/>
      <c r="F702" s="89"/>
      <c r="G702" s="89"/>
      <c r="H702" s="89"/>
      <c r="I702" s="9"/>
      <c r="J702" s="9"/>
      <c r="K702" s="9"/>
    </row>
    <row r="703" spans="1:11" x14ac:dyDescent="0.2">
      <c r="A703" s="89"/>
      <c r="B703" s="89"/>
      <c r="C703" s="89"/>
      <c r="D703" s="89"/>
      <c r="E703" s="89"/>
      <c r="F703" s="89"/>
      <c r="G703" s="89"/>
      <c r="H703" s="89"/>
      <c r="I703" s="9"/>
      <c r="J703" s="9"/>
      <c r="K703" s="9"/>
    </row>
    <row r="704" spans="1:11" x14ac:dyDescent="0.2">
      <c r="A704" s="89"/>
      <c r="B704" s="89"/>
      <c r="C704" s="89"/>
      <c r="D704" s="89"/>
      <c r="E704" s="89"/>
      <c r="F704" s="89"/>
      <c r="G704" s="89"/>
      <c r="H704" s="89"/>
      <c r="I704" s="9"/>
      <c r="J704" s="9"/>
      <c r="K704" s="9"/>
    </row>
    <row r="705" spans="1:11" x14ac:dyDescent="0.2">
      <c r="A705" s="89"/>
      <c r="B705" s="89"/>
      <c r="C705" s="89"/>
      <c r="D705" s="89"/>
      <c r="E705" s="89"/>
      <c r="F705" s="89"/>
      <c r="G705" s="89"/>
      <c r="H705" s="89"/>
      <c r="I705" s="9"/>
      <c r="J705" s="9"/>
      <c r="K705" s="9"/>
    </row>
    <row r="706" spans="1:11" x14ac:dyDescent="0.2">
      <c r="A706" s="89"/>
      <c r="B706" s="89"/>
      <c r="C706" s="89"/>
      <c r="D706" s="89"/>
      <c r="E706" s="89"/>
      <c r="F706" s="89"/>
      <c r="G706" s="89"/>
      <c r="H706" s="89"/>
      <c r="I706" s="9"/>
      <c r="J706" s="9"/>
      <c r="K706" s="9"/>
    </row>
    <row r="707" spans="1:11" x14ac:dyDescent="0.2">
      <c r="A707" s="89"/>
      <c r="B707" s="89"/>
      <c r="C707" s="89"/>
      <c r="D707" s="89"/>
      <c r="E707" s="89"/>
      <c r="F707" s="89"/>
      <c r="G707" s="89"/>
      <c r="H707" s="89"/>
      <c r="I707" s="9"/>
      <c r="J707" s="9"/>
      <c r="K707" s="9"/>
    </row>
    <row r="708" spans="1:11" x14ac:dyDescent="0.2">
      <c r="A708" s="89"/>
      <c r="B708" s="89"/>
      <c r="C708" s="89"/>
      <c r="D708" s="89"/>
      <c r="E708" s="89"/>
      <c r="F708" s="89"/>
      <c r="G708" s="89"/>
      <c r="H708" s="89"/>
      <c r="I708" s="9"/>
      <c r="J708" s="9"/>
      <c r="K708" s="9"/>
    </row>
    <row r="709" spans="1:11" x14ac:dyDescent="0.2">
      <c r="A709" s="89"/>
      <c r="B709" s="89"/>
      <c r="C709" s="89"/>
      <c r="D709" s="89"/>
      <c r="E709" s="89"/>
      <c r="F709" s="89"/>
      <c r="G709" s="89"/>
      <c r="H709" s="89"/>
      <c r="I709" s="9"/>
      <c r="J709" s="9"/>
      <c r="K709" s="9"/>
    </row>
    <row r="710" spans="1:11" x14ac:dyDescent="0.2">
      <c r="A710" s="89"/>
      <c r="B710" s="89"/>
      <c r="C710" s="89"/>
      <c r="D710" s="89"/>
      <c r="E710" s="89"/>
      <c r="F710" s="89"/>
      <c r="G710" s="89"/>
      <c r="H710" s="89"/>
      <c r="I710" s="9"/>
      <c r="J710" s="9"/>
      <c r="K710" s="9"/>
    </row>
    <row r="711" spans="1:11" x14ac:dyDescent="0.2">
      <c r="A711" s="89"/>
      <c r="B711" s="89"/>
      <c r="C711" s="89"/>
      <c r="D711" s="89"/>
      <c r="E711" s="89"/>
      <c r="F711" s="89"/>
      <c r="G711" s="89"/>
      <c r="H711" s="89"/>
      <c r="I711" s="9"/>
      <c r="J711" s="9"/>
      <c r="K711" s="9"/>
    </row>
    <row r="712" spans="1:11" x14ac:dyDescent="0.2">
      <c r="A712" s="89"/>
      <c r="B712" s="89"/>
      <c r="C712" s="89"/>
      <c r="D712" s="89"/>
      <c r="E712" s="89"/>
      <c r="F712" s="89"/>
      <c r="G712" s="89"/>
      <c r="H712" s="89"/>
      <c r="I712" s="9"/>
      <c r="J712" s="9"/>
      <c r="K712" s="9"/>
    </row>
    <row r="713" spans="1:11" x14ac:dyDescent="0.2">
      <c r="A713" s="89"/>
      <c r="B713" s="89"/>
      <c r="C713" s="89"/>
      <c r="D713" s="89"/>
      <c r="E713" s="89"/>
      <c r="F713" s="89"/>
      <c r="G713" s="89"/>
      <c r="H713" s="89"/>
      <c r="I713" s="9"/>
      <c r="J713" s="9"/>
      <c r="K713" s="9"/>
    </row>
    <row r="714" spans="1:11" x14ac:dyDescent="0.2">
      <c r="A714" s="89"/>
      <c r="B714" s="89"/>
      <c r="C714" s="89"/>
      <c r="D714" s="89"/>
      <c r="E714" s="89"/>
      <c r="F714" s="89"/>
      <c r="G714" s="89"/>
      <c r="H714" s="89"/>
      <c r="I714" s="9"/>
      <c r="J714" s="9"/>
      <c r="K714" s="9"/>
    </row>
    <row r="715" spans="1:11" x14ac:dyDescent="0.2">
      <c r="A715" s="89"/>
      <c r="B715" s="89"/>
      <c r="C715" s="89"/>
      <c r="D715" s="89"/>
      <c r="E715" s="89"/>
      <c r="F715" s="89"/>
      <c r="G715" s="89"/>
      <c r="H715" s="89"/>
      <c r="I715" s="9"/>
      <c r="J715" s="9"/>
      <c r="K715" s="9"/>
    </row>
    <row r="716" spans="1:11" x14ac:dyDescent="0.2">
      <c r="A716" s="89"/>
      <c r="B716" s="89"/>
      <c r="C716" s="89"/>
      <c r="D716" s="89"/>
      <c r="E716" s="89"/>
      <c r="F716" s="89"/>
      <c r="G716" s="89"/>
      <c r="H716" s="89"/>
      <c r="I716" s="9"/>
      <c r="J716" s="9"/>
      <c r="K716" s="9"/>
    </row>
    <row r="717" spans="1:11" x14ac:dyDescent="0.2">
      <c r="A717" s="89"/>
      <c r="B717" s="89"/>
      <c r="C717" s="89"/>
      <c r="D717" s="89"/>
      <c r="E717" s="89"/>
      <c r="F717" s="89"/>
      <c r="G717" s="89"/>
      <c r="H717" s="89"/>
      <c r="I717" s="9"/>
      <c r="J717" s="9"/>
      <c r="K717" s="9"/>
    </row>
    <row r="718" spans="1:11" x14ac:dyDescent="0.2">
      <c r="A718" s="89"/>
      <c r="B718" s="89"/>
      <c r="C718" s="89"/>
      <c r="D718" s="89"/>
      <c r="E718" s="89"/>
      <c r="F718" s="89"/>
      <c r="G718" s="89"/>
      <c r="H718" s="89"/>
      <c r="I718" s="9"/>
      <c r="J718" s="9"/>
      <c r="K718" s="9"/>
    </row>
    <row r="719" spans="1:11" x14ac:dyDescent="0.2">
      <c r="A719" s="89"/>
      <c r="B719" s="89"/>
      <c r="C719" s="89"/>
      <c r="D719" s="89"/>
      <c r="E719" s="89"/>
      <c r="F719" s="89"/>
      <c r="G719" s="89"/>
      <c r="H719" s="89"/>
      <c r="I719" s="9"/>
      <c r="J719" s="9"/>
      <c r="K719" s="9"/>
    </row>
    <row r="720" spans="1:11" x14ac:dyDescent="0.2">
      <c r="A720" s="89"/>
      <c r="B720" s="89"/>
      <c r="C720" s="89"/>
      <c r="D720" s="89"/>
      <c r="E720" s="89"/>
      <c r="F720" s="89"/>
      <c r="G720" s="89"/>
      <c r="H720" s="89"/>
      <c r="I720" s="9"/>
      <c r="J720" s="9"/>
      <c r="K720" s="9"/>
    </row>
    <row r="721" spans="1:11" x14ac:dyDescent="0.2">
      <c r="A721" s="89"/>
      <c r="B721" s="89"/>
      <c r="C721" s="89"/>
      <c r="D721" s="89"/>
      <c r="E721" s="89"/>
      <c r="F721" s="89"/>
      <c r="G721" s="89"/>
      <c r="H721" s="89"/>
      <c r="I721" s="9"/>
      <c r="J721" s="9"/>
      <c r="K721" s="9"/>
    </row>
    <row r="722" spans="1:11" x14ac:dyDescent="0.2">
      <c r="A722" s="89"/>
      <c r="B722" s="89"/>
      <c r="C722" s="89"/>
      <c r="D722" s="89"/>
      <c r="E722" s="89"/>
      <c r="F722" s="89"/>
      <c r="G722" s="89"/>
      <c r="H722" s="89"/>
      <c r="I722" s="9"/>
      <c r="J722" s="9"/>
      <c r="K722" s="9"/>
    </row>
    <row r="723" spans="1:11" x14ac:dyDescent="0.2">
      <c r="A723" s="89"/>
      <c r="B723" s="89"/>
      <c r="C723" s="89"/>
      <c r="D723" s="89"/>
      <c r="E723" s="89"/>
      <c r="F723" s="89"/>
      <c r="G723" s="89"/>
      <c r="H723" s="89"/>
      <c r="I723" s="9"/>
      <c r="J723" s="9"/>
      <c r="K723" s="9"/>
    </row>
    <row r="724" spans="1:11" x14ac:dyDescent="0.2">
      <c r="A724" s="89"/>
      <c r="B724" s="89"/>
      <c r="C724" s="89"/>
      <c r="D724" s="89"/>
      <c r="E724" s="89"/>
      <c r="F724" s="89"/>
      <c r="G724" s="89"/>
      <c r="H724" s="89"/>
      <c r="I724" s="9"/>
      <c r="J724" s="9"/>
      <c r="K724" s="9"/>
    </row>
    <row r="725" spans="1:11" x14ac:dyDescent="0.2">
      <c r="A725" s="89"/>
      <c r="B725" s="89"/>
      <c r="C725" s="89"/>
      <c r="D725" s="89"/>
      <c r="E725" s="89"/>
      <c r="F725" s="89"/>
      <c r="G725" s="89"/>
      <c r="H725" s="89"/>
      <c r="I725" s="9"/>
      <c r="J725" s="9"/>
      <c r="K725" s="9"/>
    </row>
    <row r="726" spans="1:11" x14ac:dyDescent="0.2">
      <c r="A726" s="89"/>
      <c r="B726" s="89"/>
      <c r="C726" s="89"/>
      <c r="D726" s="89"/>
      <c r="E726" s="89"/>
      <c r="F726" s="89"/>
      <c r="G726" s="89"/>
      <c r="H726" s="89"/>
      <c r="I726" s="9"/>
      <c r="J726" s="9"/>
      <c r="K726" s="9"/>
    </row>
    <row r="727" spans="1:11" x14ac:dyDescent="0.2">
      <c r="A727" s="89"/>
      <c r="B727" s="89"/>
      <c r="C727" s="89"/>
      <c r="D727" s="89"/>
      <c r="E727" s="89"/>
      <c r="F727" s="89"/>
      <c r="G727" s="89"/>
      <c r="H727" s="89"/>
      <c r="I727" s="9"/>
      <c r="J727" s="9"/>
      <c r="K727" s="9"/>
    </row>
    <row r="728" spans="1:11" x14ac:dyDescent="0.2">
      <c r="A728" s="89"/>
      <c r="B728" s="89"/>
      <c r="C728" s="89"/>
      <c r="D728" s="89"/>
      <c r="E728" s="89"/>
      <c r="F728" s="89"/>
      <c r="G728" s="89"/>
      <c r="H728" s="89"/>
      <c r="I728" s="9"/>
      <c r="J728" s="9"/>
      <c r="K728" s="9"/>
    </row>
    <row r="729" spans="1:11" x14ac:dyDescent="0.2">
      <c r="A729" s="89"/>
      <c r="B729" s="89"/>
      <c r="C729" s="89"/>
      <c r="D729" s="89"/>
      <c r="E729" s="89"/>
      <c r="F729" s="89"/>
      <c r="G729" s="89"/>
      <c r="H729" s="89"/>
      <c r="I729" s="9"/>
      <c r="J729" s="9"/>
      <c r="K729" s="9"/>
    </row>
    <row r="730" spans="1:11" x14ac:dyDescent="0.2">
      <c r="A730" s="89"/>
      <c r="B730" s="89"/>
      <c r="C730" s="89"/>
      <c r="D730" s="89"/>
      <c r="E730" s="89"/>
      <c r="F730" s="89"/>
      <c r="G730" s="89"/>
      <c r="H730" s="89"/>
      <c r="I730" s="9"/>
      <c r="J730" s="9"/>
      <c r="K730" s="9"/>
    </row>
    <row r="731" spans="1:11" x14ac:dyDescent="0.2">
      <c r="A731" s="89"/>
      <c r="B731" s="89"/>
      <c r="C731" s="89"/>
      <c r="D731" s="89"/>
      <c r="E731" s="89"/>
      <c r="F731" s="89"/>
      <c r="G731" s="89"/>
      <c r="H731" s="89"/>
      <c r="I731" s="9"/>
      <c r="J731" s="9"/>
      <c r="K731" s="9"/>
    </row>
    <row r="732" spans="1:11" x14ac:dyDescent="0.2">
      <c r="A732" s="89"/>
      <c r="B732" s="89"/>
      <c r="C732" s="89"/>
      <c r="D732" s="89"/>
      <c r="E732" s="89"/>
      <c r="F732" s="89"/>
      <c r="G732" s="89"/>
      <c r="H732" s="89"/>
      <c r="I732" s="9"/>
      <c r="J732" s="9"/>
      <c r="K732" s="9"/>
    </row>
    <row r="733" spans="1:11" x14ac:dyDescent="0.2">
      <c r="A733" s="89"/>
      <c r="B733" s="89"/>
      <c r="C733" s="89"/>
      <c r="D733" s="89"/>
      <c r="E733" s="89"/>
      <c r="F733" s="89"/>
      <c r="G733" s="89"/>
      <c r="H733" s="89"/>
      <c r="I733" s="9"/>
      <c r="J733" s="9"/>
      <c r="K733" s="9"/>
    </row>
    <row r="734" spans="1:11" x14ac:dyDescent="0.2">
      <c r="A734" s="89"/>
      <c r="B734" s="89"/>
      <c r="C734" s="89"/>
      <c r="D734" s="89"/>
      <c r="E734" s="89"/>
      <c r="F734" s="89"/>
      <c r="G734" s="89"/>
      <c r="H734" s="89"/>
      <c r="I734" s="9"/>
      <c r="J734" s="9"/>
      <c r="K734" s="9"/>
    </row>
    <row r="735" spans="1:11" x14ac:dyDescent="0.2">
      <c r="A735" s="89"/>
      <c r="B735" s="89"/>
      <c r="C735" s="89"/>
      <c r="D735" s="89"/>
      <c r="E735" s="89"/>
      <c r="F735" s="89"/>
      <c r="G735" s="89"/>
      <c r="H735" s="89"/>
      <c r="I735" s="9"/>
      <c r="J735" s="9"/>
      <c r="K735" s="9"/>
    </row>
    <row r="736" spans="1:11" x14ac:dyDescent="0.2">
      <c r="A736" s="89"/>
      <c r="B736" s="89"/>
      <c r="C736" s="89"/>
      <c r="D736" s="89"/>
      <c r="E736" s="89"/>
      <c r="F736" s="89"/>
      <c r="G736" s="89"/>
      <c r="H736" s="89"/>
      <c r="I736" s="9"/>
      <c r="J736" s="9"/>
      <c r="K736" s="9"/>
    </row>
    <row r="737" spans="1:11" x14ac:dyDescent="0.2">
      <c r="A737" s="89"/>
      <c r="B737" s="89"/>
      <c r="C737" s="89"/>
      <c r="D737" s="89"/>
      <c r="E737" s="89"/>
      <c r="F737" s="89"/>
      <c r="G737" s="89"/>
      <c r="H737" s="89"/>
      <c r="I737" s="9"/>
      <c r="J737" s="9"/>
      <c r="K737" s="9"/>
    </row>
    <row r="738" spans="1:11" x14ac:dyDescent="0.2">
      <c r="A738" s="89"/>
      <c r="B738" s="89"/>
      <c r="C738" s="89"/>
      <c r="D738" s="89"/>
      <c r="E738" s="89"/>
      <c r="F738" s="89"/>
      <c r="G738" s="89"/>
      <c r="H738" s="89"/>
      <c r="I738" s="9"/>
      <c r="J738" s="9"/>
      <c r="K738" s="9"/>
    </row>
    <row r="739" spans="1:11" x14ac:dyDescent="0.2">
      <c r="A739" s="89"/>
      <c r="B739" s="89"/>
      <c r="C739" s="89"/>
      <c r="D739" s="89"/>
      <c r="E739" s="89"/>
      <c r="F739" s="89"/>
      <c r="G739" s="89"/>
      <c r="H739" s="89"/>
      <c r="I739" s="9"/>
      <c r="J739" s="9"/>
      <c r="K739" s="9"/>
    </row>
    <row r="740" spans="1:11" x14ac:dyDescent="0.2">
      <c r="A740" s="89"/>
      <c r="B740" s="89"/>
      <c r="C740" s="89"/>
      <c r="D740" s="89"/>
      <c r="E740" s="89"/>
      <c r="F740" s="89"/>
      <c r="G740" s="89"/>
      <c r="H740" s="89"/>
      <c r="I740" s="9"/>
      <c r="J740" s="9"/>
      <c r="K740" s="9"/>
    </row>
    <row r="741" spans="1:11" x14ac:dyDescent="0.2">
      <c r="A741" s="89"/>
      <c r="B741" s="89"/>
      <c r="C741" s="89"/>
      <c r="D741" s="89"/>
      <c r="E741" s="89"/>
      <c r="F741" s="89"/>
      <c r="G741" s="89"/>
      <c r="H741" s="89"/>
      <c r="I741" s="9"/>
      <c r="J741" s="9"/>
      <c r="K741" s="9"/>
    </row>
    <row r="742" spans="1:11" x14ac:dyDescent="0.2">
      <c r="A742" s="89"/>
      <c r="B742" s="89"/>
      <c r="C742" s="89"/>
      <c r="D742" s="89"/>
      <c r="E742" s="89"/>
      <c r="F742" s="89"/>
      <c r="G742" s="89"/>
      <c r="H742" s="89"/>
      <c r="I742" s="9"/>
      <c r="J742" s="9"/>
      <c r="K742" s="9"/>
    </row>
    <row r="743" spans="1:11" x14ac:dyDescent="0.2">
      <c r="A743" s="89"/>
      <c r="B743" s="89"/>
      <c r="C743" s="89"/>
      <c r="D743" s="89"/>
      <c r="E743" s="89"/>
      <c r="F743" s="89"/>
      <c r="G743" s="89"/>
      <c r="H743" s="89"/>
      <c r="I743" s="9"/>
      <c r="J743" s="9"/>
      <c r="K743" s="9"/>
    </row>
    <row r="744" spans="1:11" x14ac:dyDescent="0.2">
      <c r="A744" s="89"/>
      <c r="B744" s="89"/>
      <c r="C744" s="89"/>
      <c r="D744" s="89"/>
      <c r="E744" s="89"/>
      <c r="F744" s="89"/>
      <c r="G744" s="89"/>
      <c r="H744" s="89"/>
      <c r="I744" s="9"/>
      <c r="J744" s="9"/>
      <c r="K744" s="9"/>
    </row>
    <row r="745" spans="1:11" x14ac:dyDescent="0.2">
      <c r="A745" s="89"/>
      <c r="B745" s="89"/>
      <c r="C745" s="89"/>
      <c r="D745" s="89"/>
      <c r="E745" s="89"/>
      <c r="F745" s="89"/>
      <c r="G745" s="89"/>
      <c r="H745" s="89"/>
      <c r="I745" s="9"/>
      <c r="J745" s="9"/>
      <c r="K745" s="9"/>
    </row>
    <row r="746" spans="1:11" x14ac:dyDescent="0.2">
      <c r="A746" s="89"/>
      <c r="B746" s="89"/>
      <c r="C746" s="89"/>
      <c r="D746" s="89"/>
      <c r="E746" s="89"/>
      <c r="F746" s="89"/>
      <c r="G746" s="89"/>
      <c r="H746" s="89"/>
      <c r="I746" s="9"/>
      <c r="J746" s="9"/>
      <c r="K746" s="9"/>
    </row>
    <row r="747" spans="1:11" x14ac:dyDescent="0.2">
      <c r="A747" s="89"/>
      <c r="B747" s="89"/>
      <c r="C747" s="89"/>
      <c r="D747" s="89"/>
      <c r="E747" s="89"/>
      <c r="F747" s="89"/>
      <c r="G747" s="89"/>
      <c r="H747" s="89"/>
      <c r="I747" s="9"/>
      <c r="J747" s="9"/>
      <c r="K747" s="9"/>
    </row>
    <row r="748" spans="1:11" x14ac:dyDescent="0.2">
      <c r="A748" s="89"/>
      <c r="B748" s="89"/>
      <c r="C748" s="89"/>
      <c r="D748" s="89"/>
      <c r="E748" s="89"/>
      <c r="F748" s="89"/>
      <c r="G748" s="89"/>
      <c r="H748" s="89"/>
      <c r="I748" s="9"/>
      <c r="J748" s="9"/>
      <c r="K748" s="9"/>
    </row>
    <row r="749" spans="1:11" x14ac:dyDescent="0.2">
      <c r="A749" s="89"/>
      <c r="B749" s="89"/>
      <c r="C749" s="89"/>
      <c r="D749" s="89"/>
      <c r="E749" s="89"/>
      <c r="F749" s="89"/>
      <c r="G749" s="89"/>
      <c r="H749" s="89"/>
      <c r="I749" s="9"/>
      <c r="J749" s="9"/>
      <c r="K749" s="9"/>
    </row>
    <row r="750" spans="1:11" x14ac:dyDescent="0.2">
      <c r="A750" s="89"/>
      <c r="B750" s="89"/>
      <c r="C750" s="89"/>
      <c r="D750" s="89"/>
      <c r="E750" s="89"/>
      <c r="F750" s="89"/>
      <c r="G750" s="89"/>
      <c r="H750" s="89"/>
      <c r="I750" s="9"/>
      <c r="J750" s="9"/>
      <c r="K750" s="9"/>
    </row>
    <row r="751" spans="1:11" x14ac:dyDescent="0.2">
      <c r="A751" s="89"/>
      <c r="B751" s="89"/>
      <c r="C751" s="89"/>
      <c r="D751" s="89"/>
      <c r="E751" s="89"/>
      <c r="F751" s="89"/>
      <c r="G751" s="89"/>
      <c r="H751" s="89"/>
      <c r="I751" s="9"/>
      <c r="J751" s="9"/>
      <c r="K751" s="9"/>
    </row>
    <row r="752" spans="1:11" x14ac:dyDescent="0.2">
      <c r="A752" s="89"/>
      <c r="B752" s="89"/>
      <c r="C752" s="89"/>
      <c r="D752" s="89"/>
      <c r="E752" s="89"/>
      <c r="F752" s="89"/>
      <c r="G752" s="89"/>
      <c r="H752" s="89"/>
      <c r="I752" s="9"/>
      <c r="J752" s="9"/>
      <c r="K752" s="9"/>
    </row>
    <row r="753" spans="1:11" x14ac:dyDescent="0.2">
      <c r="A753" s="89"/>
      <c r="B753" s="89"/>
      <c r="C753" s="89"/>
      <c r="D753" s="89"/>
      <c r="E753" s="89"/>
      <c r="F753" s="89"/>
      <c r="G753" s="89"/>
      <c r="H753" s="89"/>
      <c r="I753" s="9"/>
      <c r="J753" s="9"/>
      <c r="K753" s="9"/>
    </row>
    <row r="754" spans="1:11" x14ac:dyDescent="0.2">
      <c r="A754" s="89"/>
      <c r="B754" s="89"/>
      <c r="C754" s="89"/>
      <c r="D754" s="89"/>
      <c r="E754" s="89"/>
      <c r="F754" s="89"/>
      <c r="G754" s="89"/>
      <c r="H754" s="89"/>
      <c r="I754" s="9"/>
      <c r="J754" s="9"/>
      <c r="K754" s="9"/>
    </row>
    <row r="755" spans="1:11" x14ac:dyDescent="0.2">
      <c r="A755" s="89"/>
      <c r="B755" s="89"/>
      <c r="C755" s="89"/>
      <c r="D755" s="89"/>
      <c r="E755" s="89"/>
      <c r="F755" s="89"/>
      <c r="G755" s="89"/>
      <c r="H755" s="89"/>
      <c r="I755" s="9"/>
      <c r="J755" s="9"/>
      <c r="K755" s="9"/>
    </row>
    <row r="756" spans="1:11" x14ac:dyDescent="0.2">
      <c r="A756" s="89"/>
      <c r="B756" s="89"/>
      <c r="C756" s="89"/>
      <c r="D756" s="89"/>
      <c r="E756" s="89"/>
      <c r="F756" s="89"/>
      <c r="G756" s="89"/>
      <c r="H756" s="89"/>
      <c r="I756" s="9"/>
      <c r="J756" s="9"/>
      <c r="K756" s="9"/>
    </row>
    <row r="757" spans="1:11" x14ac:dyDescent="0.2">
      <c r="A757" s="89"/>
      <c r="B757" s="89"/>
      <c r="C757" s="89"/>
      <c r="D757" s="89"/>
      <c r="E757" s="89"/>
      <c r="F757" s="89"/>
      <c r="G757" s="89"/>
      <c r="H757" s="89"/>
      <c r="I757" s="9"/>
      <c r="J757" s="9"/>
      <c r="K757" s="9"/>
    </row>
    <row r="758" spans="1:11" x14ac:dyDescent="0.2">
      <c r="A758" s="89"/>
      <c r="B758" s="89"/>
      <c r="C758" s="89"/>
      <c r="D758" s="89"/>
      <c r="E758" s="89"/>
      <c r="F758" s="89"/>
      <c r="G758" s="89"/>
      <c r="H758" s="89"/>
      <c r="I758" s="9"/>
      <c r="J758" s="9"/>
      <c r="K758" s="9"/>
    </row>
    <row r="759" spans="1:11" x14ac:dyDescent="0.2">
      <c r="A759" s="89"/>
      <c r="B759" s="89"/>
      <c r="C759" s="89"/>
      <c r="D759" s="89"/>
      <c r="E759" s="89"/>
      <c r="F759" s="89"/>
      <c r="G759" s="89"/>
      <c r="H759" s="89"/>
      <c r="I759" s="9"/>
      <c r="J759" s="9"/>
      <c r="K759" s="9"/>
    </row>
    <row r="760" spans="1:11" x14ac:dyDescent="0.2">
      <c r="A760" s="89"/>
      <c r="B760" s="89"/>
      <c r="C760" s="89"/>
      <c r="D760" s="89"/>
      <c r="E760" s="89"/>
      <c r="F760" s="89"/>
      <c r="G760" s="89"/>
      <c r="H760" s="89"/>
      <c r="I760" s="9"/>
      <c r="J760" s="9"/>
      <c r="K760" s="9"/>
    </row>
    <row r="761" spans="1:11" x14ac:dyDescent="0.2">
      <c r="A761" s="89"/>
      <c r="B761" s="89"/>
      <c r="C761" s="89"/>
      <c r="D761" s="89"/>
      <c r="E761" s="89"/>
      <c r="F761" s="89"/>
      <c r="G761" s="89"/>
      <c r="H761" s="89"/>
      <c r="I761" s="9"/>
      <c r="J761" s="9"/>
      <c r="K761" s="9"/>
    </row>
    <row r="762" spans="1:11" x14ac:dyDescent="0.2">
      <c r="A762" s="89"/>
      <c r="B762" s="89"/>
      <c r="C762" s="89"/>
      <c r="D762" s="89"/>
      <c r="E762" s="89"/>
      <c r="F762" s="89"/>
      <c r="G762" s="89"/>
      <c r="H762" s="89"/>
      <c r="I762" s="9"/>
      <c r="J762" s="9"/>
      <c r="K762" s="9"/>
    </row>
    <row r="763" spans="1:11" x14ac:dyDescent="0.2">
      <c r="A763" s="89"/>
      <c r="B763" s="89"/>
      <c r="C763" s="89"/>
      <c r="D763" s="89"/>
      <c r="E763" s="89"/>
      <c r="F763" s="89"/>
      <c r="G763" s="89"/>
      <c r="H763" s="89"/>
      <c r="I763" s="9"/>
      <c r="J763" s="9"/>
      <c r="K763" s="9"/>
    </row>
    <row r="764" spans="1:11" x14ac:dyDescent="0.2">
      <c r="A764" s="89"/>
      <c r="B764" s="89"/>
      <c r="C764" s="89"/>
      <c r="D764" s="89"/>
      <c r="E764" s="89"/>
      <c r="F764" s="89"/>
      <c r="G764" s="89"/>
      <c r="H764" s="89"/>
      <c r="I764" s="9"/>
      <c r="J764" s="9"/>
      <c r="K764" s="9"/>
    </row>
    <row r="765" spans="1:11" x14ac:dyDescent="0.2">
      <c r="A765" s="89"/>
      <c r="B765" s="89"/>
      <c r="C765" s="89"/>
      <c r="D765" s="89"/>
      <c r="E765" s="89"/>
      <c r="F765" s="89"/>
      <c r="G765" s="89"/>
      <c r="H765" s="89"/>
      <c r="I765" s="9"/>
      <c r="J765" s="9"/>
      <c r="K765" s="9"/>
    </row>
    <row r="766" spans="1:11" x14ac:dyDescent="0.2">
      <c r="A766" s="89"/>
      <c r="B766" s="89"/>
      <c r="C766" s="89"/>
      <c r="D766" s="89"/>
      <c r="E766" s="89"/>
      <c r="F766" s="89"/>
      <c r="G766" s="89"/>
      <c r="H766" s="89"/>
      <c r="I766" s="9"/>
      <c r="J766" s="9"/>
      <c r="K766" s="9"/>
    </row>
    <row r="767" spans="1:11" x14ac:dyDescent="0.2">
      <c r="A767" s="89"/>
      <c r="B767" s="89"/>
      <c r="C767" s="89"/>
      <c r="D767" s="89"/>
      <c r="E767" s="89"/>
      <c r="F767" s="89"/>
      <c r="G767" s="89"/>
      <c r="H767" s="89"/>
      <c r="I767" s="9"/>
      <c r="J767" s="9"/>
      <c r="K767" s="9"/>
    </row>
    <row r="768" spans="1:11" x14ac:dyDescent="0.2">
      <c r="A768" s="89"/>
      <c r="B768" s="89"/>
      <c r="C768" s="89"/>
      <c r="D768" s="89"/>
      <c r="E768" s="89"/>
      <c r="F768" s="89"/>
      <c r="G768" s="89"/>
      <c r="H768" s="89"/>
      <c r="I768" s="9"/>
      <c r="J768" s="9"/>
      <c r="K768" s="9"/>
    </row>
    <row r="769" spans="1:11" x14ac:dyDescent="0.2">
      <c r="A769" s="89"/>
      <c r="B769" s="89"/>
      <c r="C769" s="89"/>
      <c r="D769" s="89"/>
      <c r="E769" s="89"/>
      <c r="F769" s="89"/>
      <c r="G769" s="89"/>
      <c r="H769" s="89"/>
      <c r="I769" s="9"/>
      <c r="J769" s="9"/>
      <c r="K769" s="9"/>
    </row>
    <row r="770" spans="1:11" x14ac:dyDescent="0.2">
      <c r="A770" s="89"/>
      <c r="B770" s="89"/>
      <c r="C770" s="89"/>
      <c r="D770" s="89"/>
      <c r="E770" s="89"/>
      <c r="F770" s="89"/>
      <c r="G770" s="89"/>
      <c r="H770" s="89"/>
      <c r="I770" s="9"/>
      <c r="J770" s="9"/>
      <c r="K770" s="9"/>
    </row>
    <row r="771" spans="1:11" x14ac:dyDescent="0.2">
      <c r="A771" s="89"/>
      <c r="B771" s="89"/>
      <c r="C771" s="89"/>
      <c r="D771" s="89"/>
      <c r="E771" s="89"/>
      <c r="F771" s="89"/>
      <c r="G771" s="89"/>
      <c r="H771" s="89"/>
      <c r="I771" s="9"/>
      <c r="J771" s="9"/>
      <c r="K771" s="9"/>
    </row>
    <row r="772" spans="1:11" x14ac:dyDescent="0.2">
      <c r="A772" s="89"/>
      <c r="B772" s="89"/>
      <c r="C772" s="89"/>
      <c r="D772" s="89"/>
      <c r="E772" s="89"/>
      <c r="F772" s="89"/>
      <c r="G772" s="89"/>
      <c r="H772" s="89"/>
      <c r="I772" s="9"/>
      <c r="J772" s="9"/>
      <c r="K772" s="9"/>
    </row>
    <row r="773" spans="1:11" x14ac:dyDescent="0.2">
      <c r="A773" s="89"/>
      <c r="B773" s="89"/>
      <c r="C773" s="89"/>
      <c r="D773" s="89"/>
      <c r="E773" s="89"/>
      <c r="F773" s="89"/>
      <c r="G773" s="89"/>
      <c r="H773" s="89"/>
      <c r="I773" s="9"/>
      <c r="J773" s="9"/>
      <c r="K773" s="9"/>
    </row>
    <row r="774" spans="1:11" x14ac:dyDescent="0.2">
      <c r="A774" s="89"/>
      <c r="B774" s="89"/>
      <c r="C774" s="89"/>
      <c r="D774" s="89"/>
      <c r="E774" s="89"/>
      <c r="F774" s="89"/>
      <c r="G774" s="89"/>
      <c r="H774" s="89"/>
      <c r="I774" s="9"/>
      <c r="J774" s="9"/>
      <c r="K774" s="9"/>
    </row>
    <row r="775" spans="1:11" x14ac:dyDescent="0.2">
      <c r="A775" s="89"/>
      <c r="B775" s="89"/>
      <c r="C775" s="89"/>
      <c r="D775" s="89"/>
      <c r="E775" s="89"/>
      <c r="F775" s="89"/>
      <c r="G775" s="89"/>
      <c r="H775" s="89"/>
      <c r="I775" s="9"/>
      <c r="J775" s="9"/>
      <c r="K775" s="9"/>
    </row>
    <row r="776" spans="1:11" x14ac:dyDescent="0.2">
      <c r="A776" s="89"/>
      <c r="B776" s="89"/>
      <c r="C776" s="89"/>
      <c r="D776" s="89"/>
      <c r="E776" s="89"/>
      <c r="F776" s="89"/>
      <c r="G776" s="89"/>
      <c r="H776" s="89"/>
      <c r="I776" s="9"/>
      <c r="J776" s="9"/>
      <c r="K776" s="9"/>
    </row>
    <row r="777" spans="1:11" x14ac:dyDescent="0.2">
      <c r="A777" s="89"/>
      <c r="B777" s="89"/>
      <c r="C777" s="89"/>
      <c r="D777" s="89"/>
      <c r="E777" s="89"/>
      <c r="F777" s="89"/>
      <c r="G777" s="89"/>
      <c r="H777" s="89"/>
      <c r="I777" s="9"/>
      <c r="J777" s="9"/>
      <c r="K777" s="9"/>
    </row>
    <row r="778" spans="1:11" x14ac:dyDescent="0.2">
      <c r="A778" s="89"/>
      <c r="B778" s="89"/>
      <c r="C778" s="89"/>
      <c r="D778" s="89"/>
      <c r="E778" s="89"/>
      <c r="F778" s="89"/>
      <c r="G778" s="89"/>
      <c r="H778" s="89"/>
      <c r="I778" s="9"/>
      <c r="J778" s="9"/>
      <c r="K778" s="9"/>
    </row>
    <row r="779" spans="1:11" x14ac:dyDescent="0.2">
      <c r="A779" s="89"/>
      <c r="B779" s="89"/>
      <c r="C779" s="89"/>
      <c r="D779" s="89"/>
      <c r="E779" s="89"/>
      <c r="F779" s="89"/>
      <c r="G779" s="89"/>
      <c r="H779" s="89"/>
      <c r="I779" s="9"/>
      <c r="J779" s="9"/>
      <c r="K779" s="9"/>
    </row>
    <row r="780" spans="1:11" x14ac:dyDescent="0.2">
      <c r="A780" s="89"/>
      <c r="B780" s="89"/>
      <c r="C780" s="89"/>
      <c r="D780" s="89"/>
      <c r="E780" s="89"/>
      <c r="F780" s="89"/>
      <c r="G780" s="89"/>
      <c r="H780" s="89"/>
      <c r="I780" s="9"/>
      <c r="J780" s="9"/>
      <c r="K780" s="9"/>
    </row>
    <row r="781" spans="1:11" x14ac:dyDescent="0.2">
      <c r="A781" s="89"/>
      <c r="B781" s="89"/>
      <c r="C781" s="89"/>
      <c r="D781" s="89"/>
      <c r="E781" s="89"/>
      <c r="F781" s="89"/>
      <c r="G781" s="89"/>
      <c r="H781" s="89"/>
      <c r="I781" s="9"/>
      <c r="J781" s="9"/>
      <c r="K781" s="9"/>
    </row>
    <row r="782" spans="1:11" x14ac:dyDescent="0.2">
      <c r="A782" s="89"/>
      <c r="B782" s="89"/>
      <c r="C782" s="89"/>
      <c r="D782" s="89"/>
      <c r="E782" s="89"/>
      <c r="F782" s="89"/>
      <c r="G782" s="89"/>
      <c r="H782" s="89"/>
      <c r="I782" s="9"/>
      <c r="J782" s="9"/>
      <c r="K782" s="9"/>
    </row>
    <row r="783" spans="1:11" x14ac:dyDescent="0.2">
      <c r="A783" s="89"/>
      <c r="B783" s="89"/>
      <c r="C783" s="89"/>
      <c r="D783" s="89"/>
      <c r="E783" s="89"/>
      <c r="F783" s="89"/>
      <c r="G783" s="89"/>
      <c r="H783" s="89"/>
      <c r="I783" s="9"/>
      <c r="J783" s="9"/>
      <c r="K783" s="9"/>
    </row>
    <row r="784" spans="1:11" x14ac:dyDescent="0.2">
      <c r="A784" s="89"/>
      <c r="B784" s="89"/>
      <c r="C784" s="89"/>
      <c r="D784" s="89"/>
      <c r="E784" s="89"/>
      <c r="F784" s="89"/>
      <c r="G784" s="89"/>
      <c r="H784" s="89"/>
      <c r="I784" s="9"/>
      <c r="J784" s="9"/>
      <c r="K784" s="9"/>
    </row>
    <row r="785" spans="1:11" x14ac:dyDescent="0.2">
      <c r="A785" s="89"/>
      <c r="B785" s="89"/>
      <c r="C785" s="89"/>
      <c r="D785" s="89"/>
      <c r="E785" s="89"/>
      <c r="F785" s="89"/>
      <c r="G785" s="89"/>
      <c r="H785" s="89"/>
      <c r="I785" s="9"/>
      <c r="J785" s="9"/>
      <c r="K785" s="9"/>
    </row>
    <row r="786" spans="1:11" x14ac:dyDescent="0.2">
      <c r="A786" s="89"/>
      <c r="B786" s="89"/>
      <c r="C786" s="89"/>
      <c r="D786" s="89"/>
      <c r="E786" s="89"/>
      <c r="F786" s="89"/>
      <c r="G786" s="89"/>
      <c r="H786" s="89"/>
      <c r="I786" s="9"/>
      <c r="J786" s="9"/>
      <c r="K786" s="9"/>
    </row>
    <row r="787" spans="1:11" x14ac:dyDescent="0.2">
      <c r="A787" s="89"/>
      <c r="B787" s="89"/>
      <c r="C787" s="89"/>
      <c r="D787" s="89"/>
      <c r="E787" s="89"/>
      <c r="F787" s="89"/>
      <c r="G787" s="89"/>
      <c r="H787" s="89"/>
      <c r="I787" s="9"/>
      <c r="J787" s="9"/>
      <c r="K787" s="9"/>
    </row>
    <row r="788" spans="1:11" x14ac:dyDescent="0.2">
      <c r="A788" s="89"/>
      <c r="B788" s="89"/>
      <c r="C788" s="89"/>
      <c r="D788" s="89"/>
      <c r="E788" s="89"/>
      <c r="F788" s="89"/>
      <c r="G788" s="89"/>
      <c r="H788" s="89"/>
      <c r="I788" s="9"/>
      <c r="J788" s="9"/>
      <c r="K788" s="9"/>
    </row>
    <row r="789" spans="1:11" x14ac:dyDescent="0.2">
      <c r="A789" s="89"/>
      <c r="B789" s="89"/>
      <c r="C789" s="89"/>
      <c r="D789" s="89"/>
      <c r="E789" s="89"/>
      <c r="F789" s="89"/>
      <c r="G789" s="89"/>
      <c r="H789" s="89"/>
      <c r="I789" s="9"/>
      <c r="J789" s="9"/>
      <c r="K789" s="9"/>
    </row>
    <row r="790" spans="1:11" x14ac:dyDescent="0.2">
      <c r="A790" s="89"/>
      <c r="B790" s="89"/>
      <c r="C790" s="89"/>
      <c r="D790" s="89"/>
      <c r="E790" s="89"/>
      <c r="F790" s="89"/>
      <c r="G790" s="89"/>
      <c r="H790" s="89"/>
      <c r="I790" s="9"/>
      <c r="J790" s="9"/>
      <c r="K790" s="9"/>
    </row>
    <row r="791" spans="1:11" x14ac:dyDescent="0.2">
      <c r="A791" s="89"/>
      <c r="B791" s="89"/>
      <c r="C791" s="89"/>
      <c r="D791" s="89"/>
      <c r="E791" s="89"/>
      <c r="F791" s="89"/>
      <c r="G791" s="89"/>
      <c r="H791" s="89"/>
      <c r="I791" s="9"/>
      <c r="J791" s="9"/>
      <c r="K791" s="9"/>
    </row>
    <row r="792" spans="1:11" x14ac:dyDescent="0.2">
      <c r="A792" s="89"/>
      <c r="B792" s="89"/>
      <c r="C792" s="89"/>
      <c r="D792" s="89"/>
      <c r="E792" s="89"/>
      <c r="F792" s="89"/>
      <c r="G792" s="89"/>
      <c r="H792" s="89"/>
      <c r="I792" s="9"/>
      <c r="J792" s="9"/>
      <c r="K792" s="9"/>
    </row>
    <row r="793" spans="1:11" x14ac:dyDescent="0.2">
      <c r="A793" s="89"/>
      <c r="B793" s="89"/>
      <c r="C793" s="89"/>
      <c r="D793" s="89"/>
      <c r="E793" s="89"/>
      <c r="F793" s="89"/>
      <c r="G793" s="89"/>
      <c r="H793" s="89"/>
      <c r="I793" s="9"/>
      <c r="J793" s="9"/>
      <c r="K793" s="9"/>
    </row>
    <row r="794" spans="1:11" x14ac:dyDescent="0.2">
      <c r="A794" s="89"/>
      <c r="B794" s="89"/>
      <c r="C794" s="89"/>
      <c r="D794" s="89"/>
      <c r="E794" s="89"/>
      <c r="F794" s="89"/>
      <c r="G794" s="89"/>
      <c r="H794" s="89"/>
      <c r="I794" s="9"/>
      <c r="J794" s="9"/>
      <c r="K794" s="9"/>
    </row>
    <row r="795" spans="1:11" x14ac:dyDescent="0.2">
      <c r="A795" s="89"/>
      <c r="B795" s="89"/>
      <c r="C795" s="89"/>
      <c r="D795" s="89"/>
      <c r="E795" s="89"/>
      <c r="F795" s="89"/>
      <c r="G795" s="89"/>
      <c r="H795" s="89"/>
      <c r="I795" s="9"/>
      <c r="J795" s="9"/>
      <c r="K795" s="9"/>
    </row>
    <row r="796" spans="1:11" x14ac:dyDescent="0.2">
      <c r="A796" s="89"/>
      <c r="B796" s="89"/>
      <c r="C796" s="89"/>
      <c r="D796" s="89"/>
      <c r="E796" s="89"/>
      <c r="F796" s="89"/>
      <c r="G796" s="89"/>
      <c r="H796" s="89"/>
      <c r="I796" s="9"/>
      <c r="J796" s="9"/>
      <c r="K796" s="9"/>
    </row>
    <row r="797" spans="1:11" x14ac:dyDescent="0.2">
      <c r="A797" s="89"/>
      <c r="B797" s="89"/>
      <c r="C797" s="89"/>
      <c r="D797" s="89"/>
      <c r="E797" s="89"/>
      <c r="F797" s="89"/>
      <c r="G797" s="89"/>
      <c r="H797" s="89"/>
      <c r="I797" s="9"/>
      <c r="J797" s="9"/>
      <c r="K797" s="9"/>
    </row>
    <row r="798" spans="1:11" x14ac:dyDescent="0.2">
      <c r="A798" s="89"/>
      <c r="B798" s="89"/>
      <c r="C798" s="89"/>
      <c r="D798" s="89"/>
      <c r="E798" s="89"/>
      <c r="F798" s="89"/>
      <c r="G798" s="89"/>
      <c r="H798" s="89"/>
      <c r="I798" s="9"/>
      <c r="J798" s="9"/>
      <c r="K798" s="9"/>
    </row>
    <row r="799" spans="1:11" x14ac:dyDescent="0.2">
      <c r="A799" s="89"/>
      <c r="B799" s="89"/>
      <c r="C799" s="89"/>
      <c r="D799" s="89"/>
      <c r="E799" s="89"/>
      <c r="F799" s="89"/>
      <c r="G799" s="89"/>
      <c r="H799" s="89"/>
      <c r="I799" s="9"/>
      <c r="J799" s="9"/>
      <c r="K799" s="9"/>
    </row>
    <row r="800" spans="1:11" x14ac:dyDescent="0.2">
      <c r="A800" s="89"/>
      <c r="B800" s="89"/>
      <c r="C800" s="89"/>
      <c r="D800" s="89"/>
      <c r="E800" s="89"/>
      <c r="F800" s="89"/>
      <c r="G800" s="89"/>
      <c r="H800" s="89"/>
      <c r="I800" s="9"/>
      <c r="J800" s="9"/>
      <c r="K800" s="9"/>
    </row>
    <row r="801" spans="1:11" x14ac:dyDescent="0.2">
      <c r="A801" s="89"/>
      <c r="B801" s="89"/>
      <c r="C801" s="89"/>
      <c r="D801" s="89"/>
      <c r="E801" s="89"/>
      <c r="F801" s="89"/>
      <c r="G801" s="89"/>
      <c r="H801" s="89"/>
      <c r="I801" s="9"/>
      <c r="J801" s="9"/>
      <c r="K801" s="9"/>
    </row>
    <row r="802" spans="1:11" x14ac:dyDescent="0.2">
      <c r="A802" s="89"/>
      <c r="B802" s="89"/>
      <c r="C802" s="89"/>
      <c r="D802" s="89"/>
      <c r="E802" s="89"/>
      <c r="F802" s="89"/>
      <c r="G802" s="89"/>
      <c r="H802" s="89"/>
      <c r="I802" s="9"/>
      <c r="J802" s="9"/>
      <c r="K802" s="9"/>
    </row>
    <row r="803" spans="1:11" x14ac:dyDescent="0.2">
      <c r="A803" s="89"/>
      <c r="B803" s="89"/>
      <c r="C803" s="89"/>
      <c r="D803" s="89"/>
      <c r="E803" s="89"/>
      <c r="F803" s="89"/>
      <c r="G803" s="89"/>
      <c r="H803" s="89"/>
      <c r="I803" s="9"/>
      <c r="J803" s="9"/>
      <c r="K803" s="9"/>
    </row>
    <row r="804" spans="1:11" x14ac:dyDescent="0.2">
      <c r="A804" s="89"/>
      <c r="B804" s="89"/>
      <c r="C804" s="89"/>
      <c r="D804" s="89"/>
      <c r="E804" s="89"/>
      <c r="F804" s="89"/>
      <c r="G804" s="89"/>
      <c r="H804" s="89"/>
      <c r="I804" s="9"/>
      <c r="J804" s="9"/>
      <c r="K804" s="9"/>
    </row>
    <row r="805" spans="1:11" x14ac:dyDescent="0.2">
      <c r="A805" s="89"/>
      <c r="B805" s="89"/>
      <c r="C805" s="89"/>
      <c r="D805" s="89"/>
      <c r="E805" s="89"/>
      <c r="F805" s="89"/>
      <c r="G805" s="89"/>
      <c r="H805" s="89"/>
      <c r="I805" s="9"/>
      <c r="J805" s="9"/>
      <c r="K805" s="9"/>
    </row>
    <row r="806" spans="1:11" x14ac:dyDescent="0.2">
      <c r="A806" s="89"/>
      <c r="B806" s="89"/>
      <c r="C806" s="89"/>
      <c r="D806" s="89"/>
      <c r="E806" s="89"/>
      <c r="F806" s="89"/>
      <c r="G806" s="89"/>
      <c r="H806" s="89"/>
      <c r="I806" s="9"/>
      <c r="J806" s="9"/>
      <c r="K806" s="9"/>
    </row>
    <row r="807" spans="1:11" x14ac:dyDescent="0.2">
      <c r="A807" s="89"/>
      <c r="B807" s="89"/>
      <c r="C807" s="89"/>
      <c r="D807" s="89"/>
      <c r="E807" s="89"/>
      <c r="F807" s="89"/>
      <c r="G807" s="89"/>
      <c r="H807" s="89"/>
      <c r="I807" s="9"/>
      <c r="J807" s="9"/>
      <c r="K807" s="9"/>
    </row>
    <row r="808" spans="1:11" x14ac:dyDescent="0.2">
      <c r="A808" s="89"/>
      <c r="B808" s="89"/>
      <c r="C808" s="89"/>
      <c r="D808" s="89"/>
      <c r="E808" s="89"/>
      <c r="F808" s="89"/>
      <c r="G808" s="89"/>
      <c r="H808" s="89"/>
      <c r="I808" s="9"/>
      <c r="J808" s="9"/>
      <c r="K808" s="9"/>
    </row>
    <row r="809" spans="1:11" x14ac:dyDescent="0.2">
      <c r="A809" s="89"/>
      <c r="B809" s="89"/>
      <c r="C809" s="89"/>
      <c r="D809" s="89"/>
      <c r="E809" s="89"/>
      <c r="F809" s="89"/>
      <c r="G809" s="89"/>
      <c r="H809" s="89"/>
      <c r="I809" s="9"/>
      <c r="J809" s="9"/>
      <c r="K809" s="9"/>
    </row>
    <row r="810" spans="1:11" x14ac:dyDescent="0.2">
      <c r="A810" s="89"/>
      <c r="B810" s="89"/>
      <c r="C810" s="89"/>
      <c r="D810" s="89"/>
      <c r="E810" s="89"/>
      <c r="F810" s="89"/>
      <c r="G810" s="89"/>
      <c r="H810" s="89"/>
      <c r="I810" s="9"/>
      <c r="J810" s="9"/>
      <c r="K810" s="9"/>
    </row>
    <row r="811" spans="1:11" x14ac:dyDescent="0.2">
      <c r="A811" s="89"/>
      <c r="B811" s="89"/>
      <c r="C811" s="89"/>
      <c r="D811" s="89"/>
      <c r="E811" s="89"/>
      <c r="F811" s="89"/>
      <c r="G811" s="89"/>
      <c r="H811" s="89"/>
      <c r="I811" s="9"/>
      <c r="J811" s="9"/>
      <c r="K811" s="9"/>
    </row>
    <row r="812" spans="1:11" x14ac:dyDescent="0.2">
      <c r="A812" s="89"/>
      <c r="B812" s="89"/>
      <c r="C812" s="89"/>
      <c r="D812" s="89"/>
      <c r="E812" s="89"/>
      <c r="F812" s="89"/>
      <c r="G812" s="89"/>
      <c r="H812" s="89"/>
      <c r="I812" s="9"/>
      <c r="J812" s="9"/>
      <c r="K812" s="9"/>
    </row>
    <row r="813" spans="1:11" x14ac:dyDescent="0.2">
      <c r="A813" s="89"/>
      <c r="B813" s="89"/>
      <c r="C813" s="89"/>
      <c r="D813" s="89"/>
      <c r="E813" s="89"/>
      <c r="F813" s="89"/>
      <c r="G813" s="89"/>
      <c r="H813" s="89"/>
      <c r="I813" s="9"/>
      <c r="J813" s="9"/>
      <c r="K813" s="9"/>
    </row>
    <row r="814" spans="1:11" x14ac:dyDescent="0.2">
      <c r="A814" s="89"/>
      <c r="B814" s="89"/>
      <c r="C814" s="89"/>
      <c r="D814" s="89"/>
      <c r="E814" s="89"/>
      <c r="F814" s="89"/>
      <c r="G814" s="89"/>
      <c r="H814" s="89"/>
      <c r="I814" s="9"/>
      <c r="J814" s="9"/>
      <c r="K814" s="9"/>
    </row>
    <row r="815" spans="1:11" x14ac:dyDescent="0.2">
      <c r="A815" s="89"/>
      <c r="B815" s="89"/>
      <c r="C815" s="89"/>
      <c r="D815" s="89"/>
      <c r="E815" s="89"/>
      <c r="F815" s="89"/>
      <c r="G815" s="89"/>
      <c r="H815" s="89"/>
      <c r="I815" s="9"/>
      <c r="J815" s="9"/>
      <c r="K815" s="9"/>
    </row>
    <row r="816" spans="1:11" x14ac:dyDescent="0.2">
      <c r="A816" s="89"/>
      <c r="B816" s="89"/>
      <c r="C816" s="89"/>
      <c r="D816" s="89"/>
      <c r="E816" s="89"/>
      <c r="F816" s="89"/>
      <c r="G816" s="89"/>
      <c r="H816" s="89"/>
      <c r="I816" s="9"/>
      <c r="J816" s="9"/>
      <c r="K816" s="9"/>
    </row>
    <row r="817" spans="1:11" x14ac:dyDescent="0.2">
      <c r="A817" s="89"/>
      <c r="B817" s="89"/>
      <c r="C817" s="89"/>
      <c r="D817" s="89"/>
      <c r="E817" s="89"/>
      <c r="F817" s="89"/>
      <c r="G817" s="89"/>
      <c r="H817" s="89"/>
      <c r="I817" s="9"/>
      <c r="J817" s="9"/>
      <c r="K817" s="9"/>
    </row>
    <row r="818" spans="1:11" x14ac:dyDescent="0.2">
      <c r="A818" s="89"/>
      <c r="B818" s="89"/>
      <c r="C818" s="89"/>
      <c r="D818" s="89"/>
      <c r="E818" s="89"/>
      <c r="F818" s="89"/>
      <c r="G818" s="89"/>
      <c r="H818" s="89"/>
      <c r="I818" s="9"/>
      <c r="J818" s="9"/>
      <c r="K818" s="9"/>
    </row>
    <row r="819" spans="1:11" x14ac:dyDescent="0.2">
      <c r="A819" s="89"/>
      <c r="B819" s="89"/>
      <c r="C819" s="89"/>
      <c r="D819" s="89"/>
      <c r="E819" s="89"/>
      <c r="F819" s="89"/>
      <c r="G819" s="89"/>
      <c r="H819" s="89"/>
      <c r="I819" s="9"/>
      <c r="J819" s="9"/>
      <c r="K819" s="9"/>
    </row>
    <row r="820" spans="1:11" x14ac:dyDescent="0.2">
      <c r="A820" s="89"/>
      <c r="B820" s="89"/>
      <c r="C820" s="89"/>
      <c r="D820" s="89"/>
      <c r="E820" s="89"/>
      <c r="F820" s="89"/>
      <c r="G820" s="89"/>
      <c r="H820" s="89"/>
      <c r="I820" s="9"/>
      <c r="J820" s="9"/>
      <c r="K820" s="9"/>
    </row>
    <row r="821" spans="1:11" x14ac:dyDescent="0.2">
      <c r="A821" s="89"/>
      <c r="B821" s="89"/>
      <c r="C821" s="89"/>
      <c r="D821" s="89"/>
      <c r="E821" s="89"/>
      <c r="F821" s="89"/>
      <c r="G821" s="89"/>
      <c r="H821" s="89"/>
      <c r="I821" s="9"/>
      <c r="J821" s="9"/>
      <c r="K821" s="9"/>
    </row>
    <row r="822" spans="1:11" x14ac:dyDescent="0.2">
      <c r="A822" s="89"/>
      <c r="B822" s="89"/>
      <c r="C822" s="89"/>
      <c r="D822" s="89"/>
      <c r="E822" s="89"/>
      <c r="F822" s="89"/>
      <c r="G822" s="89"/>
      <c r="H822" s="89"/>
      <c r="I822" s="9"/>
      <c r="J822" s="9"/>
      <c r="K822" s="9"/>
    </row>
    <row r="823" spans="1:11" x14ac:dyDescent="0.2">
      <c r="A823" s="89"/>
      <c r="B823" s="89"/>
      <c r="C823" s="89"/>
      <c r="D823" s="89"/>
      <c r="E823" s="89"/>
      <c r="F823" s="89"/>
      <c r="G823" s="89"/>
      <c r="H823" s="89"/>
      <c r="I823" s="9"/>
      <c r="J823" s="9"/>
      <c r="K823" s="9"/>
    </row>
    <row r="824" spans="1:11" x14ac:dyDescent="0.2">
      <c r="A824" s="89"/>
      <c r="B824" s="89"/>
      <c r="C824" s="89"/>
      <c r="D824" s="89"/>
      <c r="E824" s="89"/>
      <c r="F824" s="89"/>
      <c r="G824" s="89"/>
      <c r="H824" s="89"/>
      <c r="I824" s="9"/>
      <c r="J824" s="9"/>
      <c r="K824" s="9"/>
    </row>
    <row r="825" spans="1:11" x14ac:dyDescent="0.2">
      <c r="A825" s="89"/>
      <c r="B825" s="89"/>
      <c r="C825" s="89"/>
      <c r="D825" s="89"/>
      <c r="E825" s="89"/>
      <c r="F825" s="89"/>
      <c r="G825" s="89"/>
      <c r="H825" s="89"/>
      <c r="I825" s="9"/>
      <c r="J825" s="9"/>
      <c r="K825" s="9"/>
    </row>
    <row r="826" spans="1:11" x14ac:dyDescent="0.2">
      <c r="A826" s="89"/>
      <c r="B826" s="89"/>
      <c r="C826" s="89"/>
      <c r="D826" s="89"/>
      <c r="E826" s="89"/>
      <c r="F826" s="89"/>
      <c r="G826" s="89"/>
      <c r="H826" s="89"/>
      <c r="I826" s="9"/>
      <c r="J826" s="9"/>
      <c r="K826" s="9"/>
    </row>
    <row r="827" spans="1:11" x14ac:dyDescent="0.2">
      <c r="A827" s="89"/>
      <c r="B827" s="89"/>
      <c r="C827" s="89"/>
      <c r="D827" s="89"/>
      <c r="E827" s="89"/>
      <c r="F827" s="89"/>
      <c r="G827" s="89"/>
      <c r="H827" s="89"/>
      <c r="I827" s="9"/>
      <c r="J827" s="9"/>
      <c r="K827" s="9"/>
    </row>
    <row r="828" spans="1:11" x14ac:dyDescent="0.2">
      <c r="A828" s="89"/>
      <c r="B828" s="89"/>
      <c r="C828" s="89"/>
      <c r="D828" s="89"/>
      <c r="E828" s="89"/>
      <c r="F828" s="89"/>
      <c r="G828" s="89"/>
      <c r="H828" s="89"/>
      <c r="I828" s="9"/>
      <c r="J828" s="9"/>
      <c r="K828" s="9"/>
    </row>
    <row r="829" spans="1:11" x14ac:dyDescent="0.2">
      <c r="A829" s="89"/>
      <c r="B829" s="89"/>
      <c r="C829" s="89"/>
      <c r="D829" s="89"/>
      <c r="E829" s="89"/>
      <c r="F829" s="89"/>
      <c r="G829" s="89"/>
      <c r="H829" s="89"/>
      <c r="I829" s="9"/>
      <c r="J829" s="9"/>
      <c r="K829" s="9"/>
    </row>
    <row r="830" spans="1:11" x14ac:dyDescent="0.2">
      <c r="A830" s="89"/>
      <c r="B830" s="89"/>
      <c r="C830" s="89"/>
      <c r="D830" s="89"/>
      <c r="E830" s="89"/>
      <c r="F830" s="89"/>
      <c r="G830" s="89"/>
      <c r="H830" s="89"/>
      <c r="I830" s="9"/>
      <c r="J830" s="9"/>
      <c r="K830" s="9"/>
    </row>
    <row r="831" spans="1:11" x14ac:dyDescent="0.2">
      <c r="A831" s="89"/>
      <c r="B831" s="89"/>
      <c r="C831" s="89"/>
      <c r="D831" s="89"/>
      <c r="E831" s="89"/>
      <c r="F831" s="89"/>
      <c r="G831" s="89"/>
      <c r="H831" s="89"/>
      <c r="I831" s="9"/>
      <c r="J831" s="9"/>
      <c r="K831" s="9"/>
    </row>
    <row r="832" spans="1:11" x14ac:dyDescent="0.2">
      <c r="A832" s="89"/>
      <c r="B832" s="89"/>
      <c r="C832" s="89"/>
      <c r="D832" s="89"/>
      <c r="E832" s="89"/>
      <c r="F832" s="89"/>
      <c r="G832" s="89"/>
      <c r="H832" s="89"/>
      <c r="I832" s="9"/>
      <c r="J832" s="9"/>
      <c r="K832" s="9"/>
    </row>
    <row r="833" spans="1:11" x14ac:dyDescent="0.2">
      <c r="A833" s="89"/>
      <c r="B833" s="89"/>
      <c r="C833" s="89"/>
      <c r="D833" s="89"/>
      <c r="E833" s="89"/>
      <c r="F833" s="89"/>
      <c r="G833" s="89"/>
      <c r="H833" s="89"/>
      <c r="I833" s="9"/>
      <c r="J833" s="9"/>
      <c r="K833" s="9"/>
    </row>
    <row r="834" spans="1:11" x14ac:dyDescent="0.2">
      <c r="A834" s="89"/>
      <c r="B834" s="89"/>
      <c r="C834" s="89"/>
      <c r="D834" s="89"/>
      <c r="E834" s="89"/>
      <c r="F834" s="89"/>
      <c r="G834" s="89"/>
      <c r="H834" s="89"/>
      <c r="I834" s="9"/>
      <c r="J834" s="9"/>
      <c r="K834" s="9"/>
    </row>
    <row r="835" spans="1:11" x14ac:dyDescent="0.2">
      <c r="A835" s="89"/>
      <c r="B835" s="89"/>
      <c r="C835" s="89"/>
      <c r="D835" s="89"/>
      <c r="E835" s="89"/>
      <c r="F835" s="89"/>
      <c r="G835" s="89"/>
      <c r="H835" s="89"/>
      <c r="I835" s="9"/>
      <c r="J835" s="9"/>
      <c r="K835" s="9"/>
    </row>
    <row r="836" spans="1:11" x14ac:dyDescent="0.2">
      <c r="A836" s="89"/>
      <c r="B836" s="89"/>
      <c r="C836" s="89"/>
      <c r="D836" s="89"/>
      <c r="E836" s="89"/>
      <c r="F836" s="89"/>
      <c r="G836" s="89"/>
      <c r="H836" s="89"/>
      <c r="I836" s="9"/>
      <c r="J836" s="9"/>
      <c r="K836" s="9"/>
    </row>
    <row r="837" spans="1:11" x14ac:dyDescent="0.2">
      <c r="A837" s="89"/>
      <c r="B837" s="89"/>
      <c r="C837" s="89"/>
      <c r="D837" s="89"/>
      <c r="E837" s="89"/>
      <c r="F837" s="89"/>
      <c r="G837" s="89"/>
      <c r="H837" s="89"/>
      <c r="I837" s="9"/>
      <c r="J837" s="9"/>
      <c r="K837" s="9"/>
    </row>
    <row r="838" spans="1:11" x14ac:dyDescent="0.2">
      <c r="A838" s="89"/>
      <c r="B838" s="89"/>
      <c r="C838" s="89"/>
      <c r="D838" s="89"/>
      <c r="E838" s="89"/>
      <c r="F838" s="89"/>
      <c r="G838" s="89"/>
      <c r="H838" s="89"/>
      <c r="I838" s="9"/>
      <c r="J838" s="9"/>
      <c r="K838" s="9"/>
    </row>
    <row r="839" spans="1:11" x14ac:dyDescent="0.2">
      <c r="A839" s="89"/>
      <c r="B839" s="89"/>
      <c r="C839" s="89"/>
      <c r="D839" s="89"/>
      <c r="E839" s="89"/>
      <c r="F839" s="89"/>
      <c r="G839" s="89"/>
      <c r="H839" s="89"/>
      <c r="I839" s="9"/>
      <c r="J839" s="9"/>
      <c r="K839" s="9"/>
    </row>
    <row r="840" spans="1:11" x14ac:dyDescent="0.2">
      <c r="A840" s="89"/>
      <c r="B840" s="89"/>
      <c r="C840" s="89"/>
      <c r="D840" s="89"/>
      <c r="E840" s="89"/>
      <c r="F840" s="89"/>
      <c r="G840" s="89"/>
      <c r="H840" s="89"/>
      <c r="I840" s="9"/>
      <c r="J840" s="9"/>
      <c r="K840" s="9"/>
    </row>
    <row r="841" spans="1:11" x14ac:dyDescent="0.2">
      <c r="A841" s="89"/>
      <c r="B841" s="89"/>
      <c r="C841" s="89"/>
      <c r="D841" s="89"/>
      <c r="E841" s="89"/>
      <c r="F841" s="89"/>
      <c r="G841" s="89"/>
      <c r="H841" s="89"/>
      <c r="I841" s="9"/>
      <c r="J841" s="9"/>
      <c r="K841" s="9"/>
    </row>
    <row r="842" spans="1:11" x14ac:dyDescent="0.2">
      <c r="A842" s="89"/>
      <c r="B842" s="89"/>
      <c r="C842" s="89"/>
      <c r="D842" s="89"/>
      <c r="E842" s="89"/>
      <c r="F842" s="89"/>
      <c r="G842" s="89"/>
      <c r="H842" s="89"/>
      <c r="I842" s="9"/>
      <c r="J842" s="9"/>
      <c r="K842" s="9"/>
    </row>
    <row r="843" spans="1:11" x14ac:dyDescent="0.2">
      <c r="A843" s="89"/>
      <c r="B843" s="89"/>
      <c r="C843" s="89"/>
      <c r="D843" s="89"/>
      <c r="E843" s="89"/>
      <c r="F843" s="89"/>
      <c r="G843" s="89"/>
      <c r="H843" s="89"/>
      <c r="I843" s="9"/>
      <c r="J843" s="9"/>
      <c r="K843" s="9"/>
    </row>
    <row r="844" spans="1:11" x14ac:dyDescent="0.2">
      <c r="A844" s="89"/>
      <c r="B844" s="89"/>
      <c r="C844" s="89"/>
      <c r="D844" s="89"/>
      <c r="E844" s="89"/>
      <c r="F844" s="89"/>
      <c r="G844" s="89"/>
      <c r="H844" s="89"/>
      <c r="I844" s="9"/>
      <c r="J844" s="9"/>
      <c r="K844" s="9"/>
    </row>
    <row r="845" spans="1:11" x14ac:dyDescent="0.2">
      <c r="A845" s="89"/>
      <c r="B845" s="89"/>
      <c r="C845" s="89"/>
      <c r="D845" s="89"/>
      <c r="E845" s="89"/>
      <c r="F845" s="89"/>
      <c r="G845" s="89"/>
      <c r="H845" s="89"/>
      <c r="I845" s="9"/>
      <c r="J845" s="9"/>
      <c r="K845" s="9"/>
    </row>
    <row r="846" spans="1:11" x14ac:dyDescent="0.2">
      <c r="A846" s="89"/>
      <c r="B846" s="89"/>
      <c r="C846" s="89"/>
      <c r="D846" s="89"/>
      <c r="E846" s="89"/>
      <c r="F846" s="89"/>
      <c r="G846" s="89"/>
      <c r="H846" s="89"/>
      <c r="I846" s="9"/>
      <c r="J846" s="9"/>
      <c r="K846" s="9"/>
    </row>
    <row r="847" spans="1:11" x14ac:dyDescent="0.2">
      <c r="A847" s="89"/>
      <c r="B847" s="89"/>
      <c r="C847" s="89"/>
      <c r="D847" s="89"/>
      <c r="E847" s="89"/>
      <c r="F847" s="89"/>
      <c r="G847" s="89"/>
      <c r="H847" s="89"/>
      <c r="I847" s="9"/>
      <c r="J847" s="9"/>
      <c r="K847" s="9"/>
    </row>
    <row r="848" spans="1:11" x14ac:dyDescent="0.2">
      <c r="A848" s="89"/>
      <c r="B848" s="89"/>
      <c r="C848" s="89"/>
      <c r="D848" s="89"/>
      <c r="E848" s="89"/>
      <c r="F848" s="89"/>
      <c r="G848" s="89"/>
      <c r="H848" s="89"/>
      <c r="I848" s="9"/>
      <c r="J848" s="9"/>
      <c r="K848" s="9"/>
    </row>
    <row r="849" spans="1:11" x14ac:dyDescent="0.2">
      <c r="A849" s="89"/>
      <c r="B849" s="89"/>
      <c r="C849" s="89"/>
      <c r="D849" s="89"/>
      <c r="E849" s="89"/>
      <c r="F849" s="89"/>
      <c r="G849" s="89"/>
      <c r="H849" s="89"/>
      <c r="I849" s="9"/>
      <c r="J849" s="9"/>
      <c r="K849" s="9"/>
    </row>
    <row r="850" spans="1:11" x14ac:dyDescent="0.2">
      <c r="A850" s="89"/>
      <c r="B850" s="89"/>
      <c r="C850" s="89"/>
      <c r="D850" s="89"/>
      <c r="E850" s="89"/>
      <c r="F850" s="89"/>
      <c r="G850" s="89"/>
      <c r="H850" s="89"/>
      <c r="I850" s="9"/>
      <c r="J850" s="9"/>
      <c r="K850" s="9"/>
    </row>
    <row r="851" spans="1:11" x14ac:dyDescent="0.2">
      <c r="A851" s="89"/>
      <c r="B851" s="89"/>
      <c r="C851" s="89"/>
      <c r="D851" s="89"/>
      <c r="E851" s="89"/>
      <c r="F851" s="89"/>
      <c r="G851" s="89"/>
      <c r="H851" s="89"/>
      <c r="I851" s="9"/>
      <c r="J851" s="9"/>
      <c r="K851" s="9"/>
    </row>
    <row r="852" spans="1:11" x14ac:dyDescent="0.2">
      <c r="A852" s="89"/>
      <c r="B852" s="89"/>
      <c r="C852" s="89"/>
      <c r="D852" s="89"/>
      <c r="E852" s="89"/>
      <c r="F852" s="89"/>
      <c r="G852" s="89"/>
      <c r="H852" s="89"/>
      <c r="I852" s="9"/>
      <c r="J852" s="9"/>
      <c r="K852" s="9"/>
    </row>
    <row r="853" spans="1:11" x14ac:dyDescent="0.2">
      <c r="A853" s="89"/>
      <c r="B853" s="89"/>
      <c r="C853" s="89"/>
      <c r="D853" s="89"/>
      <c r="E853" s="89"/>
      <c r="F853" s="89"/>
      <c r="G853" s="89"/>
      <c r="H853" s="89"/>
      <c r="I853" s="9"/>
      <c r="J853" s="9"/>
      <c r="K853" s="9"/>
    </row>
    <row r="854" spans="1:11" x14ac:dyDescent="0.2">
      <c r="A854" s="89"/>
      <c r="B854" s="89"/>
      <c r="C854" s="89"/>
      <c r="D854" s="89"/>
      <c r="E854" s="89"/>
      <c r="F854" s="89"/>
      <c r="G854" s="89"/>
      <c r="H854" s="89"/>
      <c r="I854" s="9"/>
      <c r="J854" s="9"/>
      <c r="K854" s="9"/>
    </row>
    <row r="855" spans="1:11" x14ac:dyDescent="0.2">
      <c r="A855" s="89"/>
      <c r="B855" s="89"/>
      <c r="C855" s="89"/>
      <c r="D855" s="89"/>
      <c r="E855" s="89"/>
      <c r="F855" s="89"/>
      <c r="G855" s="89"/>
      <c r="H855" s="89"/>
      <c r="I855" s="9"/>
      <c r="J855" s="9"/>
      <c r="K855" s="9"/>
    </row>
    <row r="856" spans="1:11" x14ac:dyDescent="0.2">
      <c r="A856" s="89"/>
      <c r="B856" s="89"/>
      <c r="C856" s="89"/>
      <c r="D856" s="89"/>
      <c r="E856" s="89"/>
      <c r="F856" s="89"/>
      <c r="G856" s="89"/>
      <c r="H856" s="89"/>
      <c r="I856" s="9"/>
      <c r="J856" s="9"/>
      <c r="K856" s="9"/>
    </row>
    <row r="857" spans="1:11" x14ac:dyDescent="0.2">
      <c r="A857" s="89"/>
      <c r="B857" s="89"/>
      <c r="C857" s="89"/>
      <c r="D857" s="89"/>
      <c r="E857" s="89"/>
      <c r="F857" s="89"/>
      <c r="G857" s="89"/>
      <c r="H857" s="89"/>
      <c r="I857" s="9"/>
      <c r="J857" s="9"/>
      <c r="K857" s="9"/>
    </row>
    <row r="858" spans="1:11" x14ac:dyDescent="0.2">
      <c r="A858" s="89"/>
      <c r="B858" s="89"/>
      <c r="C858" s="89"/>
      <c r="D858" s="89"/>
      <c r="E858" s="89"/>
      <c r="F858" s="89"/>
      <c r="G858" s="89"/>
      <c r="H858" s="89"/>
      <c r="I858" s="9"/>
      <c r="J858" s="9"/>
      <c r="K858" s="9"/>
    </row>
    <row r="859" spans="1:11" x14ac:dyDescent="0.2">
      <c r="A859" s="89"/>
      <c r="B859" s="89"/>
      <c r="C859" s="89"/>
      <c r="D859" s="89"/>
      <c r="E859" s="89"/>
      <c r="F859" s="89"/>
      <c r="G859" s="89"/>
      <c r="H859" s="89"/>
      <c r="I859" s="9"/>
      <c r="J859" s="9"/>
      <c r="K859" s="9"/>
    </row>
    <row r="860" spans="1:11" x14ac:dyDescent="0.2">
      <c r="A860" s="89"/>
      <c r="B860" s="89"/>
      <c r="C860" s="89"/>
      <c r="D860" s="89"/>
      <c r="E860" s="89"/>
      <c r="F860" s="89"/>
      <c r="G860" s="89"/>
      <c r="H860" s="89"/>
      <c r="I860" s="9"/>
      <c r="J860" s="9"/>
      <c r="K860" s="9"/>
    </row>
    <row r="861" spans="1:11" x14ac:dyDescent="0.2">
      <c r="A861" s="89"/>
      <c r="B861" s="89"/>
      <c r="C861" s="89"/>
      <c r="D861" s="89"/>
      <c r="E861" s="89"/>
      <c r="F861" s="89"/>
      <c r="G861" s="89"/>
      <c r="H861" s="89"/>
      <c r="I861" s="9"/>
      <c r="J861" s="9"/>
      <c r="K861" s="9"/>
    </row>
    <row r="862" spans="1:11" x14ac:dyDescent="0.2">
      <c r="A862" s="89"/>
      <c r="B862" s="89"/>
      <c r="C862" s="89"/>
      <c r="D862" s="89"/>
      <c r="E862" s="89"/>
      <c r="F862" s="89"/>
      <c r="G862" s="89"/>
      <c r="H862" s="89"/>
      <c r="I862" s="9"/>
      <c r="J862" s="9"/>
      <c r="K862" s="9"/>
    </row>
    <row r="863" spans="1:11" x14ac:dyDescent="0.2">
      <c r="A863" s="89"/>
      <c r="B863" s="89"/>
      <c r="C863" s="89"/>
      <c r="D863" s="89"/>
      <c r="E863" s="89"/>
      <c r="F863" s="89"/>
      <c r="G863" s="89"/>
      <c r="H863" s="89"/>
      <c r="I863" s="9"/>
      <c r="J863" s="9"/>
      <c r="K863" s="9"/>
    </row>
    <row r="864" spans="1:11" x14ac:dyDescent="0.2">
      <c r="A864" s="89"/>
      <c r="B864" s="89"/>
      <c r="C864" s="89"/>
      <c r="D864" s="89"/>
      <c r="E864" s="89"/>
      <c r="F864" s="89"/>
      <c r="G864" s="89"/>
      <c r="H864" s="89"/>
      <c r="I864" s="9"/>
      <c r="J864" s="9"/>
      <c r="K864" s="9"/>
    </row>
    <row r="865" spans="1:11" x14ac:dyDescent="0.2">
      <c r="A865" s="89"/>
      <c r="B865" s="89"/>
      <c r="C865" s="89"/>
      <c r="D865" s="89"/>
      <c r="E865" s="89"/>
      <c r="F865" s="89"/>
      <c r="G865" s="89"/>
      <c r="H865" s="89"/>
      <c r="I865" s="9"/>
      <c r="J865" s="9"/>
      <c r="K865" s="9"/>
    </row>
    <row r="866" spans="1:11" x14ac:dyDescent="0.2">
      <c r="A866" s="89"/>
      <c r="B866" s="89"/>
      <c r="C866" s="89"/>
      <c r="D866" s="89"/>
      <c r="E866" s="89"/>
      <c r="F866" s="89"/>
      <c r="G866" s="89"/>
      <c r="H866" s="89"/>
      <c r="I866" s="9"/>
      <c r="J866" s="9"/>
      <c r="K866" s="9"/>
    </row>
    <row r="867" spans="1:11" x14ac:dyDescent="0.2">
      <c r="A867" s="89"/>
      <c r="B867" s="89"/>
      <c r="C867" s="89"/>
      <c r="D867" s="89"/>
      <c r="E867" s="89"/>
      <c r="F867" s="89"/>
      <c r="G867" s="89"/>
      <c r="H867" s="89"/>
      <c r="I867" s="9"/>
      <c r="J867" s="9"/>
      <c r="K867" s="9"/>
    </row>
    <row r="868" spans="1:11" x14ac:dyDescent="0.2">
      <c r="A868" s="89"/>
      <c r="B868" s="89"/>
      <c r="C868" s="89"/>
      <c r="D868" s="89"/>
      <c r="E868" s="89"/>
      <c r="F868" s="89"/>
      <c r="G868" s="89"/>
      <c r="H868" s="89"/>
      <c r="I868" s="9"/>
      <c r="J868" s="9"/>
      <c r="K868" s="9"/>
    </row>
    <row r="869" spans="1:11" x14ac:dyDescent="0.2">
      <c r="A869" s="89"/>
      <c r="B869" s="89"/>
      <c r="C869" s="89"/>
      <c r="D869" s="89"/>
      <c r="E869" s="89"/>
      <c r="F869" s="89"/>
      <c r="G869" s="89"/>
      <c r="H869" s="89"/>
      <c r="I869" s="9"/>
      <c r="J869" s="9"/>
      <c r="K869" s="9"/>
    </row>
    <row r="870" spans="1:11" x14ac:dyDescent="0.2">
      <c r="A870" s="89"/>
      <c r="B870" s="89"/>
      <c r="C870" s="89"/>
      <c r="D870" s="89"/>
      <c r="E870" s="89"/>
      <c r="F870" s="89"/>
      <c r="G870" s="89"/>
      <c r="H870" s="89"/>
      <c r="I870" s="9"/>
      <c r="J870" s="9"/>
      <c r="K870" s="9"/>
    </row>
    <row r="871" spans="1:11" x14ac:dyDescent="0.2">
      <c r="A871" s="89"/>
      <c r="B871" s="89"/>
      <c r="C871" s="89"/>
      <c r="D871" s="89"/>
      <c r="E871" s="89"/>
      <c r="F871" s="89"/>
      <c r="G871" s="89"/>
      <c r="H871" s="89"/>
      <c r="I871" s="9"/>
      <c r="J871" s="9"/>
      <c r="K871" s="9"/>
    </row>
    <row r="872" spans="1:11" x14ac:dyDescent="0.2">
      <c r="A872" s="89"/>
      <c r="B872" s="89"/>
      <c r="C872" s="89"/>
      <c r="D872" s="89"/>
      <c r="E872" s="89"/>
      <c r="F872" s="89"/>
      <c r="G872" s="89"/>
      <c r="H872" s="89"/>
      <c r="I872" s="9"/>
      <c r="J872" s="9"/>
      <c r="K872" s="9"/>
    </row>
    <row r="873" spans="1:11" x14ac:dyDescent="0.2">
      <c r="A873" s="89"/>
      <c r="B873" s="89"/>
      <c r="C873" s="89"/>
      <c r="D873" s="89"/>
      <c r="E873" s="89"/>
      <c r="F873" s="89"/>
      <c r="G873" s="89"/>
      <c r="H873" s="89"/>
      <c r="I873" s="9"/>
      <c r="J873" s="9"/>
      <c r="K873" s="9"/>
    </row>
    <row r="874" spans="1:11" x14ac:dyDescent="0.2">
      <c r="A874" s="89"/>
      <c r="B874" s="89"/>
      <c r="C874" s="89"/>
      <c r="D874" s="89"/>
      <c r="E874" s="89"/>
      <c r="F874" s="89"/>
      <c r="G874" s="89"/>
      <c r="H874" s="89"/>
      <c r="I874" s="9"/>
      <c r="J874" s="9"/>
      <c r="K874" s="9"/>
    </row>
    <row r="875" spans="1:11" x14ac:dyDescent="0.2">
      <c r="A875" s="89"/>
      <c r="B875" s="89"/>
      <c r="C875" s="89"/>
      <c r="D875" s="89"/>
      <c r="E875" s="89"/>
      <c r="F875" s="89"/>
      <c r="G875" s="89"/>
      <c r="H875" s="89"/>
      <c r="I875" s="9"/>
      <c r="J875" s="9"/>
      <c r="K875" s="9"/>
    </row>
    <row r="876" spans="1:11" x14ac:dyDescent="0.2">
      <c r="A876" s="89"/>
      <c r="B876" s="89"/>
      <c r="C876" s="89"/>
      <c r="D876" s="89"/>
      <c r="E876" s="89"/>
      <c r="F876" s="89"/>
      <c r="G876" s="89"/>
      <c r="H876" s="89"/>
      <c r="I876" s="9"/>
      <c r="J876" s="9"/>
      <c r="K876" s="9"/>
    </row>
    <row r="877" spans="1:11" x14ac:dyDescent="0.2">
      <c r="A877" s="89"/>
      <c r="B877" s="89"/>
      <c r="C877" s="89"/>
      <c r="D877" s="89"/>
      <c r="E877" s="89"/>
      <c r="F877" s="89"/>
      <c r="G877" s="89"/>
      <c r="H877" s="89"/>
      <c r="I877" s="9"/>
      <c r="J877" s="9"/>
      <c r="K877" s="9"/>
    </row>
    <row r="878" spans="1:11" x14ac:dyDescent="0.2">
      <c r="A878" s="89"/>
      <c r="B878" s="89"/>
      <c r="C878" s="89"/>
      <c r="D878" s="89"/>
      <c r="E878" s="89"/>
      <c r="F878" s="89"/>
      <c r="G878" s="89"/>
      <c r="H878" s="89"/>
      <c r="I878" s="9"/>
      <c r="J878" s="9"/>
      <c r="K878" s="9"/>
    </row>
    <row r="879" spans="1:11" x14ac:dyDescent="0.2">
      <c r="A879" s="89"/>
      <c r="B879" s="89"/>
      <c r="C879" s="89"/>
      <c r="D879" s="89"/>
      <c r="E879" s="89"/>
      <c r="F879" s="89"/>
      <c r="G879" s="89"/>
      <c r="H879" s="89"/>
      <c r="I879" s="9"/>
      <c r="J879" s="9"/>
      <c r="K879" s="9"/>
    </row>
    <row r="880" spans="1:11" x14ac:dyDescent="0.2">
      <c r="A880" s="89"/>
      <c r="B880" s="89"/>
      <c r="C880" s="89"/>
      <c r="D880" s="89"/>
      <c r="E880" s="89"/>
      <c r="F880" s="89"/>
      <c r="G880" s="89"/>
      <c r="H880" s="89"/>
      <c r="I880" s="9"/>
      <c r="J880" s="9"/>
      <c r="K880" s="9"/>
    </row>
    <row r="881" spans="1:11" x14ac:dyDescent="0.2">
      <c r="A881" s="89"/>
      <c r="B881" s="89"/>
      <c r="C881" s="89"/>
      <c r="D881" s="89"/>
      <c r="E881" s="89"/>
      <c r="F881" s="89"/>
      <c r="G881" s="89"/>
      <c r="H881" s="89"/>
      <c r="I881" s="9"/>
      <c r="J881" s="9"/>
      <c r="K881" s="9"/>
    </row>
    <row r="882" spans="1:11" x14ac:dyDescent="0.2">
      <c r="A882" s="89"/>
      <c r="B882" s="89"/>
      <c r="C882" s="89"/>
      <c r="D882" s="89"/>
      <c r="E882" s="89"/>
      <c r="F882" s="89"/>
      <c r="G882" s="89"/>
      <c r="H882" s="89"/>
      <c r="I882" s="9"/>
      <c r="J882" s="9"/>
      <c r="K882" s="9"/>
    </row>
    <row r="883" spans="1:11" x14ac:dyDescent="0.2">
      <c r="A883" s="89"/>
      <c r="B883" s="89"/>
      <c r="C883" s="89"/>
      <c r="D883" s="89"/>
      <c r="E883" s="89"/>
      <c r="F883" s="89"/>
      <c r="G883" s="89"/>
      <c r="H883" s="89"/>
      <c r="I883" s="9"/>
      <c r="J883" s="9"/>
      <c r="K883" s="9"/>
    </row>
    <row r="884" spans="1:11" x14ac:dyDescent="0.2">
      <c r="A884" s="89"/>
      <c r="B884" s="89"/>
      <c r="C884" s="89"/>
      <c r="D884" s="89"/>
      <c r="E884" s="89"/>
      <c r="F884" s="89"/>
      <c r="G884" s="89"/>
      <c r="H884" s="89"/>
      <c r="I884" s="9"/>
      <c r="J884" s="9"/>
      <c r="K884" s="9"/>
    </row>
    <row r="885" spans="1:11" x14ac:dyDescent="0.2">
      <c r="A885" s="89"/>
      <c r="B885" s="89"/>
      <c r="C885" s="89"/>
      <c r="D885" s="89"/>
      <c r="E885" s="89"/>
      <c r="F885" s="89"/>
      <c r="G885" s="89"/>
      <c r="H885" s="89"/>
      <c r="I885" s="9"/>
      <c r="J885" s="9"/>
      <c r="K885" s="9"/>
    </row>
    <row r="886" spans="1:11" x14ac:dyDescent="0.2">
      <c r="A886" s="89"/>
      <c r="B886" s="89"/>
      <c r="C886" s="89"/>
      <c r="D886" s="89"/>
      <c r="E886" s="89"/>
      <c r="F886" s="89"/>
      <c r="G886" s="89"/>
      <c r="H886" s="89"/>
      <c r="I886" s="9"/>
      <c r="J886" s="9"/>
      <c r="K886" s="9"/>
    </row>
    <row r="887" spans="1:11" x14ac:dyDescent="0.2">
      <c r="A887" s="89"/>
      <c r="B887" s="89"/>
      <c r="C887" s="89"/>
      <c r="D887" s="89"/>
      <c r="E887" s="89"/>
      <c r="F887" s="89"/>
      <c r="G887" s="89"/>
      <c r="H887" s="89"/>
      <c r="I887" s="9"/>
      <c r="J887" s="9"/>
      <c r="K887" s="9"/>
    </row>
    <row r="888" spans="1:11" x14ac:dyDescent="0.2">
      <c r="A888" s="89"/>
      <c r="B888" s="89"/>
      <c r="C888" s="89"/>
      <c r="D888" s="89"/>
      <c r="E888" s="89"/>
      <c r="F888" s="89"/>
      <c r="G888" s="89"/>
      <c r="H888" s="89"/>
      <c r="I888" s="9"/>
      <c r="J888" s="9"/>
      <c r="K888" s="9"/>
    </row>
    <row r="889" spans="1:11" x14ac:dyDescent="0.2">
      <c r="A889" s="89"/>
      <c r="B889" s="89"/>
      <c r="C889" s="89"/>
      <c r="D889" s="89"/>
      <c r="E889" s="89"/>
      <c r="F889" s="89"/>
      <c r="G889" s="89"/>
      <c r="H889" s="89"/>
      <c r="I889" s="9"/>
      <c r="J889" s="9"/>
      <c r="K889" s="9"/>
    </row>
    <row r="890" spans="1:11" x14ac:dyDescent="0.2">
      <c r="A890" s="89"/>
      <c r="B890" s="89"/>
      <c r="C890" s="89"/>
      <c r="D890" s="89"/>
      <c r="E890" s="89"/>
      <c r="F890" s="89"/>
      <c r="G890" s="89"/>
      <c r="H890" s="89"/>
      <c r="I890" s="9"/>
      <c r="J890" s="9"/>
      <c r="K890" s="9"/>
    </row>
    <row r="891" spans="1:11" x14ac:dyDescent="0.2">
      <c r="A891" s="89"/>
      <c r="B891" s="89"/>
      <c r="C891" s="89"/>
      <c r="D891" s="89"/>
      <c r="E891" s="89"/>
      <c r="F891" s="89"/>
      <c r="G891" s="89"/>
      <c r="H891" s="89"/>
      <c r="I891" s="9"/>
      <c r="J891" s="9"/>
      <c r="K891" s="9"/>
    </row>
    <row r="892" spans="1:11" x14ac:dyDescent="0.2">
      <c r="A892" s="89"/>
      <c r="B892" s="89"/>
      <c r="C892" s="89"/>
      <c r="D892" s="89"/>
      <c r="E892" s="89"/>
      <c r="F892" s="89"/>
      <c r="G892" s="89"/>
      <c r="H892" s="89"/>
      <c r="I892" s="9"/>
      <c r="J892" s="9"/>
      <c r="K892" s="9"/>
    </row>
    <row r="893" spans="1:11" x14ac:dyDescent="0.2">
      <c r="A893" s="89"/>
      <c r="B893" s="89"/>
      <c r="C893" s="89"/>
      <c r="D893" s="89"/>
      <c r="E893" s="89"/>
      <c r="F893" s="89"/>
      <c r="G893" s="89"/>
      <c r="H893" s="89"/>
      <c r="I893" s="9"/>
      <c r="J893" s="9"/>
      <c r="K893" s="9"/>
    </row>
    <row r="894" spans="1:11" x14ac:dyDescent="0.2">
      <c r="A894" s="89"/>
      <c r="B894" s="89"/>
      <c r="C894" s="89"/>
      <c r="D894" s="89"/>
      <c r="E894" s="89"/>
      <c r="F894" s="89"/>
      <c r="G894" s="89"/>
      <c r="H894" s="89"/>
      <c r="I894" s="9"/>
      <c r="J894" s="9"/>
      <c r="K894" s="9"/>
    </row>
    <row r="895" spans="1:11" x14ac:dyDescent="0.2">
      <c r="A895" s="89"/>
      <c r="B895" s="89"/>
      <c r="C895" s="89"/>
      <c r="D895" s="89"/>
      <c r="E895" s="89"/>
      <c r="F895" s="89"/>
      <c r="G895" s="89"/>
      <c r="H895" s="89"/>
      <c r="I895" s="9"/>
      <c r="J895" s="9"/>
      <c r="K895" s="9"/>
    </row>
    <row r="896" spans="1:11" x14ac:dyDescent="0.2">
      <c r="A896" s="89"/>
      <c r="B896" s="89"/>
      <c r="C896" s="89"/>
      <c r="D896" s="89"/>
      <c r="E896" s="89"/>
      <c r="F896" s="89"/>
      <c r="G896" s="89"/>
      <c r="H896" s="89"/>
      <c r="I896" s="9"/>
      <c r="J896" s="9"/>
      <c r="K896" s="9"/>
    </row>
    <row r="897" spans="1:11" x14ac:dyDescent="0.2">
      <c r="A897" s="89"/>
      <c r="B897" s="89"/>
      <c r="C897" s="89"/>
      <c r="D897" s="89"/>
      <c r="E897" s="89"/>
      <c r="F897" s="89"/>
      <c r="G897" s="89"/>
      <c r="H897" s="89"/>
      <c r="I897" s="9"/>
      <c r="J897" s="9"/>
      <c r="K897" s="9"/>
    </row>
    <row r="898" spans="1:11" x14ac:dyDescent="0.2">
      <c r="A898" s="89"/>
      <c r="B898" s="89"/>
      <c r="C898" s="89"/>
      <c r="D898" s="89"/>
      <c r="E898" s="89"/>
      <c r="F898" s="89"/>
      <c r="G898" s="89"/>
      <c r="H898" s="89"/>
      <c r="I898" s="9"/>
      <c r="J898" s="9"/>
      <c r="K898" s="9"/>
    </row>
    <row r="899" spans="1:11" x14ac:dyDescent="0.2">
      <c r="A899" s="89"/>
      <c r="B899" s="89"/>
      <c r="C899" s="89"/>
      <c r="D899" s="89"/>
      <c r="E899" s="89"/>
      <c r="F899" s="89"/>
      <c r="G899" s="89"/>
      <c r="H899" s="89"/>
      <c r="I899" s="9"/>
      <c r="J899" s="9"/>
      <c r="K899" s="9"/>
    </row>
    <row r="900" spans="1:11" x14ac:dyDescent="0.2">
      <c r="A900" s="89"/>
      <c r="B900" s="89"/>
      <c r="C900" s="89"/>
      <c r="D900" s="89"/>
      <c r="E900" s="89"/>
      <c r="F900" s="89"/>
      <c r="G900" s="89"/>
      <c r="H900" s="89"/>
      <c r="I900" s="9"/>
      <c r="J900" s="9"/>
      <c r="K900" s="9"/>
    </row>
    <row r="901" spans="1:11" x14ac:dyDescent="0.2">
      <c r="A901" s="89"/>
      <c r="B901" s="89"/>
      <c r="C901" s="89"/>
      <c r="D901" s="89"/>
      <c r="E901" s="89"/>
      <c r="F901" s="89"/>
      <c r="G901" s="89"/>
      <c r="H901" s="89"/>
      <c r="I901" s="9"/>
      <c r="J901" s="9"/>
      <c r="K901" s="9"/>
    </row>
    <row r="902" spans="1:11" x14ac:dyDescent="0.2">
      <c r="A902" s="89"/>
      <c r="B902" s="89"/>
      <c r="C902" s="89"/>
      <c r="D902" s="89"/>
      <c r="E902" s="89"/>
      <c r="F902" s="89"/>
      <c r="G902" s="89"/>
      <c r="H902" s="89"/>
      <c r="I902" s="9"/>
      <c r="J902" s="9"/>
      <c r="K902" s="9"/>
    </row>
    <row r="903" spans="1:11" x14ac:dyDescent="0.2">
      <c r="A903" s="89"/>
      <c r="B903" s="89"/>
      <c r="C903" s="89"/>
      <c r="D903" s="89"/>
      <c r="E903" s="89"/>
      <c r="F903" s="89"/>
      <c r="G903" s="89"/>
      <c r="H903" s="89"/>
      <c r="I903" s="9"/>
      <c r="J903" s="9"/>
      <c r="K903" s="9"/>
    </row>
    <row r="904" spans="1:11" x14ac:dyDescent="0.2">
      <c r="A904" s="89"/>
      <c r="B904" s="89"/>
      <c r="C904" s="89"/>
      <c r="D904" s="89"/>
      <c r="E904" s="89"/>
      <c r="F904" s="89"/>
      <c r="G904" s="89"/>
      <c r="H904" s="89"/>
      <c r="I904" s="9"/>
      <c r="J904" s="9"/>
      <c r="K904" s="9"/>
    </row>
    <row r="905" spans="1:11" x14ac:dyDescent="0.2">
      <c r="A905" s="89"/>
      <c r="B905" s="89"/>
      <c r="C905" s="89"/>
      <c r="D905" s="89"/>
      <c r="E905" s="89"/>
      <c r="F905" s="89"/>
      <c r="G905" s="89"/>
      <c r="H905" s="89"/>
      <c r="I905" s="9"/>
      <c r="J905" s="9"/>
      <c r="K905" s="9"/>
    </row>
    <row r="906" spans="1:11" x14ac:dyDescent="0.2">
      <c r="A906" s="89"/>
      <c r="B906" s="89"/>
      <c r="C906" s="89"/>
      <c r="D906" s="89"/>
      <c r="E906" s="89"/>
      <c r="F906" s="89"/>
      <c r="G906" s="89"/>
      <c r="H906" s="89"/>
      <c r="I906" s="9"/>
      <c r="J906" s="9"/>
      <c r="K906" s="9"/>
    </row>
    <row r="907" spans="1:11" x14ac:dyDescent="0.2">
      <c r="A907" s="89"/>
      <c r="B907" s="89"/>
      <c r="C907" s="89"/>
      <c r="D907" s="89"/>
      <c r="E907" s="89"/>
      <c r="F907" s="89"/>
      <c r="G907" s="89"/>
      <c r="H907" s="89"/>
      <c r="I907" s="9"/>
      <c r="J907" s="9"/>
      <c r="K907" s="9"/>
    </row>
    <row r="908" spans="1:11" x14ac:dyDescent="0.2">
      <c r="A908" s="89"/>
      <c r="B908" s="89"/>
      <c r="C908" s="89"/>
      <c r="D908" s="89"/>
      <c r="E908" s="89"/>
      <c r="F908" s="89"/>
      <c r="G908" s="89"/>
      <c r="H908" s="89"/>
      <c r="I908" s="9"/>
      <c r="J908" s="9"/>
      <c r="K908" s="9"/>
    </row>
    <row r="909" spans="1:11" x14ac:dyDescent="0.2">
      <c r="A909" s="89"/>
      <c r="B909" s="89"/>
      <c r="C909" s="89"/>
      <c r="D909" s="89"/>
      <c r="E909" s="89"/>
      <c r="F909" s="89"/>
      <c r="G909" s="89"/>
      <c r="H909" s="89"/>
      <c r="I909" s="9"/>
      <c r="J909" s="9"/>
      <c r="K909" s="9"/>
    </row>
    <row r="910" spans="1:11" x14ac:dyDescent="0.2">
      <c r="A910" s="89"/>
      <c r="B910" s="89"/>
      <c r="C910" s="89"/>
      <c r="D910" s="89"/>
      <c r="E910" s="89"/>
      <c r="F910" s="89"/>
      <c r="G910" s="89"/>
      <c r="H910" s="89"/>
      <c r="I910" s="9"/>
      <c r="J910" s="9"/>
      <c r="K910" s="9"/>
    </row>
    <row r="911" spans="1:11" x14ac:dyDescent="0.2">
      <c r="A911" s="89"/>
      <c r="B911" s="89"/>
      <c r="C911" s="89"/>
      <c r="D911" s="89"/>
      <c r="E911" s="89"/>
      <c r="F911" s="89"/>
      <c r="G911" s="89"/>
      <c r="H911" s="89"/>
      <c r="I911" s="9"/>
      <c r="J911" s="9"/>
      <c r="K911" s="9"/>
    </row>
    <row r="912" spans="1:11" x14ac:dyDescent="0.2">
      <c r="A912" s="89"/>
      <c r="B912" s="89"/>
      <c r="C912" s="89"/>
      <c r="D912" s="89"/>
      <c r="E912" s="89"/>
      <c r="F912" s="89"/>
      <c r="G912" s="89"/>
      <c r="H912" s="89"/>
      <c r="I912" s="9"/>
      <c r="J912" s="9"/>
      <c r="K912" s="9"/>
    </row>
    <row r="913" spans="1:11" x14ac:dyDescent="0.2">
      <c r="A913" s="89"/>
      <c r="B913" s="89"/>
      <c r="C913" s="89"/>
      <c r="D913" s="89"/>
      <c r="E913" s="89"/>
      <c r="F913" s="89"/>
      <c r="G913" s="89"/>
      <c r="H913" s="89"/>
      <c r="I913" s="9"/>
      <c r="J913" s="9"/>
      <c r="K913" s="9"/>
    </row>
    <row r="914" spans="1:11" x14ac:dyDescent="0.2">
      <c r="A914" s="89"/>
      <c r="B914" s="89"/>
      <c r="C914" s="89"/>
      <c r="D914" s="89"/>
      <c r="E914" s="89"/>
      <c r="F914" s="89"/>
      <c r="G914" s="89"/>
      <c r="H914" s="89"/>
      <c r="I914" s="9"/>
      <c r="J914" s="9"/>
      <c r="K914" s="9"/>
    </row>
    <row r="915" spans="1:11" x14ac:dyDescent="0.2">
      <c r="A915" s="89"/>
      <c r="B915" s="89"/>
      <c r="C915" s="89"/>
      <c r="D915" s="89"/>
      <c r="E915" s="89"/>
      <c r="F915" s="89"/>
      <c r="G915" s="89"/>
      <c r="H915" s="89"/>
      <c r="I915" s="9"/>
      <c r="J915" s="9"/>
      <c r="K915" s="9"/>
    </row>
    <row r="916" spans="1:11" x14ac:dyDescent="0.2">
      <c r="A916" s="89"/>
      <c r="B916" s="89"/>
      <c r="C916" s="89"/>
      <c r="D916" s="89"/>
      <c r="E916" s="89"/>
      <c r="F916" s="89"/>
      <c r="G916" s="89"/>
      <c r="H916" s="89"/>
      <c r="I916" s="9"/>
      <c r="J916" s="9"/>
      <c r="K916" s="9"/>
    </row>
    <row r="917" spans="1:11" x14ac:dyDescent="0.2">
      <c r="A917" s="89"/>
      <c r="B917" s="89"/>
      <c r="C917" s="89"/>
      <c r="D917" s="89"/>
      <c r="E917" s="89"/>
      <c r="F917" s="89"/>
      <c r="G917" s="89"/>
      <c r="H917" s="89"/>
      <c r="I917" s="9"/>
      <c r="J917" s="9"/>
      <c r="K917" s="9"/>
    </row>
    <row r="918" spans="1:11" x14ac:dyDescent="0.2">
      <c r="A918" s="89"/>
      <c r="B918" s="89"/>
      <c r="C918" s="89"/>
      <c r="D918" s="89"/>
      <c r="E918" s="89"/>
      <c r="F918" s="89"/>
      <c r="G918" s="89"/>
      <c r="H918" s="89"/>
      <c r="I918" s="9"/>
      <c r="J918" s="9"/>
      <c r="K918" s="9"/>
    </row>
    <row r="919" spans="1:11" x14ac:dyDescent="0.2">
      <c r="A919" s="89"/>
      <c r="B919" s="89"/>
      <c r="C919" s="89"/>
      <c r="D919" s="89"/>
      <c r="E919" s="89"/>
      <c r="F919" s="89"/>
      <c r="G919" s="89"/>
      <c r="H919" s="89"/>
      <c r="I919" s="9"/>
      <c r="J919" s="9"/>
      <c r="K919" s="9"/>
    </row>
    <row r="920" spans="1:11" x14ac:dyDescent="0.2">
      <c r="A920" s="89"/>
      <c r="B920" s="89"/>
      <c r="C920" s="89"/>
      <c r="D920" s="89"/>
      <c r="E920" s="89"/>
      <c r="F920" s="89"/>
      <c r="G920" s="89"/>
      <c r="H920" s="89"/>
      <c r="I920" s="9"/>
      <c r="J920" s="9"/>
      <c r="K920" s="9"/>
    </row>
    <row r="921" spans="1:11" x14ac:dyDescent="0.2">
      <c r="A921" s="89"/>
      <c r="B921" s="89"/>
      <c r="C921" s="89"/>
      <c r="D921" s="89"/>
      <c r="E921" s="89"/>
      <c r="F921" s="89"/>
      <c r="G921" s="89"/>
      <c r="H921" s="89"/>
      <c r="I921" s="9"/>
      <c r="J921" s="9"/>
      <c r="K921" s="9"/>
    </row>
    <row r="922" spans="1:11" x14ac:dyDescent="0.2">
      <c r="A922" s="89"/>
      <c r="B922" s="89"/>
      <c r="C922" s="89"/>
      <c r="D922" s="89"/>
      <c r="E922" s="89"/>
      <c r="F922" s="89"/>
      <c r="G922" s="89"/>
      <c r="H922" s="89"/>
      <c r="I922" s="9"/>
      <c r="J922" s="9"/>
      <c r="K922" s="9"/>
    </row>
    <row r="923" spans="1:11" x14ac:dyDescent="0.2">
      <c r="A923" s="89"/>
      <c r="B923" s="89"/>
      <c r="C923" s="89"/>
      <c r="D923" s="89"/>
      <c r="E923" s="89"/>
      <c r="F923" s="89"/>
      <c r="G923" s="89"/>
      <c r="H923" s="89"/>
      <c r="I923" s="9"/>
      <c r="J923" s="9"/>
      <c r="K923" s="9"/>
    </row>
    <row r="924" spans="1:11" x14ac:dyDescent="0.2">
      <c r="A924" s="89"/>
      <c r="B924" s="89"/>
      <c r="C924" s="89"/>
      <c r="D924" s="89"/>
      <c r="E924" s="89"/>
      <c r="F924" s="89"/>
      <c r="G924" s="89"/>
      <c r="H924" s="89"/>
      <c r="I924" s="9"/>
      <c r="J924" s="9"/>
      <c r="K924" s="9"/>
    </row>
    <row r="925" spans="1:11" x14ac:dyDescent="0.2">
      <c r="A925" s="89"/>
      <c r="B925" s="89"/>
      <c r="C925" s="89"/>
      <c r="D925" s="89"/>
      <c r="E925" s="89"/>
      <c r="F925" s="89"/>
      <c r="G925" s="89"/>
      <c r="H925" s="89"/>
      <c r="I925" s="9"/>
      <c r="J925" s="9"/>
      <c r="K925" s="9"/>
    </row>
    <row r="926" spans="1:11" x14ac:dyDescent="0.2">
      <c r="A926" s="89"/>
      <c r="B926" s="89"/>
      <c r="C926" s="89"/>
      <c r="D926" s="89"/>
      <c r="E926" s="89"/>
      <c r="F926" s="89"/>
      <c r="G926" s="89"/>
      <c r="H926" s="89"/>
      <c r="I926" s="9"/>
      <c r="J926" s="9"/>
      <c r="K926" s="9"/>
    </row>
    <row r="927" spans="1:11" x14ac:dyDescent="0.2">
      <c r="A927" s="89"/>
      <c r="B927" s="89"/>
      <c r="C927" s="89"/>
      <c r="D927" s="89"/>
      <c r="E927" s="89"/>
      <c r="F927" s="89"/>
      <c r="G927" s="89"/>
      <c r="H927" s="89"/>
      <c r="I927" s="9"/>
      <c r="J927" s="9"/>
      <c r="K927" s="9"/>
    </row>
    <row r="928" spans="1:11" x14ac:dyDescent="0.2">
      <c r="A928" s="89"/>
      <c r="B928" s="89"/>
      <c r="C928" s="89"/>
      <c r="D928" s="89"/>
      <c r="E928" s="89"/>
      <c r="F928" s="89"/>
      <c r="G928" s="89"/>
      <c r="H928" s="89"/>
      <c r="I928" s="9"/>
      <c r="J928" s="9"/>
      <c r="K928" s="9"/>
    </row>
    <row r="929" spans="1:11" x14ac:dyDescent="0.2">
      <c r="A929" s="89"/>
      <c r="B929" s="89"/>
      <c r="C929" s="89"/>
      <c r="D929" s="89"/>
      <c r="E929" s="89"/>
      <c r="F929" s="89"/>
      <c r="G929" s="89"/>
      <c r="H929" s="89"/>
      <c r="I929" s="9"/>
      <c r="J929" s="9"/>
      <c r="K929" s="9"/>
    </row>
    <row r="930" spans="1:11" x14ac:dyDescent="0.2">
      <c r="A930" s="89"/>
      <c r="B930" s="89"/>
      <c r="C930" s="89"/>
      <c r="D930" s="89"/>
      <c r="E930" s="89"/>
      <c r="F930" s="89"/>
      <c r="G930" s="89"/>
      <c r="H930" s="89"/>
      <c r="I930" s="9"/>
      <c r="J930" s="9"/>
      <c r="K930" s="9"/>
    </row>
    <row r="931" spans="1:11" x14ac:dyDescent="0.2">
      <c r="A931" s="89"/>
      <c r="B931" s="89"/>
      <c r="C931" s="89"/>
      <c r="D931" s="89"/>
      <c r="E931" s="89"/>
      <c r="F931" s="89"/>
      <c r="G931" s="89"/>
      <c r="H931" s="89"/>
      <c r="I931" s="9"/>
      <c r="J931" s="9"/>
      <c r="K931" s="9"/>
    </row>
    <row r="932" spans="1:11" x14ac:dyDescent="0.2">
      <c r="A932" s="89"/>
      <c r="B932" s="89"/>
      <c r="C932" s="89"/>
      <c r="D932" s="89"/>
      <c r="E932" s="89"/>
      <c r="F932" s="89"/>
      <c r="G932" s="89"/>
      <c r="H932" s="89"/>
      <c r="I932" s="9"/>
      <c r="J932" s="9"/>
      <c r="K932" s="9"/>
    </row>
    <row r="933" spans="1:11" x14ac:dyDescent="0.2">
      <c r="A933" s="89"/>
      <c r="B933" s="89"/>
      <c r="C933" s="89"/>
      <c r="D933" s="89"/>
      <c r="E933" s="89"/>
      <c r="F933" s="89"/>
      <c r="G933" s="89"/>
      <c r="H933" s="89"/>
      <c r="I933" s="9"/>
      <c r="J933" s="9"/>
      <c r="K933" s="9"/>
    </row>
    <row r="934" spans="1:11" x14ac:dyDescent="0.2">
      <c r="A934" s="89"/>
      <c r="B934" s="89"/>
      <c r="C934" s="89"/>
      <c r="D934" s="89"/>
      <c r="E934" s="89"/>
      <c r="F934" s="89"/>
      <c r="G934" s="89"/>
      <c r="H934" s="89"/>
      <c r="I934" s="9"/>
      <c r="J934" s="9"/>
      <c r="K934" s="9"/>
    </row>
    <row r="935" spans="1:11" x14ac:dyDescent="0.2">
      <c r="A935" s="89"/>
      <c r="B935" s="89"/>
      <c r="C935" s="89"/>
      <c r="D935" s="89"/>
      <c r="E935" s="89"/>
      <c r="F935" s="89"/>
      <c r="G935" s="89"/>
      <c r="H935" s="89"/>
      <c r="I935" s="9"/>
      <c r="J935" s="9"/>
      <c r="K935" s="9"/>
    </row>
    <row r="936" spans="1:11" x14ac:dyDescent="0.2">
      <c r="A936" s="89"/>
      <c r="B936" s="89"/>
      <c r="C936" s="89"/>
      <c r="D936" s="89"/>
      <c r="E936" s="89"/>
      <c r="F936" s="89"/>
      <c r="G936" s="89"/>
      <c r="H936" s="89"/>
      <c r="I936" s="9"/>
      <c r="J936" s="9"/>
      <c r="K936" s="9"/>
    </row>
    <row r="937" spans="1:11" x14ac:dyDescent="0.2">
      <c r="A937" s="89"/>
      <c r="B937" s="89"/>
      <c r="C937" s="89"/>
      <c r="D937" s="89"/>
      <c r="E937" s="89"/>
      <c r="F937" s="89"/>
      <c r="G937" s="89"/>
      <c r="H937" s="89"/>
      <c r="I937" s="9"/>
      <c r="J937" s="9"/>
      <c r="K937" s="9"/>
    </row>
    <row r="938" spans="1:11" x14ac:dyDescent="0.2">
      <c r="A938" s="89"/>
      <c r="B938" s="89"/>
      <c r="C938" s="89"/>
      <c r="D938" s="89"/>
      <c r="E938" s="89"/>
      <c r="F938" s="89"/>
      <c r="G938" s="89"/>
      <c r="H938" s="89"/>
      <c r="I938" s="9"/>
      <c r="J938" s="9"/>
      <c r="K938" s="9"/>
    </row>
    <row r="939" spans="1:11" x14ac:dyDescent="0.2">
      <c r="A939" s="89"/>
      <c r="B939" s="89"/>
      <c r="C939" s="89"/>
      <c r="D939" s="89"/>
      <c r="E939" s="89"/>
      <c r="F939" s="89"/>
      <c r="G939" s="89"/>
      <c r="H939" s="89"/>
      <c r="I939" s="9"/>
      <c r="J939" s="9"/>
      <c r="K939" s="9"/>
    </row>
    <row r="940" spans="1:11" x14ac:dyDescent="0.2">
      <c r="A940" s="89"/>
      <c r="B940" s="89"/>
      <c r="C940" s="89"/>
      <c r="D940" s="89"/>
      <c r="E940" s="89"/>
      <c r="F940" s="89"/>
      <c r="G940" s="89"/>
      <c r="H940" s="89"/>
      <c r="I940" s="9"/>
      <c r="J940" s="9"/>
      <c r="K940" s="9"/>
    </row>
    <row r="941" spans="1:11" x14ac:dyDescent="0.2">
      <c r="A941" s="89"/>
      <c r="B941" s="89"/>
      <c r="C941" s="89"/>
      <c r="D941" s="89"/>
      <c r="E941" s="89"/>
      <c r="F941" s="89"/>
      <c r="G941" s="89"/>
      <c r="H941" s="89"/>
      <c r="I941" s="9"/>
      <c r="J941" s="9"/>
      <c r="K941" s="9"/>
    </row>
    <row r="942" spans="1:11" x14ac:dyDescent="0.2">
      <c r="A942" s="89"/>
      <c r="B942" s="89"/>
      <c r="C942" s="89"/>
      <c r="D942" s="89"/>
      <c r="E942" s="89"/>
      <c r="F942" s="89"/>
      <c r="G942" s="89"/>
      <c r="H942" s="89"/>
      <c r="I942" s="9"/>
      <c r="J942" s="9"/>
      <c r="K942" s="9"/>
    </row>
    <row r="943" spans="1:11" x14ac:dyDescent="0.2">
      <c r="A943" s="89"/>
      <c r="B943" s="89"/>
      <c r="C943" s="89"/>
      <c r="D943" s="89"/>
      <c r="E943" s="89"/>
      <c r="F943" s="89"/>
      <c r="G943" s="89"/>
      <c r="H943" s="89"/>
      <c r="I943" s="9"/>
      <c r="J943" s="9"/>
      <c r="K943" s="9"/>
    </row>
    <row r="944" spans="1:11" x14ac:dyDescent="0.2">
      <c r="A944" s="89"/>
      <c r="B944" s="89"/>
      <c r="C944" s="89"/>
      <c r="D944" s="89"/>
      <c r="E944" s="89"/>
      <c r="F944" s="89"/>
      <c r="G944" s="89"/>
      <c r="H944" s="89"/>
      <c r="I944" s="9"/>
      <c r="J944" s="9"/>
      <c r="K944" s="9"/>
    </row>
    <row r="945" spans="1:11" x14ac:dyDescent="0.2">
      <c r="A945" s="89"/>
      <c r="B945" s="89"/>
      <c r="C945" s="89"/>
      <c r="D945" s="89"/>
      <c r="E945" s="89"/>
      <c r="F945" s="89"/>
      <c r="G945" s="89"/>
      <c r="H945" s="89"/>
      <c r="I945" s="9"/>
      <c r="J945" s="9"/>
      <c r="K945" s="9"/>
    </row>
    <row r="946" spans="1:11" x14ac:dyDescent="0.2">
      <c r="A946" s="89"/>
      <c r="B946" s="89"/>
      <c r="C946" s="89"/>
      <c r="D946" s="89"/>
      <c r="E946" s="89"/>
      <c r="F946" s="89"/>
      <c r="G946" s="89"/>
      <c r="H946" s="89"/>
      <c r="I946" s="9"/>
      <c r="J946" s="9"/>
      <c r="K946" s="9"/>
    </row>
    <row r="947" spans="1:11" x14ac:dyDescent="0.2">
      <c r="A947" s="89"/>
      <c r="B947" s="89"/>
      <c r="C947" s="89"/>
      <c r="D947" s="89"/>
      <c r="E947" s="89"/>
      <c r="F947" s="89"/>
      <c r="G947" s="89"/>
      <c r="H947" s="89"/>
      <c r="I947" s="9"/>
      <c r="J947" s="9"/>
      <c r="K947" s="9"/>
    </row>
    <row r="948" spans="1:11" x14ac:dyDescent="0.2">
      <c r="A948" s="89"/>
      <c r="B948" s="89"/>
      <c r="C948" s="89"/>
      <c r="D948" s="89"/>
      <c r="E948" s="89"/>
      <c r="F948" s="89"/>
      <c r="G948" s="89"/>
      <c r="H948" s="89"/>
      <c r="I948" s="9"/>
      <c r="J948" s="9"/>
      <c r="K948" s="9"/>
    </row>
    <row r="949" spans="1:11" x14ac:dyDescent="0.2">
      <c r="A949" s="89"/>
      <c r="B949" s="89"/>
      <c r="C949" s="89"/>
      <c r="D949" s="89"/>
      <c r="E949" s="89"/>
      <c r="F949" s="89"/>
      <c r="G949" s="89"/>
      <c r="H949" s="89"/>
      <c r="I949" s="9"/>
      <c r="J949" s="9"/>
      <c r="K949" s="9"/>
    </row>
    <row r="950" spans="1:11" x14ac:dyDescent="0.2">
      <c r="A950" s="89"/>
      <c r="B950" s="89"/>
      <c r="C950" s="89"/>
      <c r="D950" s="89"/>
      <c r="E950" s="89"/>
      <c r="F950" s="89"/>
      <c r="G950" s="89"/>
      <c r="H950" s="89"/>
      <c r="I950" s="9"/>
      <c r="J950" s="9"/>
      <c r="K950" s="9"/>
    </row>
    <row r="951" spans="1:11" x14ac:dyDescent="0.2">
      <c r="A951" s="89"/>
      <c r="B951" s="89"/>
      <c r="C951" s="89"/>
      <c r="D951" s="89"/>
      <c r="E951" s="89"/>
      <c r="F951" s="89"/>
      <c r="G951" s="89"/>
      <c r="H951" s="89"/>
      <c r="I951" s="9"/>
      <c r="J951" s="9"/>
      <c r="K951" s="9"/>
    </row>
    <row r="952" spans="1:11" x14ac:dyDescent="0.2">
      <c r="A952" s="89"/>
      <c r="B952" s="89"/>
      <c r="C952" s="89"/>
      <c r="D952" s="89"/>
      <c r="E952" s="89"/>
      <c r="F952" s="89"/>
      <c r="G952" s="89"/>
      <c r="H952" s="89"/>
      <c r="I952" s="9"/>
      <c r="J952" s="9"/>
      <c r="K952" s="9"/>
    </row>
    <row r="953" spans="1:11" x14ac:dyDescent="0.2">
      <c r="A953" s="89"/>
      <c r="B953" s="89"/>
      <c r="C953" s="89"/>
      <c r="D953" s="89"/>
      <c r="E953" s="89"/>
      <c r="F953" s="89"/>
      <c r="G953" s="89"/>
      <c r="H953" s="89"/>
      <c r="I953" s="9"/>
      <c r="J953" s="9"/>
      <c r="K953" s="9"/>
    </row>
    <row r="954" spans="1:11" x14ac:dyDescent="0.2">
      <c r="A954" s="89"/>
      <c r="B954" s="89"/>
      <c r="C954" s="89"/>
      <c r="D954" s="89"/>
      <c r="E954" s="89"/>
      <c r="F954" s="89"/>
      <c r="G954" s="89"/>
      <c r="H954" s="89"/>
      <c r="I954" s="9"/>
      <c r="J954" s="9"/>
      <c r="K954" s="9"/>
    </row>
    <row r="955" spans="1:11" x14ac:dyDescent="0.2">
      <c r="A955" s="89"/>
      <c r="B955" s="89"/>
      <c r="C955" s="89"/>
      <c r="D955" s="89"/>
      <c r="E955" s="89"/>
      <c r="F955" s="89"/>
      <c r="G955" s="89"/>
      <c r="H955" s="89"/>
      <c r="I955" s="9"/>
      <c r="J955" s="9"/>
      <c r="K955" s="9"/>
    </row>
    <row r="956" spans="1:11" x14ac:dyDescent="0.2">
      <c r="A956" s="89"/>
      <c r="B956" s="89"/>
      <c r="C956" s="89"/>
      <c r="D956" s="89"/>
      <c r="E956" s="89"/>
      <c r="F956" s="89"/>
      <c r="G956" s="89"/>
      <c r="H956" s="89"/>
      <c r="I956" s="9"/>
      <c r="J956" s="9"/>
      <c r="K956" s="9"/>
    </row>
    <row r="957" spans="1:11" x14ac:dyDescent="0.2">
      <c r="A957" s="89"/>
      <c r="B957" s="89"/>
      <c r="C957" s="89"/>
      <c r="D957" s="89"/>
      <c r="E957" s="89"/>
      <c r="F957" s="89"/>
      <c r="G957" s="89"/>
      <c r="H957" s="89"/>
      <c r="I957" s="9"/>
      <c r="J957" s="9"/>
      <c r="K957" s="9"/>
    </row>
    <row r="958" spans="1:11" x14ac:dyDescent="0.2">
      <c r="A958" s="89"/>
      <c r="B958" s="89"/>
      <c r="C958" s="89"/>
      <c r="D958" s="89"/>
      <c r="E958" s="89"/>
      <c r="F958" s="89"/>
      <c r="G958" s="89"/>
      <c r="H958" s="89"/>
      <c r="I958" s="9"/>
      <c r="J958" s="9"/>
      <c r="K958" s="9"/>
    </row>
    <row r="959" spans="1:11" x14ac:dyDescent="0.2">
      <c r="A959" s="89"/>
      <c r="B959" s="89"/>
      <c r="C959" s="89"/>
      <c r="D959" s="89"/>
      <c r="E959" s="89"/>
      <c r="F959" s="89"/>
      <c r="G959" s="89"/>
      <c r="H959" s="89"/>
      <c r="I959" s="9"/>
      <c r="J959" s="9"/>
      <c r="K959" s="9"/>
    </row>
    <row r="960" spans="1:11" x14ac:dyDescent="0.2">
      <c r="A960" s="89"/>
      <c r="B960" s="89"/>
      <c r="C960" s="89"/>
      <c r="D960" s="89"/>
      <c r="E960" s="89"/>
      <c r="F960" s="89"/>
      <c r="G960" s="89"/>
      <c r="H960" s="89"/>
      <c r="I960" s="9"/>
      <c r="J960" s="9"/>
      <c r="K960" s="9"/>
    </row>
    <row r="961" spans="1:11" x14ac:dyDescent="0.2">
      <c r="A961" s="89"/>
      <c r="B961" s="89"/>
      <c r="C961" s="89"/>
      <c r="D961" s="89"/>
      <c r="E961" s="89"/>
      <c r="F961" s="89"/>
      <c r="G961" s="89"/>
      <c r="H961" s="89"/>
      <c r="I961" s="9"/>
      <c r="J961" s="9"/>
      <c r="K961" s="9"/>
    </row>
    <row r="962" spans="1:11" x14ac:dyDescent="0.2">
      <c r="A962" s="89"/>
      <c r="B962" s="89"/>
      <c r="C962" s="89"/>
      <c r="D962" s="89"/>
      <c r="E962" s="89"/>
      <c r="F962" s="89"/>
      <c r="G962" s="89"/>
      <c r="H962" s="89"/>
      <c r="I962" s="9"/>
      <c r="J962" s="9"/>
      <c r="K962" s="9"/>
    </row>
    <row r="963" spans="1:11" x14ac:dyDescent="0.2">
      <c r="A963" s="89"/>
      <c r="B963" s="89"/>
      <c r="C963" s="89"/>
      <c r="D963" s="89"/>
      <c r="E963" s="89"/>
      <c r="F963" s="89"/>
      <c r="G963" s="89"/>
      <c r="H963" s="89"/>
      <c r="I963" s="9"/>
      <c r="J963" s="9"/>
      <c r="K963" s="9"/>
    </row>
    <row r="964" spans="1:11" x14ac:dyDescent="0.2">
      <c r="A964" s="89"/>
      <c r="B964" s="89"/>
      <c r="C964" s="89"/>
      <c r="D964" s="89"/>
      <c r="E964" s="89"/>
      <c r="F964" s="89"/>
      <c r="G964" s="89"/>
      <c r="H964" s="89"/>
      <c r="I964" s="9"/>
      <c r="J964" s="9"/>
      <c r="K964" s="9"/>
    </row>
    <row r="965" spans="1:11" x14ac:dyDescent="0.2">
      <c r="A965" s="89"/>
      <c r="B965" s="89"/>
      <c r="C965" s="89"/>
      <c r="D965" s="89"/>
      <c r="E965" s="89"/>
      <c r="F965" s="89"/>
      <c r="G965" s="89"/>
      <c r="H965" s="89"/>
      <c r="I965" s="9"/>
      <c r="J965" s="9"/>
      <c r="K965" s="9"/>
    </row>
    <row r="966" spans="1:11" x14ac:dyDescent="0.2">
      <c r="A966" s="89"/>
      <c r="B966" s="89"/>
      <c r="C966" s="89"/>
      <c r="D966" s="89"/>
      <c r="E966" s="89"/>
      <c r="F966" s="89"/>
      <c r="G966" s="89"/>
      <c r="H966" s="89"/>
      <c r="I966" s="9"/>
      <c r="J966" s="9"/>
      <c r="K966" s="9"/>
    </row>
    <row r="967" spans="1:11" x14ac:dyDescent="0.2">
      <c r="A967" s="89"/>
      <c r="B967" s="89"/>
      <c r="C967" s="89"/>
      <c r="D967" s="89"/>
      <c r="E967" s="89"/>
      <c r="F967" s="89"/>
      <c r="G967" s="89"/>
      <c r="H967" s="89"/>
      <c r="I967" s="9"/>
      <c r="J967" s="9"/>
      <c r="K967" s="9"/>
    </row>
    <row r="968" spans="1:11" x14ac:dyDescent="0.2">
      <c r="A968" s="89"/>
      <c r="B968" s="89"/>
      <c r="C968" s="89"/>
      <c r="D968" s="89"/>
      <c r="E968" s="89"/>
      <c r="F968" s="89"/>
      <c r="G968" s="89"/>
      <c r="H968" s="89"/>
      <c r="I968" s="9"/>
      <c r="J968" s="9"/>
      <c r="K968" s="9"/>
    </row>
    <row r="969" spans="1:11" x14ac:dyDescent="0.2">
      <c r="A969" s="89"/>
      <c r="B969" s="89"/>
      <c r="C969" s="89"/>
      <c r="D969" s="89"/>
      <c r="E969" s="89"/>
      <c r="F969" s="89"/>
      <c r="G969" s="89"/>
      <c r="H969" s="89"/>
      <c r="I969" s="9"/>
      <c r="J969" s="9"/>
      <c r="K969" s="9"/>
    </row>
    <row r="970" spans="1:11" x14ac:dyDescent="0.2">
      <c r="A970" s="89"/>
      <c r="B970" s="89"/>
      <c r="C970" s="89"/>
      <c r="D970" s="89"/>
      <c r="E970" s="89"/>
      <c r="F970" s="89"/>
      <c r="G970" s="89"/>
      <c r="H970" s="89"/>
      <c r="I970" s="9"/>
      <c r="J970" s="9"/>
      <c r="K970" s="9"/>
    </row>
    <row r="971" spans="1:11" x14ac:dyDescent="0.2">
      <c r="A971" s="89"/>
      <c r="B971" s="89"/>
      <c r="C971" s="89"/>
      <c r="D971" s="89"/>
      <c r="E971" s="89"/>
      <c r="F971" s="89"/>
      <c r="G971" s="89"/>
      <c r="H971" s="89"/>
      <c r="I971" s="9"/>
      <c r="J971" s="9"/>
      <c r="K971" s="9"/>
    </row>
    <row r="972" spans="1:11" x14ac:dyDescent="0.2">
      <c r="A972" s="89"/>
      <c r="B972" s="89"/>
      <c r="C972" s="89"/>
      <c r="D972" s="89"/>
      <c r="E972" s="89"/>
      <c r="F972" s="89"/>
      <c r="G972" s="89"/>
      <c r="H972" s="89"/>
      <c r="I972" s="9"/>
      <c r="J972" s="9"/>
      <c r="K972" s="9"/>
    </row>
    <row r="973" spans="1:11" x14ac:dyDescent="0.2">
      <c r="A973" s="89"/>
      <c r="B973" s="89"/>
      <c r="C973" s="89"/>
      <c r="D973" s="89"/>
      <c r="E973" s="89"/>
      <c r="F973" s="89"/>
      <c r="G973" s="89"/>
      <c r="H973" s="89"/>
      <c r="I973" s="9"/>
      <c r="J973" s="9"/>
      <c r="K973" s="9"/>
    </row>
    <row r="974" spans="1:11" x14ac:dyDescent="0.2">
      <c r="A974" s="89"/>
      <c r="B974" s="89"/>
      <c r="C974" s="89"/>
      <c r="D974" s="89"/>
      <c r="E974" s="89"/>
      <c r="F974" s="89"/>
      <c r="G974" s="89"/>
      <c r="H974" s="89"/>
      <c r="I974" s="9"/>
      <c r="J974" s="9"/>
      <c r="K974" s="9"/>
    </row>
    <row r="975" spans="1:11" x14ac:dyDescent="0.2">
      <c r="A975" s="89"/>
      <c r="B975" s="89"/>
      <c r="C975" s="89"/>
      <c r="D975" s="89"/>
      <c r="E975" s="89"/>
      <c r="F975" s="89"/>
      <c r="G975" s="89"/>
      <c r="H975" s="89"/>
      <c r="I975" s="9"/>
      <c r="J975" s="9"/>
      <c r="K975" s="9"/>
    </row>
    <row r="976" spans="1:11" x14ac:dyDescent="0.2">
      <c r="A976" s="89"/>
      <c r="B976" s="89"/>
      <c r="C976" s="89"/>
      <c r="D976" s="89"/>
      <c r="E976" s="89"/>
      <c r="F976" s="89"/>
      <c r="G976" s="89"/>
      <c r="H976" s="89"/>
      <c r="I976" s="9"/>
      <c r="J976" s="9"/>
      <c r="K976" s="9"/>
    </row>
    <row r="977" spans="1:11" x14ac:dyDescent="0.2">
      <c r="A977" s="89"/>
      <c r="B977" s="89"/>
      <c r="C977" s="89"/>
      <c r="D977" s="89"/>
      <c r="E977" s="89"/>
      <c r="F977" s="89"/>
      <c r="G977" s="89"/>
      <c r="H977" s="89"/>
      <c r="I977" s="9"/>
      <c r="J977" s="9"/>
      <c r="K977" s="9"/>
    </row>
    <row r="978" spans="1:11" x14ac:dyDescent="0.2">
      <c r="A978" s="89"/>
      <c r="B978" s="89"/>
      <c r="C978" s="89"/>
      <c r="D978" s="89"/>
      <c r="E978" s="89"/>
      <c r="F978" s="89"/>
      <c r="G978" s="89"/>
      <c r="H978" s="89"/>
      <c r="I978" s="9"/>
      <c r="J978" s="9"/>
      <c r="K978" s="9"/>
    </row>
    <row r="979" spans="1:11" x14ac:dyDescent="0.2">
      <c r="A979" s="89"/>
      <c r="B979" s="89"/>
      <c r="C979" s="89"/>
      <c r="D979" s="89"/>
      <c r="E979" s="89"/>
      <c r="F979" s="89"/>
      <c r="G979" s="89"/>
      <c r="H979" s="89"/>
      <c r="I979" s="9"/>
      <c r="J979" s="9"/>
      <c r="K979" s="9"/>
    </row>
    <row r="980" spans="1:11" x14ac:dyDescent="0.2">
      <c r="A980" s="89"/>
      <c r="B980" s="89"/>
      <c r="C980" s="89"/>
      <c r="D980" s="89"/>
      <c r="E980" s="89"/>
      <c r="F980" s="89"/>
      <c r="G980" s="89"/>
      <c r="H980" s="89"/>
      <c r="I980" s="9"/>
      <c r="J980" s="9"/>
      <c r="K980" s="9"/>
    </row>
    <row r="981" spans="1:11" x14ac:dyDescent="0.2">
      <c r="A981" s="89"/>
      <c r="B981" s="89"/>
      <c r="C981" s="89"/>
      <c r="D981" s="89"/>
      <c r="E981" s="89"/>
      <c r="F981" s="89"/>
      <c r="G981" s="89"/>
      <c r="H981" s="89"/>
      <c r="I981" s="9"/>
      <c r="J981" s="9"/>
      <c r="K981" s="9"/>
    </row>
    <row r="982" spans="1:11" x14ac:dyDescent="0.2">
      <c r="A982" s="89"/>
      <c r="B982" s="89"/>
      <c r="C982" s="89"/>
      <c r="D982" s="89"/>
      <c r="E982" s="89"/>
      <c r="F982" s="89"/>
      <c r="G982" s="89"/>
      <c r="H982" s="89"/>
      <c r="I982" s="9"/>
      <c r="J982" s="9"/>
      <c r="K982" s="9"/>
    </row>
    <row r="983" spans="1:11" x14ac:dyDescent="0.2">
      <c r="A983" s="89"/>
      <c r="B983" s="89"/>
      <c r="C983" s="89"/>
      <c r="D983" s="89"/>
      <c r="E983" s="89"/>
      <c r="F983" s="89"/>
      <c r="G983" s="89"/>
      <c r="H983" s="89"/>
      <c r="I983" s="9"/>
      <c r="J983" s="9"/>
      <c r="K983" s="9"/>
    </row>
    <row r="984" spans="1:11" x14ac:dyDescent="0.2">
      <c r="A984" s="89"/>
      <c r="B984" s="89"/>
      <c r="C984" s="89"/>
      <c r="D984" s="89"/>
      <c r="E984" s="89"/>
      <c r="F984" s="89"/>
      <c r="G984" s="89"/>
      <c r="H984" s="89"/>
      <c r="I984" s="9"/>
      <c r="J984" s="9"/>
      <c r="K984" s="9"/>
    </row>
    <row r="985" spans="1:11" x14ac:dyDescent="0.2">
      <c r="A985" s="89"/>
      <c r="B985" s="89"/>
      <c r="C985" s="89"/>
      <c r="D985" s="89"/>
      <c r="E985" s="89"/>
      <c r="F985" s="89"/>
      <c r="G985" s="89"/>
      <c r="H985" s="89"/>
      <c r="I985" s="9"/>
      <c r="J985" s="9"/>
      <c r="K985" s="9"/>
    </row>
    <row r="986" spans="1:11" x14ac:dyDescent="0.2">
      <c r="A986" s="89"/>
      <c r="B986" s="89"/>
      <c r="C986" s="89"/>
      <c r="D986" s="89"/>
      <c r="E986" s="89"/>
      <c r="F986" s="89"/>
      <c r="G986" s="89"/>
      <c r="H986" s="89"/>
      <c r="I986" s="9"/>
      <c r="J986" s="9"/>
      <c r="K986" s="9"/>
    </row>
    <row r="987" spans="1:11" x14ac:dyDescent="0.2">
      <c r="A987" s="89"/>
      <c r="B987" s="89"/>
      <c r="C987" s="89"/>
      <c r="D987" s="89"/>
      <c r="E987" s="89"/>
      <c r="F987" s="89"/>
      <c r="G987" s="89"/>
      <c r="H987" s="89"/>
      <c r="I987" s="9"/>
      <c r="J987" s="9"/>
      <c r="K987" s="9"/>
    </row>
    <row r="988" spans="1:11" x14ac:dyDescent="0.2">
      <c r="A988" s="89"/>
      <c r="B988" s="89"/>
      <c r="C988" s="89"/>
      <c r="D988" s="89"/>
      <c r="E988" s="89"/>
      <c r="F988" s="89"/>
      <c r="G988" s="89"/>
      <c r="H988" s="89"/>
      <c r="I988" s="9"/>
      <c r="J988" s="9"/>
      <c r="K988" s="9"/>
    </row>
    <row r="989" spans="1:11" x14ac:dyDescent="0.2">
      <c r="A989" s="89"/>
      <c r="B989" s="89"/>
      <c r="C989" s="89"/>
      <c r="D989" s="89"/>
      <c r="E989" s="89"/>
      <c r="F989" s="89"/>
      <c r="G989" s="89"/>
      <c r="H989" s="89"/>
      <c r="I989" s="9"/>
      <c r="J989" s="9"/>
      <c r="K989" s="9"/>
    </row>
    <row r="990" spans="1:11" x14ac:dyDescent="0.2">
      <c r="A990" s="89"/>
      <c r="B990" s="89"/>
      <c r="C990" s="89"/>
      <c r="D990" s="89"/>
      <c r="E990" s="89"/>
      <c r="F990" s="89"/>
      <c r="G990" s="89"/>
      <c r="H990" s="89"/>
      <c r="I990" s="9"/>
      <c r="J990" s="9"/>
      <c r="K990" s="9"/>
    </row>
    <row r="991" spans="1:11" x14ac:dyDescent="0.2">
      <c r="A991" s="89"/>
      <c r="B991" s="89"/>
      <c r="C991" s="89"/>
      <c r="D991" s="89"/>
      <c r="E991" s="89"/>
      <c r="F991" s="89"/>
      <c r="G991" s="89"/>
      <c r="H991" s="89"/>
      <c r="I991" s="9"/>
      <c r="J991" s="9"/>
      <c r="K991" s="9"/>
    </row>
    <row r="992" spans="1:11" x14ac:dyDescent="0.2">
      <c r="A992" s="89"/>
      <c r="B992" s="89"/>
      <c r="C992" s="89"/>
      <c r="D992" s="89"/>
      <c r="E992" s="89"/>
      <c r="F992" s="89"/>
      <c r="G992" s="89"/>
      <c r="H992" s="89"/>
      <c r="I992" s="9"/>
      <c r="J992" s="9"/>
      <c r="K992" s="9"/>
    </row>
    <row r="993" spans="1:11" x14ac:dyDescent="0.2">
      <c r="A993" s="89"/>
      <c r="B993" s="89"/>
      <c r="C993" s="89"/>
      <c r="D993" s="89"/>
      <c r="E993" s="89"/>
      <c r="F993" s="89"/>
      <c r="G993" s="89"/>
      <c r="H993" s="89"/>
      <c r="I993" s="9"/>
      <c r="J993" s="9"/>
      <c r="K993" s="9"/>
    </row>
    <row r="994" spans="1:11" x14ac:dyDescent="0.2">
      <c r="A994" s="89"/>
      <c r="B994" s="89"/>
      <c r="C994" s="89"/>
      <c r="D994" s="89"/>
      <c r="E994" s="89"/>
      <c r="F994" s="89"/>
      <c r="G994" s="89"/>
      <c r="H994" s="89"/>
      <c r="I994" s="9"/>
      <c r="J994" s="9"/>
      <c r="K994" s="9"/>
    </row>
    <row r="995" spans="1:11" x14ac:dyDescent="0.2">
      <c r="A995" s="89"/>
      <c r="B995" s="89"/>
      <c r="C995" s="89"/>
      <c r="D995" s="89"/>
      <c r="E995" s="89"/>
      <c r="F995" s="89"/>
      <c r="G995" s="89"/>
      <c r="H995" s="89"/>
      <c r="I995" s="9"/>
      <c r="J995" s="9"/>
      <c r="K995" s="9"/>
    </row>
    <row r="996" spans="1:11" x14ac:dyDescent="0.2">
      <c r="A996" s="89"/>
      <c r="B996" s="89"/>
      <c r="C996" s="89"/>
      <c r="D996" s="89"/>
      <c r="E996" s="89"/>
      <c r="F996" s="89"/>
      <c r="G996" s="89"/>
      <c r="H996" s="89"/>
      <c r="I996" s="9"/>
      <c r="J996" s="9"/>
      <c r="K996" s="9"/>
    </row>
    <row r="997" spans="1:11" x14ac:dyDescent="0.2">
      <c r="A997" s="89"/>
      <c r="B997" s="89"/>
      <c r="C997" s="89"/>
      <c r="D997" s="89"/>
      <c r="E997" s="89"/>
      <c r="F997" s="89"/>
      <c r="G997" s="89"/>
      <c r="H997" s="89"/>
      <c r="I997" s="9"/>
      <c r="J997" s="9"/>
      <c r="K997" s="9"/>
    </row>
    <row r="998" spans="1:11" x14ac:dyDescent="0.2">
      <c r="A998" s="89"/>
      <c r="B998" s="89"/>
      <c r="C998" s="89"/>
      <c r="D998" s="89"/>
      <c r="E998" s="89"/>
      <c r="F998" s="89"/>
      <c r="G998" s="89"/>
      <c r="H998" s="89"/>
      <c r="I998" s="9"/>
      <c r="J998" s="9"/>
      <c r="K998" s="9"/>
    </row>
    <row r="999" spans="1:11" x14ac:dyDescent="0.2">
      <c r="A999" s="89"/>
      <c r="B999" s="89"/>
      <c r="C999" s="89"/>
      <c r="D999" s="89"/>
      <c r="E999" s="89"/>
      <c r="F999" s="89"/>
      <c r="G999" s="89"/>
      <c r="H999" s="89"/>
      <c r="I999" s="9"/>
      <c r="J999" s="9"/>
      <c r="K999" s="9"/>
    </row>
    <row r="1000" spans="1:11" x14ac:dyDescent="0.2">
      <c r="A1000" s="89"/>
      <c r="B1000" s="89"/>
      <c r="C1000" s="89"/>
      <c r="D1000" s="89"/>
      <c r="E1000" s="89"/>
      <c r="F1000" s="89"/>
      <c r="G1000" s="89"/>
      <c r="H1000" s="89"/>
      <c r="I1000" s="9"/>
      <c r="J1000" s="9"/>
      <c r="K1000" s="9"/>
    </row>
    <row r="1001" spans="1:11" ht="15" x14ac:dyDescent="0.25">
      <c r="A1001"/>
      <c r="B1001"/>
      <c r="C1001"/>
      <c r="D1001"/>
      <c r="E1001"/>
      <c r="F1001"/>
      <c r="G1001"/>
      <c r="H1001"/>
      <c r="I1001" s="9"/>
      <c r="J1001" s="9"/>
      <c r="K1001" s="9"/>
    </row>
    <row r="1002" spans="1:11" ht="15" x14ac:dyDescent="0.25">
      <c r="A1002"/>
      <c r="B1002"/>
      <c r="C1002"/>
      <c r="D1002"/>
      <c r="E1002"/>
      <c r="F1002"/>
      <c r="G1002"/>
      <c r="H1002"/>
      <c r="I1002" s="9"/>
      <c r="J1002" s="9"/>
      <c r="K1002" s="9"/>
    </row>
    <row r="1003" spans="1:11" ht="15" x14ac:dyDescent="0.25">
      <c r="A1003"/>
      <c r="B1003"/>
      <c r="C1003"/>
      <c r="D1003"/>
      <c r="E1003"/>
      <c r="F1003"/>
      <c r="G1003"/>
      <c r="H1003"/>
      <c r="I1003" s="9"/>
      <c r="J1003" s="9"/>
      <c r="K1003" s="9"/>
    </row>
    <row r="1004" spans="1:11" ht="15" x14ac:dyDescent="0.25">
      <c r="A1004"/>
      <c r="B1004"/>
      <c r="C1004"/>
      <c r="D1004"/>
      <c r="E1004"/>
      <c r="F1004"/>
      <c r="G1004"/>
      <c r="H1004"/>
      <c r="I1004" s="9"/>
      <c r="J1004" s="9"/>
      <c r="K1004" s="9"/>
    </row>
    <row r="1005" spans="1:11" ht="15" x14ac:dyDescent="0.25">
      <c r="A1005"/>
      <c r="B1005"/>
      <c r="C1005"/>
      <c r="D1005"/>
      <c r="E1005"/>
      <c r="F1005"/>
      <c r="G1005"/>
      <c r="H1005"/>
      <c r="I1005" s="9"/>
      <c r="J1005" s="9"/>
      <c r="K1005" s="9"/>
    </row>
    <row r="1006" spans="1:11" ht="15" x14ac:dyDescent="0.25">
      <c r="A1006"/>
      <c r="B1006"/>
      <c r="C1006"/>
      <c r="D1006"/>
      <c r="E1006"/>
      <c r="F1006"/>
      <c r="G1006"/>
      <c r="H1006"/>
      <c r="I1006" s="9"/>
      <c r="J1006" s="9"/>
      <c r="K1006" s="9"/>
    </row>
    <row r="1007" spans="1:11" ht="15" x14ac:dyDescent="0.25">
      <c r="A1007"/>
      <c r="B1007"/>
      <c r="C1007"/>
      <c r="D1007"/>
      <c r="E1007"/>
      <c r="F1007"/>
      <c r="G1007"/>
      <c r="H1007"/>
      <c r="I1007" s="9"/>
      <c r="J1007" s="9"/>
      <c r="K1007" s="9"/>
    </row>
    <row r="1008" spans="1:11" ht="15" x14ac:dyDescent="0.25">
      <c r="A1008"/>
      <c r="B1008"/>
      <c r="C1008"/>
      <c r="D1008"/>
      <c r="E1008"/>
      <c r="F1008"/>
      <c r="G1008"/>
      <c r="H1008"/>
      <c r="I1008" s="9"/>
      <c r="J1008" s="9"/>
      <c r="K1008" s="9"/>
    </row>
    <row r="1009" spans="1:11" ht="15" x14ac:dyDescent="0.25">
      <c r="A1009"/>
      <c r="B1009"/>
      <c r="C1009"/>
      <c r="D1009"/>
      <c r="E1009"/>
      <c r="F1009"/>
      <c r="G1009"/>
      <c r="H1009"/>
      <c r="I1009" s="9"/>
      <c r="J1009" s="9"/>
      <c r="K1009" s="9"/>
    </row>
    <row r="1010" spans="1:11" ht="15" x14ac:dyDescent="0.25">
      <c r="A1010"/>
      <c r="B1010"/>
      <c r="C1010"/>
      <c r="D1010"/>
      <c r="E1010"/>
      <c r="F1010"/>
      <c r="G1010"/>
      <c r="H1010"/>
      <c r="I1010" s="9"/>
      <c r="J1010" s="9"/>
      <c r="K1010" s="9"/>
    </row>
    <row r="1011" spans="1:11" ht="15" x14ac:dyDescent="0.25">
      <c r="A1011"/>
      <c r="B1011"/>
      <c r="C1011"/>
      <c r="D1011"/>
      <c r="E1011"/>
      <c r="F1011"/>
      <c r="G1011"/>
      <c r="H1011"/>
      <c r="I1011" s="9"/>
      <c r="J1011" s="9"/>
      <c r="K1011" s="9"/>
    </row>
    <row r="1012" spans="1:11" ht="15" x14ac:dyDescent="0.25">
      <c r="A1012"/>
      <c r="B1012"/>
      <c r="C1012"/>
      <c r="D1012"/>
      <c r="E1012"/>
      <c r="F1012"/>
      <c r="G1012"/>
      <c r="H1012"/>
      <c r="I1012" s="9"/>
      <c r="J1012" s="9"/>
      <c r="K1012" s="9"/>
    </row>
    <row r="1013" spans="1:11" x14ac:dyDescent="0.2">
      <c r="A1013" s="12"/>
      <c r="B1013" s="13"/>
      <c r="C1013" s="13"/>
      <c r="D1013" s="13"/>
      <c r="E1013" s="14"/>
      <c r="F1013" s="13"/>
      <c r="G1013" s="13"/>
      <c r="H1013" s="13"/>
      <c r="I1013" s="9"/>
      <c r="J1013" s="9"/>
      <c r="K1013" s="9"/>
    </row>
    <row r="1014" spans="1:11" x14ac:dyDescent="0.2">
      <c r="A1014" s="12"/>
      <c r="B1014" s="13"/>
      <c r="C1014" s="13"/>
      <c r="D1014" s="13"/>
      <c r="E1014" s="14"/>
      <c r="F1014" s="13"/>
      <c r="G1014" s="13"/>
      <c r="H1014" s="13"/>
      <c r="I1014" s="9"/>
      <c r="J1014" s="9"/>
      <c r="K1014" s="9"/>
    </row>
    <row r="1015" spans="1:11" x14ac:dyDescent="0.2">
      <c r="A1015" s="12"/>
      <c r="B1015" s="13"/>
      <c r="C1015" s="13"/>
      <c r="D1015" s="13"/>
      <c r="E1015" s="14"/>
      <c r="F1015" s="13"/>
      <c r="G1015" s="13"/>
      <c r="H1015" s="13"/>
      <c r="I1015" s="9"/>
      <c r="J1015" s="9"/>
      <c r="K1015" s="9"/>
    </row>
    <row r="1016" spans="1:11" x14ac:dyDescent="0.2">
      <c r="A1016" s="12"/>
      <c r="B1016" s="13"/>
      <c r="C1016" s="13"/>
      <c r="D1016" s="13"/>
      <c r="E1016" s="14"/>
      <c r="F1016" s="13"/>
      <c r="G1016" s="13"/>
      <c r="H1016" s="13"/>
      <c r="I1016" s="9"/>
      <c r="J1016" s="9"/>
      <c r="K1016" s="9"/>
    </row>
    <row r="1017" spans="1:11" x14ac:dyDescent="0.2">
      <c r="A1017" s="12"/>
      <c r="B1017" s="13"/>
      <c r="C1017" s="13"/>
      <c r="D1017" s="13"/>
      <c r="E1017" s="14"/>
      <c r="F1017" s="13"/>
      <c r="G1017" s="13"/>
      <c r="H1017" s="13"/>
      <c r="I1017" s="9"/>
      <c r="J1017" s="9"/>
      <c r="K1017" s="9"/>
    </row>
    <row r="1018" spans="1:11" x14ac:dyDescent="0.2">
      <c r="A1018" s="12"/>
      <c r="B1018" s="13"/>
      <c r="C1018" s="13"/>
      <c r="D1018" s="13"/>
      <c r="E1018" s="14"/>
      <c r="F1018" s="13"/>
      <c r="G1018" s="13"/>
      <c r="H1018" s="13"/>
      <c r="I1018" s="9"/>
      <c r="J1018" s="9"/>
      <c r="K1018" s="9"/>
    </row>
    <row r="1019" spans="1:11" x14ac:dyDescent="0.2">
      <c r="A1019" s="12"/>
      <c r="B1019" s="13"/>
      <c r="C1019" s="13"/>
      <c r="D1019" s="13"/>
      <c r="E1019" s="14"/>
      <c r="F1019" s="13"/>
      <c r="G1019" s="13"/>
      <c r="H1019" s="13"/>
      <c r="I1019" s="9"/>
      <c r="J1019" s="9"/>
      <c r="K1019" s="9"/>
    </row>
    <row r="1020" spans="1:11" x14ac:dyDescent="0.2">
      <c r="A1020" s="12"/>
      <c r="B1020" s="13"/>
      <c r="C1020" s="13"/>
      <c r="D1020" s="13"/>
      <c r="E1020" s="14"/>
      <c r="F1020" s="13"/>
      <c r="G1020" s="13"/>
      <c r="H1020" s="13"/>
      <c r="I1020" s="9"/>
      <c r="J1020" s="9"/>
      <c r="K1020" s="9"/>
    </row>
    <row r="1021" spans="1:11" x14ac:dyDescent="0.2">
      <c r="A1021" s="12"/>
      <c r="B1021" s="13"/>
      <c r="C1021" s="13"/>
      <c r="D1021" s="13"/>
      <c r="E1021" s="14"/>
      <c r="F1021" s="13"/>
      <c r="G1021" s="13"/>
      <c r="H1021" s="13"/>
      <c r="I1021" s="9"/>
      <c r="J1021" s="9"/>
      <c r="K1021" s="9"/>
    </row>
    <row r="1022" spans="1:11" x14ac:dyDescent="0.2">
      <c r="A1022" s="12"/>
      <c r="B1022" s="13"/>
      <c r="C1022" s="13"/>
      <c r="D1022" s="13"/>
      <c r="E1022" s="14"/>
      <c r="F1022" s="13"/>
      <c r="G1022" s="13"/>
      <c r="H1022" s="13"/>
      <c r="I1022" s="9"/>
      <c r="J1022" s="9"/>
      <c r="K1022" s="9"/>
    </row>
    <row r="1023" spans="1:11" x14ac:dyDescent="0.2">
      <c r="A1023" s="12"/>
      <c r="B1023" s="13"/>
      <c r="C1023" s="13"/>
      <c r="D1023" s="13"/>
      <c r="E1023" s="14"/>
      <c r="F1023" s="13"/>
      <c r="G1023" s="13"/>
      <c r="H1023" s="13"/>
      <c r="I1023" s="9"/>
      <c r="J1023" s="9"/>
      <c r="K1023" s="9"/>
    </row>
    <row r="1024" spans="1:11" x14ac:dyDescent="0.2">
      <c r="A1024" s="12"/>
      <c r="B1024" s="13"/>
      <c r="C1024" s="13"/>
      <c r="D1024" s="13"/>
      <c r="E1024" s="14"/>
      <c r="F1024" s="13"/>
      <c r="G1024" s="13"/>
      <c r="H1024" s="13"/>
      <c r="I1024" s="9"/>
      <c r="J1024" s="9"/>
      <c r="K1024" s="9"/>
    </row>
    <row r="1025" spans="1:11" x14ac:dyDescent="0.2">
      <c r="A1025" s="12"/>
      <c r="B1025" s="13"/>
      <c r="C1025" s="13"/>
      <c r="D1025" s="13"/>
      <c r="E1025" s="14"/>
      <c r="F1025" s="13"/>
      <c r="G1025" s="13"/>
      <c r="H1025" s="13"/>
      <c r="I1025" s="9"/>
      <c r="J1025" s="9"/>
      <c r="K1025" s="9"/>
    </row>
    <row r="1026" spans="1:11" x14ac:dyDescent="0.2">
      <c r="A1026" s="12"/>
      <c r="B1026" s="13"/>
      <c r="C1026" s="13"/>
      <c r="D1026" s="13"/>
      <c r="E1026" s="14"/>
      <c r="F1026" s="13"/>
      <c r="G1026" s="13"/>
      <c r="H1026" s="13"/>
      <c r="I1026" s="9"/>
      <c r="J1026" s="9"/>
      <c r="K1026" s="9"/>
    </row>
    <row r="1027" spans="1:11" x14ac:dyDescent="0.2">
      <c r="A1027" s="12"/>
      <c r="B1027" s="13"/>
      <c r="C1027" s="13"/>
      <c r="D1027" s="13"/>
      <c r="E1027" s="14"/>
      <c r="F1027" s="13"/>
      <c r="G1027" s="13"/>
      <c r="H1027" s="13"/>
      <c r="I1027" s="9"/>
      <c r="J1027" s="9"/>
      <c r="K1027" s="9"/>
    </row>
    <row r="1028" spans="1:11" x14ac:dyDescent="0.2">
      <c r="A1028" s="12"/>
      <c r="B1028" s="13"/>
      <c r="C1028" s="13"/>
      <c r="D1028" s="13"/>
      <c r="E1028" s="14"/>
      <c r="F1028" s="13"/>
      <c r="G1028" s="13"/>
      <c r="H1028" s="13"/>
      <c r="I1028" s="9"/>
      <c r="J1028" s="9"/>
      <c r="K1028" s="9"/>
    </row>
    <row r="1029" spans="1:11" x14ac:dyDescent="0.2">
      <c r="A1029" s="12"/>
      <c r="B1029" s="13"/>
      <c r="C1029" s="13"/>
      <c r="D1029" s="13"/>
      <c r="E1029" s="14"/>
      <c r="F1029" s="13"/>
      <c r="G1029" s="13"/>
      <c r="H1029" s="13"/>
      <c r="I1029" s="9"/>
      <c r="J1029" s="9"/>
      <c r="K1029" s="9"/>
    </row>
    <row r="1030" spans="1:11" x14ac:dyDescent="0.2">
      <c r="A1030" s="12"/>
      <c r="B1030" s="13"/>
      <c r="C1030" s="13"/>
      <c r="D1030" s="13"/>
      <c r="E1030" s="14"/>
      <c r="F1030" s="13"/>
      <c r="G1030" s="13"/>
      <c r="H1030" s="13"/>
      <c r="I1030" s="9"/>
      <c r="J1030" s="9"/>
      <c r="K1030" s="9"/>
    </row>
    <row r="1031" spans="1:11" x14ac:dyDescent="0.2">
      <c r="A1031" s="12"/>
      <c r="B1031" s="13"/>
      <c r="C1031" s="13"/>
      <c r="D1031" s="13"/>
      <c r="E1031" s="14"/>
      <c r="F1031" s="13"/>
      <c r="G1031" s="13"/>
      <c r="H1031" s="13"/>
      <c r="I1031" s="9"/>
      <c r="J1031" s="9"/>
      <c r="K1031" s="9"/>
    </row>
    <row r="1032" spans="1:11" x14ac:dyDescent="0.2">
      <c r="A1032" s="12"/>
      <c r="B1032" s="13"/>
      <c r="C1032" s="13"/>
      <c r="D1032" s="13"/>
      <c r="E1032" s="14"/>
      <c r="F1032" s="13"/>
      <c r="G1032" s="13"/>
      <c r="H1032" s="13"/>
      <c r="I1032" s="9"/>
      <c r="J1032" s="9"/>
      <c r="K1032" s="9"/>
    </row>
    <row r="1033" spans="1:11" x14ac:dyDescent="0.2">
      <c r="A1033" s="12"/>
      <c r="B1033" s="13"/>
      <c r="C1033" s="13"/>
      <c r="D1033" s="13"/>
      <c r="E1033" s="14"/>
      <c r="F1033" s="13"/>
      <c r="G1033" s="13"/>
      <c r="H1033" s="13"/>
      <c r="I1033" s="9"/>
      <c r="J1033" s="9"/>
      <c r="K1033" s="9"/>
    </row>
    <row r="1034" spans="1:11" x14ac:dyDescent="0.2">
      <c r="A1034" s="12"/>
      <c r="B1034" s="13"/>
      <c r="C1034" s="13"/>
      <c r="D1034" s="13"/>
      <c r="E1034" s="14"/>
      <c r="F1034" s="13"/>
      <c r="G1034" s="13"/>
      <c r="H1034" s="13"/>
      <c r="I1034" s="9"/>
      <c r="J1034" s="9"/>
      <c r="K1034" s="9"/>
    </row>
    <row r="1035" spans="1:11" x14ac:dyDescent="0.2">
      <c r="A1035" s="12"/>
      <c r="B1035" s="13"/>
      <c r="C1035" s="13"/>
      <c r="D1035" s="13"/>
      <c r="E1035" s="14"/>
      <c r="F1035" s="13"/>
      <c r="G1035" s="13"/>
      <c r="H1035" s="13"/>
      <c r="I1035" s="9"/>
      <c r="J1035" s="9"/>
      <c r="K1035" s="9"/>
    </row>
    <row r="1036" spans="1:11" x14ac:dyDescent="0.2">
      <c r="A1036" s="12"/>
      <c r="B1036" s="13"/>
      <c r="C1036" s="13"/>
      <c r="D1036" s="13"/>
      <c r="E1036" s="14"/>
      <c r="F1036" s="13"/>
      <c r="G1036" s="13"/>
      <c r="H1036" s="13"/>
      <c r="I1036" s="9"/>
      <c r="J1036" s="9"/>
      <c r="K1036" s="9"/>
    </row>
    <row r="1037" spans="1:11" x14ac:dyDescent="0.2">
      <c r="A1037" s="12"/>
      <c r="B1037" s="13"/>
      <c r="C1037" s="13"/>
      <c r="D1037" s="13"/>
      <c r="E1037" s="14"/>
      <c r="F1037" s="13"/>
      <c r="G1037" s="13"/>
      <c r="H1037" s="13"/>
      <c r="I1037" s="9"/>
      <c r="J1037" s="9"/>
      <c r="K1037" s="9"/>
    </row>
    <row r="1038" spans="1:11" x14ac:dyDescent="0.2">
      <c r="A1038" s="12"/>
      <c r="B1038" s="13"/>
      <c r="C1038" s="13"/>
      <c r="D1038" s="13"/>
      <c r="E1038" s="14"/>
      <c r="F1038" s="13"/>
      <c r="G1038" s="13"/>
      <c r="H1038" s="13"/>
      <c r="I1038" s="9"/>
      <c r="J1038" s="9"/>
      <c r="K1038" s="9"/>
    </row>
    <row r="1039" spans="1:11" x14ac:dyDescent="0.2">
      <c r="A1039" s="12"/>
      <c r="B1039" s="13"/>
      <c r="C1039" s="13"/>
      <c r="D1039" s="13"/>
      <c r="E1039" s="14"/>
      <c r="F1039" s="13"/>
      <c r="G1039" s="13"/>
      <c r="H1039" s="13"/>
      <c r="I1039" s="9"/>
      <c r="J1039" s="9"/>
      <c r="K1039" s="9"/>
    </row>
    <row r="1040" spans="1:11" x14ac:dyDescent="0.2">
      <c r="A1040" s="12"/>
      <c r="B1040" s="13"/>
      <c r="C1040" s="13"/>
      <c r="D1040" s="13"/>
      <c r="E1040" s="14"/>
      <c r="F1040" s="13"/>
      <c r="G1040" s="13"/>
      <c r="H1040" s="13"/>
      <c r="I1040" s="9"/>
      <c r="J1040" s="9"/>
      <c r="K1040" s="9"/>
    </row>
    <row r="1041" spans="1:11" x14ac:dyDescent="0.2">
      <c r="A1041" s="12"/>
      <c r="B1041" s="13"/>
      <c r="C1041" s="13"/>
      <c r="D1041" s="13"/>
      <c r="E1041" s="14"/>
      <c r="F1041" s="13"/>
      <c r="G1041" s="13"/>
      <c r="H1041" s="13"/>
      <c r="I1041" s="9"/>
      <c r="J1041" s="9"/>
      <c r="K1041" s="9"/>
    </row>
    <row r="1042" spans="1:11" x14ac:dyDescent="0.2">
      <c r="A1042" s="12"/>
      <c r="B1042" s="13"/>
      <c r="C1042" s="13"/>
      <c r="D1042" s="13"/>
      <c r="E1042" s="14"/>
      <c r="F1042" s="13"/>
      <c r="G1042" s="13"/>
      <c r="H1042" s="13"/>
      <c r="I1042" s="9"/>
      <c r="J1042" s="9"/>
      <c r="K1042" s="9"/>
    </row>
    <row r="1043" spans="1:11" x14ac:dyDescent="0.2">
      <c r="A1043" s="12"/>
      <c r="B1043" s="13"/>
      <c r="C1043" s="13"/>
      <c r="D1043" s="13"/>
      <c r="E1043" s="14"/>
      <c r="F1043" s="13"/>
      <c r="G1043" s="13"/>
      <c r="H1043" s="13"/>
      <c r="I1043" s="9"/>
      <c r="J1043" s="9"/>
      <c r="K1043" s="9"/>
    </row>
    <row r="1044" spans="1:11" x14ac:dyDescent="0.2">
      <c r="A1044" s="12"/>
      <c r="B1044" s="13"/>
      <c r="C1044" s="13"/>
      <c r="D1044" s="13"/>
      <c r="E1044" s="14"/>
      <c r="F1044" s="13"/>
      <c r="G1044" s="13"/>
      <c r="H1044" s="13"/>
      <c r="I1044" s="9"/>
      <c r="J1044" s="9"/>
      <c r="K1044" s="9"/>
    </row>
    <row r="1045" spans="1:11" x14ac:dyDescent="0.2">
      <c r="A1045" s="12"/>
      <c r="B1045" s="13"/>
      <c r="C1045" s="13"/>
      <c r="D1045" s="13"/>
      <c r="E1045" s="14"/>
      <c r="F1045" s="13"/>
      <c r="G1045" s="13"/>
      <c r="H1045" s="13"/>
      <c r="I1045" s="9"/>
      <c r="J1045" s="9"/>
      <c r="K1045" s="9"/>
    </row>
    <row r="1046" spans="1:11" x14ac:dyDescent="0.2">
      <c r="A1046" s="12"/>
      <c r="B1046" s="13"/>
      <c r="C1046" s="13"/>
      <c r="D1046" s="13"/>
      <c r="E1046" s="14"/>
      <c r="F1046" s="13"/>
      <c r="G1046" s="13"/>
      <c r="H1046" s="13"/>
      <c r="I1046" s="9"/>
      <c r="J1046" s="9"/>
      <c r="K1046" s="9"/>
    </row>
    <row r="1047" spans="1:11" x14ac:dyDescent="0.2">
      <c r="A1047" s="12"/>
      <c r="B1047" s="13"/>
      <c r="C1047" s="13"/>
      <c r="D1047" s="13"/>
      <c r="E1047" s="14"/>
      <c r="F1047" s="13"/>
      <c r="G1047" s="13"/>
      <c r="H1047" s="13"/>
      <c r="I1047" s="9"/>
      <c r="J1047" s="9"/>
      <c r="K1047" s="9"/>
    </row>
    <row r="1048" spans="1:11" x14ac:dyDescent="0.2">
      <c r="A1048" s="12"/>
      <c r="B1048" s="13"/>
      <c r="C1048" s="13"/>
      <c r="D1048" s="13"/>
      <c r="E1048" s="14"/>
      <c r="F1048" s="13"/>
      <c r="G1048" s="13"/>
      <c r="H1048" s="13"/>
      <c r="I1048" s="9"/>
      <c r="J1048" s="9"/>
      <c r="K1048" s="9"/>
    </row>
    <row r="1049" spans="1:11" x14ac:dyDescent="0.2">
      <c r="A1049" s="12"/>
      <c r="B1049" s="13"/>
      <c r="C1049" s="13"/>
      <c r="D1049" s="13"/>
      <c r="E1049" s="14"/>
      <c r="F1049" s="13"/>
      <c r="G1049" s="13"/>
      <c r="H1049" s="13"/>
      <c r="I1049" s="9"/>
      <c r="J1049" s="9"/>
      <c r="K1049" s="9"/>
    </row>
    <row r="1050" spans="1:11" x14ac:dyDescent="0.2">
      <c r="A1050" s="12"/>
      <c r="B1050" s="13"/>
      <c r="C1050" s="13"/>
      <c r="D1050" s="13"/>
      <c r="E1050" s="14"/>
      <c r="F1050" s="13"/>
      <c r="G1050" s="13"/>
      <c r="H1050" s="13"/>
      <c r="I1050" s="9"/>
      <c r="J1050" s="9"/>
      <c r="K1050" s="9"/>
    </row>
    <row r="1051" spans="1:11" x14ac:dyDescent="0.2">
      <c r="A1051" s="12"/>
      <c r="B1051" s="13"/>
      <c r="C1051" s="13"/>
      <c r="D1051" s="13"/>
      <c r="E1051" s="14"/>
      <c r="F1051" s="13"/>
      <c r="G1051" s="13"/>
      <c r="H1051" s="13"/>
      <c r="I1051" s="9"/>
      <c r="J1051" s="9"/>
      <c r="K1051" s="9"/>
    </row>
    <row r="1052" spans="1:11" x14ac:dyDescent="0.2">
      <c r="A1052" s="12"/>
      <c r="B1052" s="13"/>
      <c r="C1052" s="13"/>
      <c r="D1052" s="13"/>
      <c r="E1052" s="14"/>
      <c r="F1052" s="13"/>
      <c r="G1052" s="13"/>
      <c r="H1052" s="13"/>
      <c r="I1052" s="9"/>
      <c r="J1052" s="9"/>
      <c r="K1052" s="9"/>
    </row>
    <row r="1053" spans="1:11" x14ac:dyDescent="0.2">
      <c r="A1053" s="12"/>
      <c r="B1053" s="13"/>
      <c r="C1053" s="13"/>
      <c r="D1053" s="13"/>
      <c r="E1053" s="14"/>
      <c r="F1053" s="13"/>
      <c r="G1053" s="13"/>
      <c r="H1053" s="13"/>
      <c r="I1053" s="9"/>
      <c r="J1053" s="9"/>
      <c r="K1053" s="9"/>
    </row>
    <row r="1054" spans="1:11" x14ac:dyDescent="0.2">
      <c r="A1054" s="12"/>
      <c r="B1054" s="13"/>
      <c r="C1054" s="13"/>
      <c r="D1054" s="13"/>
      <c r="E1054" s="14"/>
      <c r="F1054" s="13"/>
      <c r="G1054" s="13"/>
      <c r="H1054" s="13"/>
      <c r="I1054" s="9"/>
      <c r="J1054" s="9"/>
      <c r="K1054" s="9"/>
    </row>
    <row r="1055" spans="1:11" x14ac:dyDescent="0.2">
      <c r="A1055" s="12"/>
      <c r="B1055" s="13"/>
      <c r="C1055" s="13"/>
      <c r="D1055" s="13"/>
      <c r="E1055" s="14"/>
      <c r="F1055" s="13"/>
      <c r="G1055" s="13"/>
      <c r="H1055" s="13"/>
      <c r="I1055" s="9"/>
      <c r="J1055" s="9"/>
      <c r="K1055" s="9"/>
    </row>
    <row r="1056" spans="1:11" x14ac:dyDescent="0.2">
      <c r="A1056" s="12"/>
      <c r="B1056" s="13"/>
      <c r="C1056" s="13"/>
      <c r="D1056" s="13"/>
      <c r="E1056" s="14"/>
      <c r="F1056" s="13"/>
      <c r="G1056" s="13"/>
      <c r="H1056" s="13"/>
      <c r="I1056" s="9"/>
      <c r="J1056" s="9"/>
      <c r="K1056" s="9"/>
    </row>
    <row r="1057" spans="1:11" x14ac:dyDescent="0.2">
      <c r="A1057" s="12"/>
      <c r="B1057" s="13"/>
      <c r="C1057" s="13"/>
      <c r="D1057" s="13"/>
      <c r="E1057" s="14"/>
      <c r="F1057" s="13"/>
      <c r="G1057" s="13"/>
      <c r="H1057" s="13"/>
      <c r="I1057" s="9"/>
      <c r="J1057" s="9"/>
      <c r="K1057" s="9"/>
    </row>
    <row r="1058" spans="1:11" x14ac:dyDescent="0.2">
      <c r="A1058" s="12"/>
      <c r="B1058" s="13"/>
      <c r="C1058" s="13"/>
      <c r="D1058" s="13"/>
      <c r="E1058" s="14"/>
      <c r="F1058" s="13"/>
      <c r="G1058" s="13"/>
      <c r="H1058" s="13"/>
      <c r="I1058" s="9"/>
      <c r="J1058" s="9"/>
      <c r="K1058" s="9"/>
    </row>
    <row r="1059" spans="1:11" x14ac:dyDescent="0.2">
      <c r="A1059" s="12"/>
      <c r="B1059" s="13"/>
      <c r="C1059" s="13"/>
      <c r="D1059" s="13"/>
      <c r="E1059" s="14"/>
      <c r="F1059" s="13"/>
      <c r="G1059" s="13"/>
      <c r="H1059" s="13"/>
      <c r="I1059" s="9"/>
      <c r="J1059" s="9"/>
      <c r="K1059" s="9"/>
    </row>
    <row r="1060" spans="1:11" x14ac:dyDescent="0.2">
      <c r="A1060" s="12"/>
      <c r="B1060" s="13"/>
      <c r="C1060" s="13"/>
      <c r="D1060" s="13"/>
      <c r="E1060" s="14"/>
      <c r="F1060" s="13"/>
      <c r="G1060" s="13"/>
      <c r="H1060" s="13"/>
      <c r="I1060" s="9"/>
      <c r="J1060" s="9"/>
      <c r="K1060" s="9"/>
    </row>
    <row r="1061" spans="1:11" x14ac:dyDescent="0.2">
      <c r="A1061" s="12"/>
      <c r="B1061" s="13"/>
      <c r="C1061" s="13"/>
      <c r="D1061" s="13"/>
      <c r="E1061" s="14"/>
      <c r="F1061" s="13"/>
      <c r="G1061" s="13"/>
      <c r="H1061" s="13"/>
      <c r="I1061" s="9"/>
      <c r="J1061" s="9"/>
      <c r="K1061" s="9"/>
    </row>
    <row r="1062" spans="1:11" x14ac:dyDescent="0.2">
      <c r="A1062" s="12"/>
      <c r="B1062" s="13"/>
      <c r="C1062" s="13"/>
      <c r="D1062" s="13"/>
      <c r="E1062" s="14"/>
      <c r="F1062" s="13"/>
      <c r="G1062" s="13"/>
      <c r="H1062" s="13"/>
      <c r="I1062" s="9"/>
      <c r="J1062" s="9"/>
      <c r="K1062" s="9"/>
    </row>
    <row r="1063" spans="1:11" x14ac:dyDescent="0.2">
      <c r="A1063" s="12"/>
      <c r="B1063" s="13"/>
      <c r="C1063" s="13"/>
      <c r="D1063" s="13"/>
      <c r="E1063" s="14"/>
      <c r="F1063" s="13"/>
      <c r="G1063" s="13"/>
      <c r="H1063" s="13"/>
      <c r="I1063" s="9"/>
      <c r="J1063" s="9"/>
      <c r="K1063" s="9"/>
    </row>
    <row r="1064" spans="1:11" x14ac:dyDescent="0.2">
      <c r="A1064" s="12"/>
      <c r="B1064" s="13"/>
      <c r="C1064" s="13"/>
      <c r="D1064" s="13"/>
      <c r="E1064" s="14"/>
      <c r="F1064" s="13"/>
      <c r="G1064" s="13"/>
      <c r="H1064" s="13"/>
      <c r="I1064" s="9"/>
      <c r="J1064" s="9"/>
      <c r="K1064" s="9"/>
    </row>
    <row r="1065" spans="1:11" x14ac:dyDescent="0.2">
      <c r="A1065" s="12"/>
      <c r="B1065" s="13"/>
      <c r="C1065" s="13"/>
      <c r="D1065" s="13"/>
      <c r="E1065" s="14"/>
      <c r="F1065" s="13"/>
      <c r="G1065" s="13"/>
      <c r="H1065" s="13"/>
      <c r="I1065" s="9"/>
      <c r="J1065" s="9"/>
      <c r="K1065" s="9"/>
    </row>
    <row r="1066" spans="1:11" x14ac:dyDescent="0.2">
      <c r="A1066" s="12"/>
      <c r="B1066" s="13"/>
      <c r="C1066" s="13"/>
      <c r="D1066" s="13"/>
      <c r="E1066" s="14"/>
      <c r="F1066" s="13"/>
      <c r="G1066" s="13"/>
      <c r="H1066" s="13"/>
      <c r="I1066" s="9"/>
      <c r="J1066" s="9"/>
      <c r="K1066" s="9"/>
    </row>
    <row r="1067" spans="1:11" x14ac:dyDescent="0.2">
      <c r="A1067" s="12"/>
      <c r="B1067" s="13"/>
      <c r="C1067" s="13"/>
      <c r="D1067" s="13"/>
      <c r="E1067" s="14"/>
      <c r="F1067" s="13"/>
      <c r="G1067" s="13"/>
      <c r="H1067" s="13"/>
      <c r="I1067" s="9"/>
      <c r="J1067" s="9"/>
      <c r="K1067" s="9"/>
    </row>
    <row r="1068" spans="1:11" x14ac:dyDescent="0.2">
      <c r="A1068" s="12"/>
      <c r="B1068" s="13"/>
      <c r="C1068" s="13"/>
      <c r="D1068" s="13"/>
      <c r="E1068" s="14"/>
      <c r="F1068" s="13"/>
      <c r="G1068" s="13"/>
      <c r="H1068" s="13"/>
      <c r="I1068" s="9"/>
      <c r="J1068" s="9"/>
      <c r="K1068" s="9"/>
    </row>
    <row r="1069" spans="1:11" x14ac:dyDescent="0.2">
      <c r="A1069" s="12"/>
      <c r="B1069" s="13"/>
      <c r="C1069" s="13"/>
      <c r="D1069" s="13"/>
      <c r="E1069" s="14"/>
      <c r="F1069" s="13"/>
      <c r="G1069" s="13"/>
      <c r="H1069" s="13"/>
      <c r="I1069" s="9"/>
      <c r="J1069" s="9"/>
      <c r="K1069" s="9"/>
    </row>
    <row r="1070" spans="1:11" x14ac:dyDescent="0.2">
      <c r="A1070" s="12"/>
      <c r="B1070" s="13"/>
      <c r="C1070" s="13"/>
      <c r="D1070" s="13"/>
      <c r="E1070" s="14"/>
      <c r="F1070" s="13"/>
      <c r="G1070" s="13"/>
      <c r="H1070" s="13"/>
      <c r="I1070" s="9"/>
      <c r="J1070" s="9"/>
      <c r="K1070" s="9"/>
    </row>
    <row r="1071" spans="1:11" x14ac:dyDescent="0.2">
      <c r="A1071" s="12"/>
      <c r="B1071" s="13"/>
      <c r="C1071" s="13"/>
      <c r="D1071" s="13"/>
      <c r="E1071" s="14"/>
      <c r="F1071" s="13"/>
      <c r="G1071" s="13"/>
      <c r="H1071" s="13"/>
      <c r="I1071" s="9"/>
      <c r="J1071" s="9"/>
      <c r="K1071" s="9"/>
    </row>
    <row r="1072" spans="1:11" x14ac:dyDescent="0.2">
      <c r="A1072" s="12"/>
      <c r="B1072" s="13"/>
      <c r="C1072" s="13"/>
      <c r="D1072" s="13"/>
      <c r="E1072" s="14"/>
      <c r="F1072" s="13"/>
      <c r="G1072" s="13"/>
      <c r="H1072" s="13"/>
      <c r="I1072" s="9"/>
      <c r="J1072" s="9"/>
      <c r="K1072" s="9"/>
    </row>
    <row r="1073" spans="1:11" x14ac:dyDescent="0.2">
      <c r="A1073" s="12"/>
      <c r="B1073" s="13"/>
      <c r="C1073" s="13"/>
      <c r="D1073" s="13"/>
      <c r="E1073" s="14"/>
      <c r="F1073" s="13"/>
      <c r="G1073" s="13"/>
      <c r="H1073" s="13"/>
      <c r="I1073" s="9"/>
      <c r="J1073" s="9"/>
      <c r="K1073" s="9"/>
    </row>
    <row r="1074" spans="1:11" x14ac:dyDescent="0.2">
      <c r="A1074" s="12"/>
      <c r="B1074" s="13"/>
      <c r="C1074" s="13"/>
      <c r="D1074" s="13"/>
      <c r="E1074" s="14"/>
      <c r="F1074" s="13"/>
      <c r="G1074" s="13"/>
      <c r="H1074" s="13"/>
      <c r="I1074" s="9"/>
      <c r="J1074" s="9"/>
      <c r="K1074" s="9"/>
    </row>
    <row r="1075" spans="1:11" x14ac:dyDescent="0.2">
      <c r="A1075" s="12"/>
      <c r="B1075" s="13"/>
      <c r="C1075" s="13"/>
      <c r="D1075" s="13"/>
      <c r="E1075" s="14"/>
      <c r="F1075" s="13"/>
      <c r="G1075" s="13"/>
      <c r="H1075" s="13"/>
      <c r="I1075" s="9"/>
      <c r="J1075" s="9"/>
      <c r="K1075" s="9"/>
    </row>
    <row r="1076" spans="1:11" x14ac:dyDescent="0.2">
      <c r="A1076" s="12"/>
      <c r="B1076" s="13"/>
      <c r="C1076" s="13"/>
      <c r="D1076" s="13"/>
      <c r="E1076" s="14"/>
      <c r="F1076" s="13"/>
      <c r="G1076" s="13"/>
      <c r="H1076" s="13"/>
      <c r="I1076" s="9"/>
      <c r="J1076" s="9"/>
      <c r="K1076" s="9"/>
    </row>
    <row r="1077" spans="1:11" x14ac:dyDescent="0.2">
      <c r="A1077" s="12"/>
      <c r="B1077" s="13"/>
      <c r="C1077" s="13"/>
      <c r="D1077" s="13"/>
      <c r="E1077" s="14"/>
      <c r="F1077" s="13"/>
      <c r="G1077" s="13"/>
      <c r="H1077" s="13"/>
      <c r="I1077" s="9"/>
      <c r="J1077" s="9"/>
      <c r="K1077" s="9"/>
    </row>
    <row r="1078" spans="1:11" x14ac:dyDescent="0.2">
      <c r="A1078" s="12"/>
      <c r="B1078" s="13"/>
      <c r="C1078" s="13"/>
      <c r="D1078" s="13"/>
      <c r="E1078" s="14"/>
      <c r="F1078" s="13"/>
      <c r="G1078" s="13"/>
      <c r="H1078" s="13"/>
      <c r="I1078" s="9"/>
      <c r="J1078" s="9"/>
      <c r="K1078" s="9"/>
    </row>
    <row r="1079" spans="1:11" x14ac:dyDescent="0.2">
      <c r="A1079" s="12"/>
      <c r="B1079" s="13"/>
      <c r="C1079" s="13"/>
      <c r="D1079" s="13"/>
      <c r="E1079" s="14"/>
      <c r="F1079" s="13"/>
      <c r="G1079" s="13"/>
      <c r="H1079" s="13"/>
      <c r="I1079" s="9"/>
      <c r="J1079" s="9"/>
      <c r="K1079" s="9"/>
    </row>
    <row r="1080" spans="1:11" x14ac:dyDescent="0.2">
      <c r="A1080" s="12"/>
      <c r="B1080" s="13"/>
      <c r="C1080" s="13"/>
      <c r="D1080" s="13"/>
      <c r="E1080" s="14"/>
      <c r="F1080" s="13"/>
      <c r="G1080" s="13"/>
      <c r="H1080" s="13"/>
      <c r="I1080" s="9"/>
      <c r="J1080" s="9"/>
      <c r="K1080" s="9"/>
    </row>
    <row r="1081" spans="1:11" x14ac:dyDescent="0.2">
      <c r="A1081" s="12"/>
      <c r="B1081" s="13"/>
      <c r="C1081" s="13"/>
      <c r="D1081" s="13"/>
      <c r="E1081" s="14"/>
      <c r="F1081" s="13"/>
      <c r="G1081" s="13"/>
      <c r="H1081" s="13"/>
      <c r="I1081" s="9"/>
      <c r="J1081" s="9"/>
      <c r="K1081" s="9"/>
    </row>
    <row r="1082" spans="1:11" x14ac:dyDescent="0.2">
      <c r="A1082" s="12"/>
      <c r="B1082" s="13"/>
      <c r="C1082" s="13"/>
      <c r="D1082" s="13"/>
      <c r="E1082" s="14"/>
      <c r="F1082" s="13"/>
      <c r="G1082" s="13"/>
      <c r="H1082" s="13"/>
      <c r="I1082" s="9"/>
      <c r="J1082" s="9"/>
      <c r="K1082" s="9"/>
    </row>
    <row r="1083" spans="1:11" x14ac:dyDescent="0.2">
      <c r="A1083" s="12"/>
      <c r="B1083" s="13"/>
      <c r="C1083" s="13"/>
      <c r="D1083" s="13"/>
      <c r="E1083" s="14"/>
      <c r="F1083" s="13"/>
      <c r="G1083" s="13"/>
      <c r="H1083" s="13"/>
      <c r="I1083" s="9"/>
      <c r="J1083" s="9"/>
      <c r="K1083" s="9"/>
    </row>
    <row r="1084" spans="1:11" x14ac:dyDescent="0.2">
      <c r="A1084" s="12"/>
      <c r="B1084" s="13"/>
      <c r="C1084" s="13"/>
      <c r="D1084" s="13"/>
      <c r="E1084" s="14"/>
      <c r="F1084" s="13"/>
      <c r="G1084" s="13"/>
      <c r="H1084" s="13"/>
      <c r="I1084" s="9"/>
      <c r="J1084" s="9"/>
      <c r="K1084" s="9"/>
    </row>
    <row r="1085" spans="1:11" x14ac:dyDescent="0.2">
      <c r="A1085" s="12"/>
      <c r="B1085" s="13"/>
      <c r="C1085" s="13"/>
      <c r="D1085" s="13"/>
      <c r="E1085" s="14"/>
      <c r="F1085" s="13"/>
      <c r="G1085" s="13"/>
      <c r="H1085" s="13"/>
      <c r="I1085" s="9"/>
      <c r="J1085" s="9"/>
      <c r="K1085" s="9"/>
    </row>
    <row r="1086" spans="1:11" x14ac:dyDescent="0.2">
      <c r="A1086" s="12"/>
      <c r="B1086" s="13"/>
      <c r="C1086" s="13"/>
      <c r="D1086" s="13"/>
      <c r="E1086" s="14"/>
      <c r="F1086" s="13"/>
      <c r="G1086" s="13"/>
      <c r="H1086" s="13"/>
      <c r="I1086" s="9"/>
      <c r="J1086" s="9"/>
      <c r="K1086" s="9"/>
    </row>
    <row r="1087" spans="1:11" x14ac:dyDescent="0.2">
      <c r="A1087" s="12"/>
      <c r="B1087" s="13"/>
      <c r="C1087" s="13"/>
      <c r="D1087" s="13"/>
      <c r="E1087" s="14"/>
      <c r="F1087" s="13"/>
      <c r="G1087" s="13"/>
      <c r="H1087" s="13"/>
      <c r="I1087" s="9"/>
      <c r="J1087" s="9"/>
      <c r="K1087" s="9"/>
    </row>
    <row r="1088" spans="1:11" x14ac:dyDescent="0.2">
      <c r="A1088" s="12"/>
      <c r="B1088" s="13"/>
      <c r="C1088" s="13"/>
      <c r="D1088" s="13"/>
      <c r="E1088" s="14"/>
      <c r="F1088" s="13"/>
      <c r="G1088" s="13"/>
      <c r="H1088" s="13"/>
      <c r="I1088" s="9"/>
      <c r="J1088" s="9"/>
      <c r="K1088" s="9"/>
    </row>
    <row r="1089" spans="1:11" x14ac:dyDescent="0.2">
      <c r="A1089" s="12"/>
      <c r="B1089" s="13"/>
      <c r="C1089" s="13"/>
      <c r="D1089" s="13"/>
      <c r="E1089" s="14"/>
      <c r="F1089" s="13"/>
      <c r="G1089" s="13"/>
      <c r="H1089" s="13"/>
      <c r="I1089" s="9"/>
      <c r="J1089" s="9"/>
      <c r="K1089" s="9"/>
    </row>
    <row r="1090" spans="1:11" x14ac:dyDescent="0.2">
      <c r="A1090" s="12"/>
      <c r="B1090" s="13"/>
      <c r="C1090" s="13"/>
      <c r="D1090" s="13"/>
      <c r="E1090" s="14"/>
      <c r="F1090" s="13"/>
      <c r="G1090" s="13"/>
      <c r="H1090" s="13"/>
      <c r="I1090" s="9"/>
      <c r="J1090" s="9"/>
      <c r="K1090" s="9"/>
    </row>
    <row r="1091" spans="1:11" x14ac:dyDescent="0.2">
      <c r="A1091" s="12"/>
      <c r="B1091" s="13"/>
      <c r="C1091" s="13"/>
      <c r="D1091" s="13"/>
      <c r="E1091" s="14"/>
      <c r="F1091" s="13"/>
      <c r="G1091" s="13"/>
      <c r="H1091" s="13"/>
      <c r="I1091" s="9"/>
      <c r="J1091" s="9"/>
      <c r="K1091" s="9"/>
    </row>
    <row r="1092" spans="1:11" x14ac:dyDescent="0.2">
      <c r="A1092" s="12"/>
      <c r="B1092" s="13"/>
      <c r="C1092" s="13"/>
      <c r="D1092" s="13"/>
      <c r="E1092" s="14"/>
      <c r="F1092" s="13"/>
      <c r="G1092" s="13"/>
      <c r="H1092" s="13"/>
      <c r="I1092" s="9"/>
      <c r="J1092" s="9"/>
      <c r="K1092" s="9"/>
    </row>
    <row r="1093" spans="1:11" x14ac:dyDescent="0.2">
      <c r="A1093" s="12"/>
      <c r="B1093" s="13"/>
      <c r="C1093" s="13"/>
      <c r="D1093" s="13"/>
      <c r="E1093" s="14"/>
      <c r="F1093" s="13"/>
      <c r="G1093" s="13"/>
      <c r="H1093" s="13"/>
      <c r="I1093" s="9"/>
      <c r="J1093" s="9"/>
      <c r="K1093" s="9"/>
    </row>
    <row r="1094" spans="1:11" x14ac:dyDescent="0.2">
      <c r="A1094" s="12"/>
      <c r="B1094" s="13"/>
      <c r="C1094" s="13"/>
      <c r="D1094" s="13"/>
      <c r="E1094" s="14"/>
      <c r="F1094" s="13"/>
      <c r="G1094" s="13"/>
      <c r="H1094" s="13"/>
      <c r="I1094" s="9"/>
      <c r="J1094" s="9"/>
      <c r="K1094" s="9"/>
    </row>
    <row r="1095" spans="1:11" x14ac:dyDescent="0.2">
      <c r="A1095" s="12"/>
      <c r="B1095" s="13"/>
      <c r="C1095" s="13"/>
      <c r="D1095" s="13"/>
      <c r="E1095" s="14"/>
      <c r="F1095" s="13"/>
      <c r="G1095" s="13"/>
      <c r="H1095" s="13"/>
      <c r="I1095" s="9"/>
      <c r="J1095" s="9"/>
      <c r="K1095" s="9"/>
    </row>
    <row r="1096" spans="1:11" x14ac:dyDescent="0.2">
      <c r="A1096" s="12"/>
      <c r="B1096" s="13"/>
      <c r="C1096" s="13"/>
      <c r="D1096" s="13"/>
      <c r="E1096" s="14"/>
      <c r="F1096" s="13"/>
      <c r="G1096" s="13"/>
      <c r="H1096" s="13"/>
      <c r="I1096" s="9"/>
      <c r="J1096" s="9"/>
      <c r="K1096" s="9"/>
    </row>
    <row r="1097" spans="1:11" x14ac:dyDescent="0.2">
      <c r="A1097" s="12"/>
      <c r="B1097" s="13"/>
      <c r="C1097" s="13"/>
      <c r="D1097" s="13"/>
      <c r="E1097" s="14"/>
      <c r="F1097" s="13"/>
      <c r="G1097" s="13"/>
      <c r="H1097" s="13"/>
      <c r="I1097" s="9"/>
      <c r="J1097" s="9"/>
      <c r="K1097" s="9"/>
    </row>
    <row r="1098" spans="1:11" x14ac:dyDescent="0.2">
      <c r="A1098" s="12"/>
      <c r="B1098" s="13"/>
      <c r="C1098" s="13"/>
      <c r="D1098" s="13"/>
      <c r="E1098" s="14"/>
      <c r="F1098" s="13"/>
      <c r="G1098" s="13"/>
      <c r="H1098" s="13"/>
      <c r="I1098" s="9"/>
      <c r="J1098" s="9"/>
      <c r="K1098" s="9"/>
    </row>
    <row r="1099" spans="1:11" x14ac:dyDescent="0.2">
      <c r="A1099" s="12"/>
      <c r="B1099" s="13"/>
      <c r="C1099" s="13"/>
      <c r="D1099" s="13"/>
      <c r="E1099" s="14"/>
      <c r="F1099" s="13"/>
      <c r="G1099" s="13"/>
      <c r="H1099" s="13"/>
      <c r="I1099" s="9"/>
      <c r="J1099" s="9"/>
      <c r="K1099" s="9"/>
    </row>
    <row r="1100" spans="1:11" x14ac:dyDescent="0.2">
      <c r="A1100" s="12"/>
      <c r="B1100" s="13"/>
      <c r="C1100" s="13"/>
      <c r="D1100" s="13"/>
      <c r="E1100" s="14"/>
      <c r="F1100" s="13"/>
      <c r="G1100" s="13"/>
      <c r="H1100" s="13"/>
      <c r="I1100" s="9"/>
      <c r="J1100" s="9"/>
      <c r="K1100" s="9"/>
    </row>
    <row r="1101" spans="1:11" x14ac:dyDescent="0.2">
      <c r="A1101" s="12"/>
      <c r="B1101" s="13"/>
      <c r="C1101" s="13"/>
      <c r="D1101" s="13"/>
      <c r="E1101" s="14"/>
      <c r="F1101" s="13"/>
      <c r="G1101" s="13"/>
      <c r="H1101" s="13"/>
      <c r="I1101" s="9"/>
      <c r="J1101" s="9"/>
      <c r="K1101" s="9"/>
    </row>
    <row r="1102" spans="1:11" x14ac:dyDescent="0.2">
      <c r="A1102" s="12"/>
      <c r="B1102" s="13"/>
      <c r="C1102" s="13"/>
      <c r="D1102" s="13"/>
      <c r="E1102" s="14"/>
      <c r="F1102" s="13"/>
      <c r="G1102" s="13"/>
      <c r="H1102" s="13"/>
      <c r="I1102" s="9"/>
      <c r="J1102" s="9"/>
      <c r="K1102" s="9"/>
    </row>
    <row r="1103" spans="1:11" x14ac:dyDescent="0.2">
      <c r="A1103" s="12"/>
      <c r="B1103" s="13"/>
      <c r="C1103" s="13"/>
      <c r="D1103" s="13"/>
      <c r="E1103" s="14"/>
      <c r="F1103" s="13"/>
      <c r="G1103" s="13"/>
      <c r="H1103" s="13"/>
      <c r="I1103" s="9"/>
      <c r="J1103" s="9"/>
      <c r="K1103" s="9"/>
    </row>
    <row r="1104" spans="1:11" x14ac:dyDescent="0.2">
      <c r="A1104" s="12"/>
      <c r="B1104" s="13"/>
      <c r="C1104" s="13"/>
      <c r="D1104" s="13"/>
      <c r="E1104" s="14"/>
      <c r="F1104" s="13"/>
      <c r="G1104" s="13"/>
      <c r="H1104" s="13"/>
      <c r="I1104" s="9"/>
      <c r="J1104" s="9"/>
      <c r="K1104" s="9"/>
    </row>
    <row r="1105" spans="1:11" x14ac:dyDescent="0.2">
      <c r="A1105" s="12"/>
      <c r="B1105" s="13"/>
      <c r="C1105" s="13"/>
      <c r="D1105" s="13"/>
      <c r="E1105" s="14"/>
      <c r="F1105" s="13"/>
      <c r="G1105" s="13"/>
      <c r="H1105" s="13"/>
      <c r="I1105" s="9"/>
      <c r="J1105" s="9"/>
      <c r="K1105" s="9"/>
    </row>
    <row r="1106" spans="1:11" x14ac:dyDescent="0.2">
      <c r="A1106" s="12"/>
      <c r="B1106" s="13"/>
      <c r="C1106" s="13"/>
      <c r="D1106" s="13"/>
      <c r="E1106" s="14"/>
      <c r="F1106" s="13"/>
      <c r="G1106" s="13"/>
      <c r="H1106" s="13"/>
      <c r="I1106" s="9"/>
      <c r="J1106" s="9"/>
      <c r="K1106" s="9"/>
    </row>
    <row r="1107" spans="1:11" x14ac:dyDescent="0.2">
      <c r="A1107" s="12"/>
      <c r="B1107" s="13"/>
      <c r="C1107" s="13"/>
      <c r="D1107" s="13"/>
      <c r="E1107" s="14"/>
      <c r="F1107" s="13"/>
      <c r="G1107" s="13"/>
      <c r="H1107" s="13"/>
      <c r="I1107" s="9"/>
      <c r="J1107" s="9"/>
      <c r="K1107" s="9"/>
    </row>
    <row r="1108" spans="1:11" x14ac:dyDescent="0.2">
      <c r="A1108" s="12"/>
      <c r="B1108" s="13"/>
      <c r="C1108" s="13"/>
      <c r="D1108" s="13"/>
      <c r="E1108" s="14"/>
      <c r="F1108" s="13"/>
      <c r="G1108" s="13"/>
      <c r="H1108" s="13"/>
      <c r="I1108" s="9"/>
      <c r="J1108" s="9"/>
      <c r="K1108" s="9"/>
    </row>
    <row r="1109" spans="1:11" x14ac:dyDescent="0.2">
      <c r="A1109" s="12"/>
      <c r="B1109" s="13"/>
      <c r="C1109" s="13"/>
      <c r="D1109" s="13"/>
      <c r="E1109" s="14"/>
      <c r="F1109" s="13"/>
      <c r="G1109" s="13"/>
      <c r="H1109" s="13"/>
      <c r="I1109" s="9"/>
      <c r="J1109" s="9"/>
      <c r="K1109" s="9"/>
    </row>
    <row r="1110" spans="1:11" x14ac:dyDescent="0.2">
      <c r="A1110" s="12"/>
      <c r="B1110" s="13"/>
      <c r="C1110" s="13"/>
      <c r="D1110" s="13"/>
      <c r="E1110" s="14"/>
      <c r="F1110" s="13"/>
      <c r="G1110" s="13"/>
      <c r="H1110" s="13"/>
      <c r="I1110" s="9"/>
      <c r="J1110" s="9"/>
      <c r="K1110" s="9"/>
    </row>
    <row r="1111" spans="1:11" x14ac:dyDescent="0.2">
      <c r="A1111" s="12"/>
      <c r="B1111" s="13"/>
      <c r="C1111" s="13"/>
      <c r="D1111" s="13"/>
      <c r="E1111" s="14"/>
      <c r="F1111" s="13"/>
      <c r="G1111" s="13"/>
      <c r="H1111" s="13"/>
      <c r="I1111" s="9"/>
      <c r="J1111" s="9"/>
      <c r="K1111" s="9"/>
    </row>
    <row r="1112" spans="1:11" x14ac:dyDescent="0.2">
      <c r="A1112" s="12"/>
      <c r="B1112" s="13"/>
      <c r="C1112" s="13"/>
      <c r="D1112" s="13"/>
      <c r="E1112" s="14"/>
      <c r="F1112" s="13"/>
      <c r="G1112" s="13"/>
      <c r="H1112" s="13"/>
      <c r="I1112" s="9"/>
      <c r="J1112" s="9"/>
      <c r="K1112" s="9"/>
    </row>
    <row r="1113" spans="1:11" x14ac:dyDescent="0.2">
      <c r="A1113" s="12"/>
      <c r="B1113" s="13"/>
      <c r="C1113" s="13"/>
      <c r="D1113" s="13"/>
      <c r="E1113" s="14"/>
      <c r="F1113" s="13"/>
      <c r="G1113" s="13"/>
      <c r="H1113" s="13"/>
      <c r="I1113" s="9"/>
      <c r="J1113" s="9"/>
      <c r="K1113" s="9"/>
    </row>
    <row r="1114" spans="1:11" x14ac:dyDescent="0.2">
      <c r="A1114" s="12"/>
      <c r="B1114" s="13"/>
      <c r="C1114" s="13"/>
      <c r="D1114" s="13"/>
      <c r="E1114" s="14"/>
      <c r="F1114" s="13"/>
      <c r="G1114" s="13"/>
      <c r="H1114" s="13"/>
      <c r="I1114" s="9"/>
      <c r="J1114" s="9"/>
      <c r="K1114" s="9"/>
    </row>
    <row r="1115" spans="1:11" x14ac:dyDescent="0.2">
      <c r="A1115" s="12"/>
      <c r="B1115" s="13"/>
      <c r="C1115" s="13"/>
      <c r="D1115" s="13"/>
      <c r="E1115" s="14"/>
      <c r="F1115" s="13"/>
      <c r="G1115" s="13"/>
      <c r="H1115" s="13"/>
      <c r="I1115" s="9"/>
      <c r="J1115" s="9"/>
      <c r="K1115" s="9"/>
    </row>
    <row r="1116" spans="1:11" x14ac:dyDescent="0.2">
      <c r="A1116" s="12"/>
      <c r="B1116" s="13"/>
      <c r="C1116" s="13"/>
      <c r="D1116" s="13"/>
      <c r="E1116" s="14"/>
      <c r="F1116" s="13"/>
      <c r="G1116" s="13"/>
      <c r="H1116" s="13"/>
      <c r="I1116" s="9"/>
      <c r="J1116" s="9"/>
      <c r="K1116" s="9"/>
    </row>
    <row r="1117" spans="1:11" x14ac:dyDescent="0.2">
      <c r="A1117" s="12"/>
      <c r="B1117" s="13"/>
      <c r="C1117" s="13"/>
      <c r="D1117" s="13"/>
      <c r="E1117" s="14"/>
      <c r="F1117" s="13"/>
      <c r="G1117" s="13"/>
      <c r="H1117" s="13"/>
      <c r="I1117" s="9"/>
      <c r="J1117" s="9"/>
      <c r="K1117" s="9"/>
    </row>
    <row r="1118" spans="1:11" x14ac:dyDescent="0.2">
      <c r="A1118" s="12"/>
      <c r="B1118" s="13"/>
      <c r="C1118" s="13"/>
      <c r="D1118" s="13"/>
      <c r="E1118" s="14"/>
      <c r="F1118" s="13"/>
      <c r="G1118" s="13"/>
      <c r="H1118" s="13"/>
      <c r="I1118" s="9"/>
      <c r="J1118" s="9"/>
      <c r="K1118" s="9"/>
    </row>
    <row r="1119" spans="1:11" x14ac:dyDescent="0.2">
      <c r="A1119" s="12"/>
      <c r="B1119" s="13"/>
      <c r="C1119" s="13"/>
      <c r="D1119" s="13"/>
      <c r="E1119" s="14"/>
      <c r="F1119" s="13"/>
      <c r="G1119" s="13"/>
      <c r="H1119" s="13"/>
      <c r="I1119" s="9"/>
      <c r="J1119" s="9"/>
      <c r="K1119" s="9"/>
    </row>
    <row r="1120" spans="1:11" x14ac:dyDescent="0.2">
      <c r="A1120" s="12"/>
      <c r="B1120" s="13"/>
      <c r="C1120" s="13"/>
      <c r="D1120" s="13"/>
      <c r="E1120" s="14"/>
      <c r="F1120" s="13"/>
      <c r="G1120" s="13"/>
      <c r="H1120" s="13"/>
      <c r="I1120" s="9"/>
      <c r="J1120" s="9"/>
      <c r="K1120" s="9"/>
    </row>
    <row r="1121" spans="1:11" x14ac:dyDescent="0.2">
      <c r="A1121" s="12"/>
      <c r="B1121" s="13"/>
      <c r="C1121" s="13"/>
      <c r="D1121" s="13"/>
      <c r="E1121" s="14"/>
      <c r="F1121" s="13"/>
      <c r="G1121" s="13"/>
      <c r="H1121" s="13"/>
      <c r="I1121" s="9"/>
      <c r="J1121" s="9"/>
      <c r="K1121" s="9"/>
    </row>
    <row r="1122" spans="1:11" x14ac:dyDescent="0.2">
      <c r="A1122" s="12"/>
      <c r="B1122" s="13"/>
      <c r="C1122" s="13"/>
      <c r="D1122" s="13"/>
      <c r="E1122" s="14"/>
      <c r="F1122" s="13"/>
      <c r="G1122" s="13"/>
      <c r="H1122" s="13"/>
      <c r="I1122" s="9"/>
      <c r="J1122" s="9"/>
      <c r="K1122" s="9"/>
    </row>
    <row r="1123" spans="1:11" x14ac:dyDescent="0.2">
      <c r="A1123" s="12"/>
      <c r="B1123" s="13"/>
      <c r="C1123" s="13"/>
      <c r="D1123" s="13"/>
      <c r="E1123" s="14"/>
      <c r="F1123" s="13"/>
      <c r="G1123" s="13"/>
      <c r="H1123" s="13"/>
      <c r="I1123" s="9"/>
      <c r="J1123" s="9"/>
      <c r="K1123" s="9"/>
    </row>
    <row r="1124" spans="1:11" x14ac:dyDescent="0.2">
      <c r="A1124" s="12"/>
      <c r="B1124" s="13"/>
      <c r="C1124" s="13"/>
      <c r="D1124" s="13"/>
      <c r="E1124" s="14"/>
      <c r="F1124" s="13"/>
      <c r="G1124" s="13"/>
      <c r="H1124" s="13"/>
      <c r="I1124" s="9"/>
      <c r="J1124" s="9"/>
      <c r="K1124" s="9"/>
    </row>
    <row r="1125" spans="1:11" x14ac:dyDescent="0.2">
      <c r="A1125" s="12"/>
      <c r="B1125" s="13"/>
      <c r="C1125" s="13"/>
      <c r="D1125" s="13"/>
      <c r="E1125" s="14"/>
      <c r="F1125" s="13"/>
      <c r="G1125" s="13"/>
      <c r="H1125" s="13"/>
      <c r="I1125" s="9"/>
      <c r="J1125" s="9"/>
      <c r="K1125" s="9"/>
    </row>
    <row r="1126" spans="1:11" x14ac:dyDescent="0.2">
      <c r="A1126" s="12"/>
      <c r="B1126" s="13"/>
      <c r="C1126" s="13"/>
      <c r="D1126" s="13"/>
      <c r="E1126" s="14"/>
      <c r="F1126" s="13"/>
      <c r="G1126" s="13"/>
      <c r="H1126" s="13"/>
      <c r="I1126" s="9"/>
      <c r="J1126" s="9"/>
      <c r="K1126" s="9"/>
    </row>
    <row r="1127" spans="1:11" x14ac:dyDescent="0.2">
      <c r="A1127" s="12"/>
      <c r="B1127" s="13"/>
      <c r="C1127" s="13"/>
      <c r="D1127" s="13"/>
      <c r="E1127" s="14"/>
      <c r="F1127" s="13"/>
      <c r="G1127" s="13"/>
      <c r="H1127" s="13"/>
      <c r="I1127" s="9"/>
      <c r="J1127" s="9"/>
      <c r="K1127" s="9"/>
    </row>
    <row r="1128" spans="1:11" x14ac:dyDescent="0.2">
      <c r="A1128" s="12"/>
      <c r="B1128" s="13"/>
      <c r="C1128" s="13"/>
      <c r="D1128" s="13"/>
      <c r="E1128" s="14"/>
      <c r="F1128" s="13"/>
      <c r="G1128" s="13"/>
      <c r="H1128" s="13"/>
      <c r="I1128" s="9"/>
      <c r="J1128" s="9"/>
      <c r="K1128" s="9"/>
    </row>
    <row r="1129" spans="1:11" x14ac:dyDescent="0.2">
      <c r="A1129" s="12"/>
      <c r="B1129" s="13"/>
      <c r="C1129" s="13"/>
      <c r="D1129" s="13"/>
      <c r="E1129" s="14"/>
      <c r="F1129" s="13"/>
      <c r="G1129" s="13"/>
      <c r="H1129" s="13"/>
      <c r="I1129" s="9"/>
      <c r="J1129" s="9"/>
      <c r="K1129" s="9"/>
    </row>
    <row r="1130" spans="1:11" x14ac:dyDescent="0.2">
      <c r="A1130" s="12"/>
      <c r="B1130" s="13"/>
      <c r="C1130" s="13"/>
      <c r="D1130" s="13"/>
      <c r="E1130" s="14"/>
      <c r="F1130" s="13"/>
      <c r="G1130" s="13"/>
      <c r="H1130" s="13"/>
      <c r="I1130" s="9"/>
      <c r="J1130" s="9"/>
      <c r="K1130" s="9"/>
    </row>
    <row r="1131" spans="1:11" x14ac:dyDescent="0.2">
      <c r="A1131" s="12"/>
      <c r="B1131" s="13"/>
      <c r="C1131" s="13"/>
      <c r="D1131" s="13"/>
      <c r="E1131" s="14"/>
      <c r="F1131" s="13"/>
      <c r="G1131" s="13"/>
      <c r="H1131" s="13"/>
      <c r="I1131" s="9"/>
      <c r="J1131" s="9"/>
      <c r="K1131" s="9"/>
    </row>
    <row r="1132" spans="1:11" x14ac:dyDescent="0.2">
      <c r="A1132" s="12"/>
      <c r="B1132" s="13"/>
      <c r="C1132" s="13"/>
      <c r="D1132" s="13"/>
      <c r="E1132" s="14"/>
      <c r="F1132" s="13"/>
      <c r="G1132" s="13"/>
      <c r="H1132" s="13"/>
      <c r="I1132" s="9"/>
      <c r="J1132" s="9"/>
      <c r="K1132" s="9"/>
    </row>
    <row r="1133" spans="1:11" x14ac:dyDescent="0.2">
      <c r="A1133" s="12"/>
      <c r="B1133" s="13"/>
      <c r="C1133" s="13"/>
      <c r="D1133" s="13"/>
      <c r="E1133" s="14"/>
      <c r="F1133" s="13"/>
      <c r="G1133" s="13"/>
      <c r="H1133" s="13"/>
      <c r="I1133" s="9"/>
      <c r="J1133" s="9"/>
      <c r="K1133" s="9"/>
    </row>
    <row r="1134" spans="1:11" x14ac:dyDescent="0.2">
      <c r="A1134" s="12"/>
      <c r="B1134" s="13"/>
      <c r="C1134" s="13"/>
      <c r="D1134" s="13"/>
      <c r="E1134" s="14"/>
      <c r="F1134" s="13"/>
      <c r="G1134" s="13"/>
      <c r="H1134" s="13"/>
      <c r="I1134" s="9"/>
      <c r="J1134" s="9"/>
      <c r="K1134" s="9"/>
    </row>
    <row r="1135" spans="1:11" x14ac:dyDescent="0.2">
      <c r="A1135" s="12"/>
      <c r="B1135" s="13"/>
      <c r="C1135" s="13"/>
      <c r="D1135" s="13"/>
      <c r="E1135" s="14"/>
      <c r="F1135" s="13"/>
      <c r="G1135" s="13"/>
      <c r="H1135" s="13"/>
      <c r="I1135" s="9"/>
      <c r="J1135" s="9"/>
      <c r="K1135" s="9"/>
    </row>
    <row r="1136" spans="1:11" x14ac:dyDescent="0.2">
      <c r="A1136" s="12"/>
      <c r="B1136" s="13"/>
      <c r="C1136" s="13"/>
      <c r="D1136" s="13"/>
      <c r="E1136" s="14"/>
      <c r="F1136" s="13"/>
      <c r="G1136" s="13"/>
      <c r="H1136" s="13"/>
      <c r="I1136" s="9"/>
      <c r="J1136" s="9"/>
      <c r="K1136" s="9"/>
    </row>
    <row r="1137" spans="1:11" x14ac:dyDescent="0.2">
      <c r="A1137" s="12"/>
      <c r="B1137" s="13"/>
      <c r="C1137" s="13"/>
      <c r="D1137" s="13"/>
      <c r="E1137" s="14"/>
      <c r="F1137" s="13"/>
      <c r="G1137" s="13"/>
      <c r="H1137" s="13"/>
      <c r="I1137" s="9"/>
      <c r="J1137" s="9"/>
      <c r="K1137" s="9"/>
    </row>
    <row r="1138" spans="1:11" x14ac:dyDescent="0.2">
      <c r="A1138" s="12"/>
      <c r="B1138" s="13"/>
      <c r="C1138" s="13"/>
      <c r="D1138" s="13"/>
      <c r="E1138" s="14"/>
      <c r="F1138" s="13"/>
      <c r="G1138" s="13"/>
      <c r="H1138" s="13"/>
      <c r="I1138" s="9"/>
      <c r="J1138" s="9"/>
      <c r="K1138" s="9"/>
    </row>
    <row r="1139" spans="1:11" x14ac:dyDescent="0.2">
      <c r="A1139" s="12"/>
      <c r="B1139" s="13"/>
      <c r="C1139" s="13"/>
      <c r="D1139" s="13"/>
      <c r="E1139" s="14"/>
      <c r="F1139" s="13"/>
      <c r="G1139" s="13"/>
      <c r="H1139" s="13"/>
      <c r="I1139" s="9"/>
      <c r="J1139" s="9"/>
      <c r="K1139" s="9"/>
    </row>
    <row r="1140" spans="1:11" x14ac:dyDescent="0.2">
      <c r="A1140" s="12"/>
      <c r="B1140" s="13"/>
      <c r="C1140" s="13"/>
      <c r="D1140" s="13"/>
      <c r="E1140" s="14"/>
      <c r="F1140" s="13"/>
      <c r="G1140" s="13"/>
      <c r="H1140" s="13"/>
      <c r="I1140" s="9"/>
      <c r="J1140" s="9"/>
      <c r="K1140" s="9"/>
    </row>
    <row r="1141" spans="1:11" x14ac:dyDescent="0.2">
      <c r="A1141" s="12"/>
      <c r="B1141" s="13"/>
      <c r="C1141" s="13"/>
      <c r="D1141" s="13"/>
      <c r="E1141" s="14"/>
      <c r="F1141" s="13"/>
      <c r="G1141" s="13"/>
      <c r="H1141" s="13"/>
      <c r="I1141" s="9"/>
      <c r="J1141" s="9"/>
      <c r="K1141" s="9"/>
    </row>
    <row r="1142" spans="1:11" x14ac:dyDescent="0.2">
      <c r="A1142" s="12"/>
      <c r="B1142" s="13"/>
      <c r="C1142" s="13"/>
      <c r="D1142" s="13"/>
      <c r="E1142" s="14"/>
      <c r="F1142" s="13"/>
      <c r="G1142" s="13"/>
      <c r="H1142" s="13"/>
      <c r="I1142" s="9"/>
      <c r="J1142" s="9"/>
      <c r="K1142" s="9"/>
    </row>
    <row r="1143" spans="1:11" x14ac:dyDescent="0.2">
      <c r="A1143" s="12"/>
      <c r="B1143" s="13"/>
      <c r="C1143" s="13"/>
      <c r="D1143" s="13"/>
      <c r="E1143" s="14"/>
      <c r="F1143" s="13"/>
      <c r="G1143" s="13"/>
      <c r="H1143" s="13"/>
      <c r="I1143" s="9"/>
      <c r="J1143" s="9"/>
      <c r="K1143" s="9"/>
    </row>
    <row r="1144" spans="1:11" x14ac:dyDescent="0.2">
      <c r="A1144" s="12"/>
      <c r="B1144" s="13"/>
      <c r="C1144" s="13"/>
      <c r="D1144" s="13"/>
      <c r="E1144" s="14"/>
      <c r="F1144" s="13"/>
      <c r="G1144" s="13"/>
      <c r="H1144" s="13"/>
      <c r="I1144" s="9"/>
      <c r="J1144" s="9"/>
      <c r="K1144" s="9"/>
    </row>
    <row r="1145" spans="1:11" x14ac:dyDescent="0.2">
      <c r="A1145" s="12"/>
      <c r="B1145" s="13"/>
      <c r="C1145" s="13"/>
      <c r="D1145" s="13"/>
      <c r="E1145" s="14"/>
      <c r="F1145" s="13"/>
      <c r="G1145" s="13"/>
      <c r="H1145" s="13"/>
      <c r="I1145" s="9"/>
      <c r="J1145" s="9"/>
      <c r="K1145" s="9"/>
    </row>
    <row r="1146" spans="1:11" x14ac:dyDescent="0.2">
      <c r="A1146" s="12"/>
      <c r="B1146" s="13"/>
      <c r="C1146" s="13"/>
      <c r="D1146" s="13"/>
      <c r="E1146" s="14"/>
      <c r="F1146" s="13"/>
      <c r="G1146" s="13"/>
      <c r="H1146" s="13"/>
      <c r="I1146" s="9"/>
      <c r="J1146" s="9"/>
      <c r="K1146" s="9"/>
    </row>
    <row r="1147" spans="1:11" x14ac:dyDescent="0.2">
      <c r="A1147" s="12"/>
      <c r="B1147" s="13"/>
      <c r="C1147" s="13"/>
      <c r="D1147" s="13"/>
      <c r="E1147" s="14"/>
      <c r="F1147" s="13"/>
      <c r="G1147" s="13"/>
      <c r="H1147" s="13"/>
      <c r="I1147" s="9"/>
      <c r="J1147" s="9"/>
      <c r="K1147" s="9"/>
    </row>
    <row r="1148" spans="1:11" x14ac:dyDescent="0.2">
      <c r="A1148" s="12"/>
      <c r="B1148" s="13"/>
      <c r="C1148" s="13"/>
      <c r="D1148" s="13"/>
      <c r="E1148" s="14"/>
      <c r="F1148" s="13"/>
      <c r="G1148" s="13"/>
      <c r="H1148" s="13"/>
      <c r="I1148" s="9"/>
      <c r="J1148" s="9"/>
      <c r="K1148" s="9"/>
    </row>
    <row r="1149" spans="1:11" x14ac:dyDescent="0.2">
      <c r="A1149" s="12"/>
      <c r="B1149" s="13"/>
      <c r="C1149" s="13"/>
      <c r="D1149" s="13"/>
      <c r="E1149" s="14"/>
      <c r="F1149" s="13"/>
      <c r="G1149" s="13"/>
      <c r="H1149" s="13"/>
      <c r="I1149" s="9"/>
      <c r="J1149" s="9"/>
      <c r="K1149" s="9"/>
    </row>
    <row r="1150" spans="1:11" x14ac:dyDescent="0.2">
      <c r="A1150" s="12"/>
      <c r="B1150" s="13"/>
      <c r="C1150" s="13"/>
      <c r="D1150" s="13"/>
      <c r="E1150" s="14"/>
      <c r="F1150" s="13"/>
      <c r="G1150" s="13"/>
      <c r="H1150" s="13"/>
      <c r="I1150" s="9"/>
      <c r="J1150" s="9"/>
      <c r="K1150" s="9"/>
    </row>
    <row r="1151" spans="1:11" x14ac:dyDescent="0.2">
      <c r="A1151" s="12"/>
      <c r="B1151" s="13"/>
      <c r="C1151" s="13"/>
      <c r="D1151" s="13"/>
      <c r="E1151" s="14"/>
      <c r="F1151" s="13"/>
      <c r="G1151" s="13"/>
      <c r="H1151" s="13"/>
      <c r="I1151" s="9"/>
      <c r="J1151" s="9"/>
      <c r="K1151" s="9"/>
    </row>
    <row r="1152" spans="1:11" x14ac:dyDescent="0.2">
      <c r="A1152" s="12"/>
      <c r="B1152" s="13"/>
      <c r="C1152" s="13"/>
      <c r="D1152" s="13"/>
      <c r="E1152" s="14"/>
      <c r="F1152" s="13"/>
      <c r="G1152" s="13"/>
      <c r="H1152" s="13"/>
      <c r="I1152" s="9"/>
      <c r="J1152" s="9"/>
      <c r="K1152" s="9"/>
    </row>
    <row r="1153" spans="1:11" x14ac:dyDescent="0.2">
      <c r="A1153" s="12"/>
      <c r="B1153" s="13"/>
      <c r="C1153" s="13"/>
      <c r="D1153" s="13"/>
      <c r="E1153" s="14"/>
      <c r="F1153" s="13"/>
      <c r="G1153" s="13"/>
      <c r="H1153" s="13"/>
      <c r="I1153" s="9"/>
      <c r="J1153" s="9"/>
      <c r="K1153" s="9"/>
    </row>
    <row r="1154" spans="1:11" x14ac:dyDescent="0.2">
      <c r="A1154" s="12"/>
      <c r="B1154" s="13"/>
      <c r="C1154" s="13"/>
      <c r="D1154" s="13"/>
      <c r="E1154" s="14"/>
      <c r="F1154" s="13"/>
      <c r="G1154" s="13"/>
      <c r="H1154" s="13"/>
      <c r="I1154" s="9"/>
      <c r="J1154" s="9"/>
      <c r="K1154" s="9"/>
    </row>
    <row r="1155" spans="1:11" x14ac:dyDescent="0.2">
      <c r="A1155" s="12"/>
      <c r="B1155" s="13"/>
      <c r="C1155" s="13"/>
      <c r="D1155" s="13"/>
      <c r="E1155" s="14"/>
      <c r="F1155" s="13"/>
      <c r="G1155" s="13"/>
      <c r="H1155" s="13"/>
      <c r="I1155" s="9"/>
      <c r="J1155" s="9"/>
      <c r="K1155" s="9"/>
    </row>
    <row r="1156" spans="1:11" x14ac:dyDescent="0.2">
      <c r="A1156" s="12"/>
      <c r="B1156" s="13"/>
      <c r="C1156" s="13"/>
      <c r="D1156" s="13"/>
      <c r="E1156" s="14"/>
      <c r="F1156" s="13"/>
      <c r="G1156" s="13"/>
      <c r="H1156" s="13"/>
      <c r="I1156" s="9"/>
      <c r="J1156" s="9"/>
      <c r="K1156" s="9"/>
    </row>
    <row r="1157" spans="1:11" x14ac:dyDescent="0.2">
      <c r="A1157" s="12"/>
      <c r="B1157" s="13"/>
      <c r="C1157" s="13"/>
      <c r="D1157" s="13"/>
      <c r="E1157" s="14"/>
      <c r="F1157" s="13"/>
      <c r="G1157" s="13"/>
      <c r="H1157" s="13"/>
      <c r="I1157" s="9"/>
      <c r="J1157" s="9"/>
      <c r="K1157" s="9"/>
    </row>
    <row r="1158" spans="1:11" x14ac:dyDescent="0.2">
      <c r="A1158" s="12"/>
      <c r="B1158" s="13"/>
      <c r="C1158" s="13"/>
      <c r="D1158" s="13"/>
      <c r="E1158" s="14"/>
      <c r="F1158" s="13"/>
      <c r="G1158" s="13"/>
      <c r="H1158" s="13"/>
      <c r="I1158" s="9"/>
      <c r="J1158" s="9"/>
      <c r="K1158" s="9"/>
    </row>
    <row r="1159" spans="1:11" x14ac:dyDescent="0.2">
      <c r="A1159" s="12"/>
      <c r="B1159" s="13"/>
      <c r="C1159" s="13"/>
      <c r="D1159" s="13"/>
      <c r="E1159" s="14"/>
      <c r="F1159" s="13"/>
      <c r="G1159" s="13"/>
      <c r="H1159" s="13"/>
      <c r="I1159" s="9"/>
      <c r="J1159" s="9"/>
      <c r="K1159" s="9"/>
    </row>
    <row r="1160" spans="1:11" x14ac:dyDescent="0.2">
      <c r="A1160" s="12"/>
      <c r="B1160" s="13"/>
      <c r="C1160" s="13"/>
      <c r="D1160" s="13"/>
      <c r="E1160" s="14"/>
      <c r="F1160" s="13"/>
      <c r="G1160" s="13"/>
      <c r="H1160" s="13"/>
      <c r="I1160" s="9"/>
      <c r="J1160" s="9"/>
      <c r="K1160" s="9"/>
    </row>
    <row r="1161" spans="1:11" x14ac:dyDescent="0.2">
      <c r="A1161" s="12"/>
      <c r="B1161" s="13"/>
      <c r="C1161" s="13"/>
      <c r="D1161" s="13"/>
      <c r="E1161" s="14"/>
      <c r="F1161" s="13"/>
      <c r="G1161" s="13"/>
      <c r="H1161" s="13"/>
      <c r="I1161" s="9"/>
      <c r="J1161" s="9"/>
      <c r="K1161" s="9"/>
    </row>
    <row r="1162" spans="1:11" x14ac:dyDescent="0.2">
      <c r="A1162" s="12"/>
      <c r="B1162" s="13"/>
      <c r="C1162" s="13"/>
      <c r="D1162" s="13"/>
      <c r="E1162" s="14"/>
      <c r="F1162" s="13"/>
      <c r="G1162" s="13"/>
      <c r="H1162" s="13"/>
      <c r="I1162" s="9"/>
      <c r="J1162" s="9"/>
      <c r="K1162" s="9"/>
    </row>
    <row r="1163" spans="1:11" x14ac:dyDescent="0.2">
      <c r="A1163" s="12"/>
      <c r="B1163" s="13"/>
      <c r="C1163" s="13"/>
      <c r="D1163" s="13"/>
      <c r="E1163" s="14"/>
      <c r="F1163" s="13"/>
      <c r="G1163" s="13"/>
      <c r="H1163" s="13"/>
      <c r="J1163" s="9"/>
      <c r="K1163" s="9"/>
    </row>
    <row r="1164" spans="1:11" x14ac:dyDescent="0.2">
      <c r="A1164" s="12"/>
      <c r="B1164" s="13"/>
      <c r="C1164" s="13"/>
      <c r="D1164" s="13"/>
      <c r="E1164" s="14"/>
      <c r="F1164" s="13"/>
      <c r="G1164" s="13"/>
      <c r="H1164" s="13"/>
      <c r="J1164" s="9"/>
      <c r="K1164" s="9"/>
    </row>
    <row r="1165" spans="1:11" x14ac:dyDescent="0.2">
      <c r="A1165" s="12"/>
      <c r="B1165" s="13"/>
      <c r="C1165" s="13"/>
      <c r="D1165" s="13"/>
      <c r="E1165" s="14"/>
      <c r="F1165" s="13"/>
      <c r="G1165" s="13"/>
      <c r="H1165" s="13"/>
      <c r="J1165" s="9"/>
      <c r="K1165" s="9"/>
    </row>
    <row r="1166" spans="1:11" x14ac:dyDescent="0.2">
      <c r="A1166" s="12"/>
      <c r="B1166" s="13"/>
      <c r="C1166" s="13"/>
      <c r="D1166" s="13"/>
      <c r="E1166" s="14"/>
      <c r="F1166" s="13"/>
      <c r="G1166" s="13"/>
      <c r="H1166" s="13"/>
      <c r="J1166" s="9"/>
      <c r="K1166" s="9"/>
    </row>
    <row r="1167" spans="1:11" x14ac:dyDescent="0.2">
      <c r="A1167" s="12"/>
      <c r="B1167" s="13"/>
      <c r="C1167" s="13"/>
      <c r="D1167" s="13"/>
      <c r="E1167" s="14"/>
      <c r="F1167" s="13"/>
      <c r="G1167" s="13"/>
      <c r="H1167" s="13"/>
      <c r="J1167" s="9"/>
      <c r="K1167" s="9"/>
    </row>
    <row r="1168" spans="1:11" x14ac:dyDescent="0.2">
      <c r="A1168" s="9"/>
      <c r="B1168" s="9"/>
      <c r="C1168" s="9"/>
      <c r="D1168" s="9"/>
      <c r="E1168" s="15"/>
      <c r="F1168" s="9"/>
      <c r="J1168" s="9"/>
      <c r="K1168" s="9"/>
    </row>
    <row r="1169" spans="1:11" x14ac:dyDescent="0.2">
      <c r="A1169" s="9"/>
      <c r="B1169" s="9"/>
      <c r="C1169" s="9"/>
      <c r="D1169" s="9"/>
      <c r="E1169" s="15"/>
      <c r="F1169" s="9"/>
      <c r="J1169" s="9"/>
      <c r="K1169" s="9"/>
    </row>
    <row r="1170" spans="1:11" x14ac:dyDescent="0.2">
      <c r="A1170" s="9"/>
      <c r="B1170" s="9"/>
      <c r="C1170" s="9"/>
      <c r="D1170" s="9"/>
      <c r="E1170" s="15"/>
      <c r="F1170" s="9"/>
      <c r="J1170" s="9"/>
      <c r="K1170" s="9"/>
    </row>
    <row r="1171" spans="1:11" x14ac:dyDescent="0.2">
      <c r="A1171" s="9"/>
      <c r="B1171" s="9"/>
      <c r="C1171" s="9"/>
      <c r="D1171" s="9"/>
      <c r="E1171" s="15"/>
      <c r="F1171" s="9"/>
      <c r="J1171" s="9"/>
      <c r="K1171" s="9"/>
    </row>
    <row r="1172" spans="1:11" x14ac:dyDescent="0.2">
      <c r="A1172" s="9"/>
      <c r="B1172" s="9"/>
      <c r="C1172" s="9"/>
      <c r="D1172" s="9"/>
      <c r="E1172" s="15"/>
      <c r="F1172" s="9"/>
      <c r="J1172" s="9"/>
      <c r="K1172" s="9"/>
    </row>
    <row r="1173" spans="1:11" x14ac:dyDescent="0.2">
      <c r="A1173" s="9"/>
      <c r="B1173" s="9"/>
      <c r="C1173" s="9"/>
      <c r="D1173" s="9"/>
      <c r="E1173" s="15"/>
      <c r="F1173" s="9"/>
      <c r="J1173" s="9"/>
      <c r="K1173" s="9"/>
    </row>
    <row r="1174" spans="1:11" x14ac:dyDescent="0.2">
      <c r="A1174" s="9"/>
      <c r="B1174" s="9"/>
      <c r="C1174" s="9"/>
      <c r="D1174" s="9"/>
      <c r="E1174" s="15"/>
      <c r="F1174" s="9"/>
      <c r="J1174" s="9"/>
      <c r="K1174" s="9"/>
    </row>
    <row r="1175" spans="1:11" x14ac:dyDescent="0.2">
      <c r="A1175" s="9"/>
      <c r="B1175" s="9"/>
      <c r="C1175" s="9"/>
      <c r="D1175" s="9"/>
      <c r="E1175" s="15"/>
      <c r="F1175" s="9"/>
      <c r="J1175" s="9"/>
      <c r="K1175" s="9"/>
    </row>
    <row r="1176" spans="1:11" x14ac:dyDescent="0.2">
      <c r="A1176" s="9"/>
      <c r="B1176" s="9"/>
      <c r="C1176" s="9"/>
      <c r="D1176" s="9"/>
      <c r="E1176" s="15"/>
      <c r="F1176" s="9"/>
      <c r="J1176" s="9"/>
    </row>
    <row r="1177" spans="1:11" x14ac:dyDescent="0.2">
      <c r="A1177" s="9"/>
      <c r="B1177" s="9"/>
      <c r="C1177" s="9"/>
      <c r="D1177" s="9"/>
      <c r="E1177" s="15"/>
      <c r="F1177" s="9"/>
      <c r="J1177" s="9"/>
    </row>
    <row r="1178" spans="1:11" x14ac:dyDescent="0.2">
      <c r="A1178" s="9"/>
      <c r="B1178" s="9"/>
      <c r="C1178" s="9"/>
      <c r="D1178" s="9"/>
      <c r="E1178" s="15"/>
      <c r="F1178" s="9"/>
      <c r="J1178" s="9"/>
    </row>
    <row r="1179" spans="1:11" x14ac:dyDescent="0.2">
      <c r="A1179" s="9"/>
      <c r="B1179" s="9"/>
      <c r="C1179" s="9"/>
      <c r="D1179" s="9"/>
      <c r="E1179" s="15"/>
      <c r="F1179" s="9"/>
      <c r="J1179" s="9"/>
    </row>
    <row r="1180" spans="1:11" x14ac:dyDescent="0.2">
      <c r="A1180" s="9"/>
      <c r="B1180" s="9"/>
      <c r="C1180" s="9"/>
      <c r="D1180" s="9"/>
      <c r="E1180" s="15"/>
      <c r="F1180" s="9"/>
      <c r="J1180" s="9"/>
    </row>
    <row r="1181" spans="1:11" x14ac:dyDescent="0.2">
      <c r="A1181" s="9"/>
      <c r="B1181" s="9"/>
      <c r="C1181" s="9"/>
      <c r="D1181" s="9"/>
      <c r="E1181" s="15"/>
      <c r="F1181" s="9"/>
      <c r="J1181" s="9"/>
    </row>
    <row r="1182" spans="1:11" x14ac:dyDescent="0.2">
      <c r="A1182" s="9"/>
      <c r="B1182" s="9"/>
      <c r="C1182" s="9"/>
      <c r="D1182" s="9"/>
      <c r="E1182" s="15"/>
      <c r="F1182" s="9"/>
      <c r="J1182" s="9"/>
    </row>
    <row r="1183" spans="1:11" x14ac:dyDescent="0.2">
      <c r="A1183" s="9"/>
      <c r="B1183" s="9"/>
      <c r="C1183" s="9"/>
      <c r="D1183" s="9"/>
      <c r="E1183" s="15"/>
      <c r="F1183" s="9"/>
      <c r="J1183" s="9"/>
    </row>
    <row r="1184" spans="1:11" x14ac:dyDescent="0.2">
      <c r="A1184" s="9"/>
      <c r="B1184" s="9"/>
      <c r="C1184" s="9"/>
      <c r="D1184" s="9"/>
      <c r="E1184" s="15"/>
      <c r="F1184" s="9"/>
      <c r="J1184" s="9"/>
    </row>
    <row r="1185" spans="1:10" x14ac:dyDescent="0.2">
      <c r="A1185" s="9"/>
      <c r="B1185" s="9"/>
      <c r="C1185" s="9"/>
      <c r="D1185" s="9"/>
      <c r="E1185" s="15"/>
      <c r="F1185" s="9"/>
      <c r="J1185" s="9"/>
    </row>
    <row r="1186" spans="1:10" x14ac:dyDescent="0.2">
      <c r="A1186" s="9"/>
      <c r="B1186" s="9"/>
      <c r="C1186" s="9"/>
      <c r="D1186" s="9"/>
      <c r="E1186" s="15"/>
      <c r="F1186" s="9"/>
      <c r="J1186" s="9"/>
    </row>
    <row r="1187" spans="1:10" x14ac:dyDescent="0.2">
      <c r="A1187" s="9"/>
      <c r="B1187" s="9"/>
      <c r="C1187" s="9"/>
      <c r="D1187" s="9"/>
      <c r="E1187" s="15"/>
      <c r="F1187" s="9"/>
      <c r="J1187" s="9"/>
    </row>
    <row r="1188" spans="1:10" x14ac:dyDescent="0.2">
      <c r="A1188" s="9"/>
      <c r="B1188" s="9"/>
      <c r="C1188" s="9"/>
      <c r="D1188" s="9"/>
      <c r="E1188" s="15"/>
      <c r="F1188" s="9"/>
      <c r="J1188" s="9"/>
    </row>
    <row r="1189" spans="1:10" x14ac:dyDescent="0.2">
      <c r="A1189" s="9"/>
      <c r="B1189" s="9"/>
      <c r="C1189" s="9"/>
      <c r="D1189" s="9"/>
      <c r="E1189" s="15"/>
      <c r="F1189" s="9"/>
      <c r="J1189" s="9"/>
    </row>
    <row r="1190" spans="1:10" x14ac:dyDescent="0.2">
      <c r="A1190" s="9"/>
      <c r="B1190" s="9"/>
      <c r="C1190" s="9"/>
      <c r="D1190" s="9"/>
      <c r="E1190" s="15"/>
      <c r="F1190" s="9"/>
      <c r="J1190" s="9"/>
    </row>
    <row r="1191" spans="1:10" x14ac:dyDescent="0.2">
      <c r="A1191" s="9"/>
      <c r="B1191" s="9"/>
      <c r="C1191" s="9"/>
      <c r="D1191" s="9"/>
      <c r="E1191" s="15"/>
      <c r="F1191" s="9"/>
      <c r="J1191" s="9"/>
    </row>
    <row r="1192" spans="1:10" x14ac:dyDescent="0.2">
      <c r="A1192" s="9"/>
      <c r="B1192" s="9"/>
      <c r="C1192" s="9"/>
      <c r="D1192" s="9"/>
      <c r="E1192" s="15"/>
      <c r="F1192" s="9"/>
      <c r="J1192" s="9"/>
    </row>
    <row r="1193" spans="1:10" x14ac:dyDescent="0.2">
      <c r="A1193" s="9"/>
      <c r="B1193" s="9"/>
      <c r="C1193" s="9"/>
      <c r="D1193" s="9"/>
      <c r="E1193" s="15"/>
      <c r="F1193" s="9"/>
      <c r="J1193" s="9"/>
    </row>
    <row r="1194" spans="1:10" x14ac:dyDescent="0.2">
      <c r="A1194" s="9"/>
      <c r="B1194" s="9"/>
      <c r="C1194" s="9"/>
      <c r="D1194" s="9"/>
      <c r="E1194" s="15"/>
      <c r="F1194" s="9"/>
      <c r="J1194" s="9"/>
    </row>
    <row r="1195" spans="1:10" x14ac:dyDescent="0.2">
      <c r="A1195" s="9"/>
      <c r="B1195" s="9"/>
      <c r="C1195" s="9"/>
      <c r="D1195" s="9"/>
      <c r="E1195" s="15"/>
      <c r="F1195" s="9"/>
      <c r="J1195" s="9"/>
    </row>
    <row r="1196" spans="1:10" x14ac:dyDescent="0.2">
      <c r="A1196" s="9"/>
      <c r="B1196" s="9"/>
      <c r="C1196" s="9"/>
      <c r="D1196" s="9"/>
      <c r="E1196" s="15"/>
      <c r="F1196" s="9"/>
      <c r="J1196" s="9"/>
    </row>
    <row r="1197" spans="1:10" x14ac:dyDescent="0.2">
      <c r="A1197" s="9"/>
      <c r="B1197" s="9"/>
      <c r="C1197" s="9"/>
      <c r="D1197" s="9"/>
      <c r="E1197" s="15"/>
      <c r="F1197" s="9"/>
      <c r="J1197" s="9"/>
    </row>
    <row r="1198" spans="1:10" x14ac:dyDescent="0.2">
      <c r="A1198" s="9"/>
      <c r="B1198" s="9"/>
      <c r="C1198" s="9"/>
      <c r="D1198" s="9"/>
      <c r="E1198" s="15"/>
      <c r="F1198" s="9"/>
      <c r="J1198" s="9"/>
    </row>
    <row r="1199" spans="1:10" x14ac:dyDescent="0.2">
      <c r="A1199" s="9"/>
      <c r="B1199" s="9"/>
      <c r="C1199" s="9"/>
      <c r="D1199" s="9"/>
      <c r="E1199" s="15"/>
      <c r="F1199" s="9"/>
      <c r="J1199" s="9"/>
    </row>
    <row r="1200" spans="1:10" x14ac:dyDescent="0.2">
      <c r="A1200" s="9"/>
      <c r="B1200" s="9"/>
      <c r="C1200" s="9"/>
      <c r="D1200" s="9"/>
      <c r="E1200" s="15"/>
      <c r="F1200" s="9"/>
      <c r="J1200" s="9"/>
    </row>
    <row r="1201" spans="1:10" x14ac:dyDescent="0.2">
      <c r="A1201" s="9"/>
      <c r="B1201" s="9"/>
      <c r="C1201" s="9"/>
      <c r="D1201" s="9"/>
      <c r="E1201" s="15"/>
      <c r="F1201" s="9"/>
      <c r="J1201" s="9"/>
    </row>
    <row r="1202" spans="1:10" x14ac:dyDescent="0.2">
      <c r="A1202" s="9"/>
      <c r="B1202" s="9"/>
      <c r="C1202" s="9"/>
      <c r="D1202" s="9"/>
      <c r="E1202" s="15"/>
      <c r="F1202" s="9"/>
      <c r="J1202" s="9"/>
    </row>
    <row r="1203" spans="1:10" x14ac:dyDescent="0.2">
      <c r="A1203" s="9"/>
      <c r="B1203" s="9"/>
      <c r="C1203" s="9"/>
      <c r="D1203" s="9"/>
      <c r="E1203" s="15"/>
      <c r="F1203" s="9"/>
      <c r="J1203" s="9"/>
    </row>
    <row r="1204" spans="1:10" x14ac:dyDescent="0.2">
      <c r="A1204" s="9"/>
      <c r="B1204" s="9"/>
      <c r="C1204" s="9"/>
      <c r="D1204" s="9"/>
      <c r="E1204" s="15"/>
      <c r="F1204" s="9"/>
      <c r="J1204" s="9"/>
    </row>
    <row r="1205" spans="1:10" x14ac:dyDescent="0.2">
      <c r="A1205" s="9"/>
      <c r="B1205" s="9"/>
      <c r="C1205" s="9"/>
      <c r="D1205" s="9"/>
      <c r="E1205" s="15"/>
      <c r="F1205" s="9"/>
      <c r="J1205" s="9"/>
    </row>
    <row r="1206" spans="1:10" x14ac:dyDescent="0.2">
      <c r="A1206" s="9"/>
      <c r="B1206" s="9"/>
      <c r="C1206" s="9"/>
      <c r="D1206" s="9"/>
      <c r="E1206" s="15"/>
      <c r="F1206" s="9"/>
      <c r="J1206" s="9"/>
    </row>
    <row r="1207" spans="1:10" x14ac:dyDescent="0.2">
      <c r="A1207" s="9"/>
      <c r="B1207" s="9"/>
      <c r="C1207" s="9"/>
      <c r="D1207" s="9"/>
      <c r="E1207" s="15"/>
      <c r="F1207" s="9"/>
      <c r="J1207" s="9"/>
    </row>
    <row r="1208" spans="1:10" x14ac:dyDescent="0.2">
      <c r="A1208" s="9"/>
      <c r="B1208" s="9"/>
      <c r="C1208" s="9"/>
      <c r="D1208" s="9"/>
      <c r="E1208" s="15"/>
      <c r="F1208" s="9"/>
      <c r="J1208" s="9"/>
    </row>
    <row r="1209" spans="1:10" x14ac:dyDescent="0.2">
      <c r="A1209" s="9"/>
      <c r="B1209" s="9"/>
      <c r="C1209" s="9"/>
      <c r="D1209" s="9"/>
      <c r="E1209" s="15"/>
      <c r="F1209" s="9"/>
      <c r="J1209" s="9"/>
    </row>
    <row r="1210" spans="1:10" x14ac:dyDescent="0.2">
      <c r="A1210" s="9"/>
      <c r="B1210" s="9"/>
      <c r="C1210" s="9"/>
      <c r="D1210" s="9"/>
      <c r="E1210" s="15"/>
      <c r="F1210" s="9"/>
      <c r="J1210" s="9"/>
    </row>
    <row r="1211" spans="1:10" x14ac:dyDescent="0.2">
      <c r="A1211" s="9"/>
      <c r="B1211" s="9"/>
      <c r="C1211" s="9"/>
      <c r="D1211" s="9"/>
      <c r="E1211" s="15"/>
      <c r="F1211" s="9"/>
      <c r="J1211" s="9"/>
    </row>
    <row r="1212" spans="1:10" x14ac:dyDescent="0.2">
      <c r="A1212" s="9"/>
      <c r="B1212" s="9"/>
      <c r="C1212" s="9"/>
      <c r="D1212" s="9"/>
      <c r="E1212" s="15"/>
      <c r="F1212" s="9"/>
      <c r="J1212" s="9"/>
    </row>
    <row r="1213" spans="1:10" x14ac:dyDescent="0.2">
      <c r="A1213" s="9"/>
      <c r="B1213" s="9"/>
      <c r="C1213" s="9"/>
      <c r="D1213" s="9"/>
      <c r="E1213" s="15"/>
      <c r="F1213" s="9"/>
      <c r="J1213" s="9"/>
    </row>
    <row r="1214" spans="1:10" x14ac:dyDescent="0.2">
      <c r="A1214" s="9"/>
      <c r="B1214" s="9"/>
      <c r="C1214" s="9"/>
      <c r="D1214" s="9"/>
      <c r="E1214" s="15"/>
      <c r="F1214" s="9"/>
      <c r="J1214" s="9"/>
    </row>
    <row r="1215" spans="1:10" x14ac:dyDescent="0.2">
      <c r="A1215" s="9"/>
      <c r="B1215" s="9"/>
      <c r="C1215" s="9"/>
      <c r="D1215" s="9"/>
      <c r="E1215" s="15"/>
      <c r="F1215" s="9"/>
      <c r="J1215" s="9"/>
    </row>
    <row r="1216" spans="1:10" x14ac:dyDescent="0.2">
      <c r="A1216" s="9"/>
      <c r="B1216" s="9"/>
      <c r="C1216" s="9"/>
      <c r="D1216" s="9"/>
      <c r="E1216" s="15"/>
      <c r="F1216" s="9"/>
      <c r="J1216" s="9"/>
    </row>
    <row r="1217" spans="1:10" x14ac:dyDescent="0.2">
      <c r="A1217" s="9"/>
      <c r="B1217" s="9"/>
      <c r="C1217" s="9"/>
      <c r="D1217" s="9"/>
      <c r="E1217" s="15"/>
      <c r="F1217" s="9"/>
      <c r="J1217" s="9"/>
    </row>
    <row r="1218" spans="1:10" x14ac:dyDescent="0.2">
      <c r="A1218" s="9"/>
      <c r="B1218" s="9"/>
      <c r="C1218" s="9"/>
      <c r="D1218" s="9"/>
      <c r="E1218" s="15"/>
      <c r="F1218" s="9"/>
      <c r="J1218" s="9"/>
    </row>
    <row r="1219" spans="1:10" x14ac:dyDescent="0.2">
      <c r="A1219" s="9"/>
      <c r="B1219" s="9"/>
      <c r="C1219" s="9"/>
      <c r="D1219" s="9"/>
      <c r="E1219" s="15"/>
      <c r="F1219" s="9"/>
      <c r="J1219" s="9"/>
    </row>
    <row r="1220" spans="1:10" x14ac:dyDescent="0.2">
      <c r="A1220" s="9"/>
      <c r="B1220" s="9"/>
      <c r="C1220" s="9"/>
      <c r="D1220" s="9"/>
      <c r="E1220" s="15"/>
      <c r="F1220" s="9"/>
      <c r="J1220" s="9"/>
    </row>
    <row r="1221" spans="1:10" x14ac:dyDescent="0.2">
      <c r="A1221" s="9"/>
      <c r="B1221" s="9"/>
      <c r="C1221" s="9"/>
      <c r="D1221" s="9"/>
      <c r="E1221" s="15"/>
      <c r="F1221" s="9"/>
      <c r="J1221" s="9"/>
    </row>
    <row r="1222" spans="1:10" x14ac:dyDescent="0.2">
      <c r="A1222" s="9"/>
      <c r="B1222" s="9"/>
      <c r="C1222" s="9"/>
      <c r="D1222" s="9"/>
      <c r="E1222" s="15"/>
      <c r="F1222" s="9"/>
      <c r="J1222" s="9"/>
    </row>
    <row r="1223" spans="1:10" x14ac:dyDescent="0.2">
      <c r="A1223" s="9"/>
      <c r="B1223" s="9"/>
      <c r="C1223" s="9"/>
      <c r="D1223" s="9"/>
      <c r="E1223" s="15"/>
      <c r="F1223" s="9"/>
      <c r="J1223" s="9"/>
    </row>
    <row r="1224" spans="1:10" x14ac:dyDescent="0.2">
      <c r="A1224" s="9"/>
      <c r="B1224" s="9"/>
      <c r="C1224" s="9"/>
      <c r="D1224" s="9"/>
      <c r="E1224" s="15"/>
      <c r="F1224" s="9"/>
      <c r="J1224" s="9"/>
    </row>
    <row r="1225" spans="1:10" x14ac:dyDescent="0.2">
      <c r="A1225" s="9"/>
      <c r="B1225" s="9"/>
      <c r="C1225" s="9"/>
      <c r="D1225" s="9"/>
      <c r="E1225" s="15"/>
      <c r="F1225" s="9"/>
      <c r="J1225" s="9"/>
    </row>
    <row r="1226" spans="1:10" x14ac:dyDescent="0.2">
      <c r="A1226" s="9"/>
      <c r="B1226" s="9"/>
      <c r="C1226" s="9"/>
      <c r="D1226" s="9"/>
      <c r="E1226" s="15"/>
      <c r="F1226" s="9"/>
      <c r="J1226" s="9"/>
    </row>
    <row r="1227" spans="1:10" x14ac:dyDescent="0.2">
      <c r="A1227" s="9"/>
      <c r="B1227" s="9"/>
      <c r="C1227" s="9"/>
      <c r="D1227" s="9"/>
      <c r="E1227" s="15"/>
      <c r="F1227" s="9"/>
      <c r="J1227" s="9"/>
    </row>
    <row r="1228" spans="1:10" x14ac:dyDescent="0.2">
      <c r="A1228" s="9"/>
      <c r="B1228" s="9"/>
      <c r="C1228" s="9"/>
      <c r="D1228" s="9"/>
      <c r="E1228" s="15"/>
      <c r="F1228" s="9"/>
      <c r="J1228" s="9"/>
    </row>
    <row r="1229" spans="1:10" x14ac:dyDescent="0.2">
      <c r="A1229" s="9"/>
      <c r="B1229" s="9"/>
      <c r="C1229" s="9"/>
      <c r="D1229" s="9"/>
      <c r="E1229" s="15"/>
      <c r="F1229" s="9"/>
      <c r="J1229" s="9"/>
    </row>
    <row r="1230" spans="1:10" x14ac:dyDescent="0.2">
      <c r="A1230" s="9"/>
      <c r="B1230" s="9"/>
      <c r="C1230" s="9"/>
      <c r="D1230" s="9"/>
      <c r="E1230" s="15"/>
      <c r="F1230" s="9"/>
      <c r="J1230" s="9"/>
    </row>
    <row r="1231" spans="1:10" x14ac:dyDescent="0.2">
      <c r="A1231" s="9"/>
      <c r="B1231" s="9"/>
      <c r="C1231" s="9"/>
      <c r="D1231" s="9"/>
      <c r="E1231" s="15"/>
      <c r="F1231" s="9"/>
      <c r="J1231" s="9"/>
    </row>
    <row r="1232" spans="1:10" x14ac:dyDescent="0.2">
      <c r="A1232" s="9"/>
      <c r="B1232" s="9"/>
      <c r="C1232" s="9"/>
      <c r="D1232" s="9"/>
      <c r="E1232" s="15"/>
      <c r="F1232" s="9"/>
      <c r="J1232" s="9"/>
    </row>
    <row r="1233" spans="1:10" x14ac:dyDescent="0.2">
      <c r="A1233" s="9"/>
      <c r="B1233" s="9"/>
      <c r="C1233" s="9"/>
      <c r="D1233" s="9"/>
      <c r="E1233" s="15"/>
      <c r="F1233" s="9"/>
      <c r="J1233" s="9"/>
    </row>
    <row r="1234" spans="1:10" x14ac:dyDescent="0.2">
      <c r="A1234" s="9"/>
      <c r="B1234" s="9"/>
      <c r="C1234" s="9"/>
      <c r="D1234" s="9"/>
      <c r="E1234" s="15"/>
      <c r="F1234" s="9"/>
      <c r="J1234" s="9"/>
    </row>
    <row r="1235" spans="1:10" x14ac:dyDescent="0.2">
      <c r="A1235" s="9"/>
      <c r="B1235" s="9"/>
      <c r="C1235" s="9"/>
      <c r="D1235" s="9"/>
      <c r="E1235" s="15"/>
      <c r="F1235" s="9"/>
      <c r="J1235" s="9"/>
    </row>
    <row r="1236" spans="1:10" x14ac:dyDescent="0.2">
      <c r="A1236" s="9"/>
      <c r="B1236" s="9"/>
      <c r="C1236" s="9"/>
      <c r="D1236" s="9"/>
      <c r="E1236" s="15"/>
      <c r="F1236" s="9"/>
      <c r="J1236" s="9"/>
    </row>
    <row r="1237" spans="1:10" x14ac:dyDescent="0.2">
      <c r="A1237" s="9"/>
      <c r="B1237" s="9"/>
      <c r="C1237" s="9"/>
      <c r="D1237" s="9"/>
      <c r="E1237" s="15"/>
      <c r="F1237" s="9"/>
      <c r="J1237" s="9"/>
    </row>
    <row r="1238" spans="1:10" x14ac:dyDescent="0.2">
      <c r="A1238" s="9"/>
      <c r="B1238" s="9"/>
      <c r="C1238" s="9"/>
      <c r="D1238" s="9"/>
      <c r="E1238" s="15"/>
      <c r="F1238" s="9"/>
      <c r="J1238" s="9"/>
    </row>
    <row r="1239" spans="1:10" x14ac:dyDescent="0.2">
      <c r="A1239" s="9"/>
      <c r="B1239" s="9"/>
      <c r="C1239" s="9"/>
      <c r="D1239" s="9"/>
      <c r="E1239" s="15"/>
      <c r="F1239" s="9"/>
      <c r="J1239" s="9"/>
    </row>
    <row r="1240" spans="1:10" x14ac:dyDescent="0.2">
      <c r="A1240" s="9"/>
      <c r="B1240" s="9"/>
      <c r="C1240" s="9"/>
      <c r="D1240" s="9"/>
      <c r="E1240" s="15"/>
      <c r="F1240" s="9"/>
      <c r="J1240" s="9"/>
    </row>
    <row r="1241" spans="1:10" x14ac:dyDescent="0.2">
      <c r="A1241" s="9"/>
      <c r="B1241" s="9"/>
      <c r="C1241" s="9"/>
      <c r="D1241" s="9"/>
      <c r="E1241" s="15"/>
      <c r="F1241" s="9"/>
      <c r="J1241" s="9"/>
    </row>
    <row r="1242" spans="1:10" x14ac:dyDescent="0.2">
      <c r="A1242" s="9"/>
      <c r="B1242" s="9"/>
      <c r="C1242" s="9"/>
      <c r="D1242" s="9"/>
      <c r="E1242" s="15"/>
      <c r="F1242" s="9"/>
      <c r="J1242" s="9"/>
    </row>
    <row r="1243" spans="1:10" x14ac:dyDescent="0.2">
      <c r="A1243" s="9"/>
      <c r="B1243" s="9"/>
      <c r="C1243" s="9"/>
      <c r="D1243" s="9"/>
      <c r="E1243" s="15"/>
      <c r="F1243" s="9"/>
      <c r="J1243" s="9"/>
    </row>
    <row r="1244" spans="1:10" x14ac:dyDescent="0.2">
      <c r="A1244" s="9"/>
      <c r="B1244" s="9"/>
      <c r="C1244" s="9"/>
      <c r="D1244" s="9"/>
      <c r="E1244" s="15"/>
      <c r="F1244" s="9"/>
      <c r="J1244" s="9"/>
    </row>
    <row r="1245" spans="1:10" x14ac:dyDescent="0.2">
      <c r="A1245" s="9"/>
      <c r="B1245" s="9"/>
      <c r="C1245" s="9"/>
      <c r="D1245" s="9"/>
      <c r="E1245" s="15"/>
      <c r="F1245" s="9"/>
      <c r="J1245" s="9"/>
    </row>
    <row r="1246" spans="1:10" x14ac:dyDescent="0.2">
      <c r="A1246" s="9"/>
      <c r="B1246" s="9"/>
      <c r="C1246" s="9"/>
      <c r="D1246" s="9"/>
      <c r="E1246" s="15"/>
      <c r="F1246" s="9"/>
      <c r="J1246" s="9"/>
    </row>
    <row r="1247" spans="1:10" x14ac:dyDescent="0.2">
      <c r="A1247" s="9"/>
      <c r="B1247" s="9"/>
      <c r="C1247" s="9"/>
      <c r="D1247" s="9"/>
      <c r="E1247" s="15"/>
      <c r="F1247" s="9"/>
      <c r="J1247" s="9"/>
    </row>
    <row r="1248" spans="1:10" x14ac:dyDescent="0.2">
      <c r="A1248" s="9"/>
      <c r="B1248" s="9"/>
      <c r="C1248" s="9"/>
      <c r="D1248" s="9"/>
      <c r="E1248" s="15"/>
      <c r="F1248" s="9"/>
      <c r="J1248" s="9"/>
    </row>
    <row r="1249" spans="1:10" x14ac:dyDescent="0.2">
      <c r="A1249" s="9"/>
      <c r="B1249" s="9"/>
      <c r="C1249" s="9"/>
      <c r="D1249" s="9"/>
      <c r="E1249" s="15"/>
      <c r="F1249" s="9"/>
      <c r="J1249" s="9"/>
    </row>
    <row r="1250" spans="1:10" x14ac:dyDescent="0.2">
      <c r="A1250" s="9"/>
      <c r="B1250" s="9"/>
      <c r="C1250" s="9"/>
      <c r="D1250" s="9"/>
      <c r="E1250" s="15"/>
      <c r="F1250" s="9"/>
      <c r="J1250" s="9"/>
    </row>
    <row r="1251" spans="1:10" x14ac:dyDescent="0.2">
      <c r="A1251" s="9"/>
      <c r="B1251" s="9"/>
      <c r="C1251" s="9"/>
      <c r="D1251" s="9"/>
      <c r="E1251" s="15"/>
      <c r="F1251" s="9"/>
      <c r="J1251" s="9"/>
    </row>
    <row r="1252" spans="1:10" x14ac:dyDescent="0.2">
      <c r="A1252" s="9"/>
      <c r="B1252" s="9"/>
      <c r="C1252" s="9"/>
      <c r="D1252" s="9"/>
      <c r="E1252" s="15"/>
      <c r="F1252" s="9"/>
      <c r="J1252" s="9"/>
    </row>
    <row r="1253" spans="1:10" x14ac:dyDescent="0.2">
      <c r="A1253" s="9"/>
      <c r="B1253" s="9"/>
      <c r="C1253" s="9"/>
      <c r="D1253" s="9"/>
      <c r="E1253" s="15"/>
      <c r="F1253" s="9"/>
      <c r="J1253" s="9"/>
    </row>
    <row r="1254" spans="1:10" x14ac:dyDescent="0.2">
      <c r="A1254" s="9"/>
      <c r="B1254" s="9"/>
      <c r="C1254" s="9"/>
      <c r="D1254" s="9"/>
      <c r="E1254" s="15"/>
      <c r="F1254" s="9"/>
      <c r="J1254" s="9"/>
    </row>
    <row r="1255" spans="1:10" x14ac:dyDescent="0.2">
      <c r="A1255" s="9"/>
      <c r="B1255" s="9"/>
      <c r="C1255" s="9"/>
      <c r="D1255" s="9"/>
      <c r="E1255" s="15"/>
      <c r="F1255" s="9"/>
      <c r="J1255" s="9"/>
    </row>
    <row r="1256" spans="1:10" x14ac:dyDescent="0.2">
      <c r="A1256" s="9"/>
      <c r="B1256" s="9"/>
      <c r="C1256" s="9"/>
      <c r="D1256" s="9"/>
      <c r="E1256" s="15"/>
      <c r="F1256" s="9"/>
      <c r="J1256" s="9"/>
    </row>
    <row r="1257" spans="1:10" x14ac:dyDescent="0.2">
      <c r="A1257" s="9"/>
      <c r="B1257" s="9"/>
      <c r="C1257" s="9"/>
      <c r="D1257" s="9"/>
      <c r="E1257" s="15"/>
      <c r="F1257" s="9"/>
      <c r="J1257" s="9"/>
    </row>
    <row r="1258" spans="1:10" x14ac:dyDescent="0.2">
      <c r="A1258" s="9"/>
      <c r="B1258" s="9"/>
      <c r="C1258" s="9"/>
      <c r="D1258" s="9"/>
      <c r="E1258" s="15"/>
      <c r="F1258" s="9"/>
      <c r="J1258" s="9"/>
    </row>
    <row r="1259" spans="1:10" x14ac:dyDescent="0.2">
      <c r="A1259" s="9"/>
      <c r="B1259" s="9"/>
      <c r="C1259" s="9"/>
      <c r="D1259" s="9"/>
      <c r="E1259" s="15"/>
      <c r="F1259" s="9"/>
      <c r="J1259" s="9"/>
    </row>
    <row r="1260" spans="1:10" x14ac:dyDescent="0.2">
      <c r="A1260" s="9"/>
      <c r="B1260" s="9"/>
      <c r="C1260" s="9"/>
      <c r="D1260" s="9"/>
      <c r="E1260" s="15"/>
      <c r="F1260" s="9"/>
      <c r="J1260" s="9"/>
    </row>
    <row r="1261" spans="1:10" x14ac:dyDescent="0.2">
      <c r="A1261" s="9"/>
      <c r="B1261" s="9"/>
      <c r="C1261" s="9"/>
      <c r="D1261" s="9"/>
      <c r="E1261" s="15"/>
      <c r="F1261" s="9"/>
      <c r="J1261" s="9"/>
    </row>
    <row r="1262" spans="1:10" x14ac:dyDescent="0.2">
      <c r="A1262" s="9"/>
      <c r="B1262" s="9"/>
      <c r="C1262" s="9"/>
      <c r="D1262" s="9"/>
      <c r="E1262" s="15"/>
      <c r="F1262" s="9"/>
      <c r="J1262" s="9"/>
    </row>
    <row r="1263" spans="1:10" x14ac:dyDescent="0.2">
      <c r="A1263" s="9"/>
      <c r="B1263" s="9"/>
      <c r="C1263" s="9"/>
      <c r="D1263" s="9"/>
      <c r="E1263" s="15"/>
      <c r="F1263" s="9"/>
      <c r="J1263" s="9"/>
    </row>
    <row r="1264" spans="1:10" x14ac:dyDescent="0.2">
      <c r="A1264" s="9"/>
      <c r="B1264" s="9"/>
      <c r="C1264" s="9"/>
      <c r="D1264" s="9"/>
      <c r="E1264" s="15"/>
      <c r="F1264" s="9"/>
      <c r="J1264" s="9"/>
    </row>
    <row r="1265" spans="1:10" x14ac:dyDescent="0.2">
      <c r="A1265" s="9"/>
      <c r="B1265" s="9"/>
      <c r="C1265" s="9"/>
      <c r="D1265" s="9"/>
      <c r="E1265" s="15"/>
      <c r="F1265" s="9"/>
      <c r="J1265" s="9"/>
    </row>
    <row r="1266" spans="1:10" x14ac:dyDescent="0.2">
      <c r="A1266" s="9"/>
      <c r="B1266" s="9"/>
      <c r="C1266" s="9"/>
      <c r="D1266" s="9"/>
      <c r="E1266" s="15"/>
      <c r="F1266" s="9"/>
      <c r="J1266" s="9"/>
    </row>
    <row r="1267" spans="1:10" x14ac:dyDescent="0.2">
      <c r="A1267" s="9"/>
      <c r="B1267" s="9"/>
      <c r="C1267" s="9"/>
      <c r="D1267" s="9"/>
      <c r="E1267" s="15"/>
      <c r="F1267" s="9"/>
      <c r="J1267" s="9"/>
    </row>
    <row r="1268" spans="1:10" x14ac:dyDescent="0.2">
      <c r="A1268" s="9"/>
      <c r="B1268" s="9"/>
      <c r="C1268" s="9"/>
      <c r="D1268" s="9"/>
      <c r="E1268" s="15"/>
      <c r="F1268" s="9"/>
      <c r="J1268" s="9"/>
    </row>
    <row r="1269" spans="1:10" x14ac:dyDescent="0.2">
      <c r="A1269" s="9"/>
      <c r="B1269" s="9"/>
      <c r="C1269" s="9"/>
      <c r="D1269" s="9"/>
      <c r="E1269" s="15"/>
      <c r="F1269" s="9"/>
      <c r="J1269" s="9"/>
    </row>
    <row r="1270" spans="1:10" x14ac:dyDescent="0.2">
      <c r="A1270" s="9"/>
      <c r="B1270" s="9"/>
      <c r="C1270" s="9"/>
      <c r="D1270" s="9"/>
      <c r="E1270" s="15"/>
      <c r="F1270" s="9"/>
      <c r="J1270" s="9"/>
    </row>
    <row r="1271" spans="1:10" x14ac:dyDescent="0.2">
      <c r="A1271" s="28"/>
      <c r="B1271" s="28"/>
      <c r="C1271" s="28"/>
      <c r="D1271" s="28"/>
      <c r="E1271" s="16"/>
      <c r="J1271" s="9"/>
    </row>
    <row r="1272" spans="1:10" x14ac:dyDescent="0.2">
      <c r="A1272" s="28"/>
      <c r="B1272" s="28"/>
      <c r="C1272" s="28"/>
      <c r="D1272" s="28"/>
      <c r="E1272" s="16"/>
      <c r="J1272" s="9"/>
    </row>
    <row r="1273" spans="1:10" x14ac:dyDescent="0.2">
      <c r="A1273" s="28"/>
      <c r="B1273" s="28"/>
      <c r="C1273" s="28"/>
      <c r="D1273" s="28"/>
      <c r="E1273" s="16"/>
      <c r="J1273" s="9"/>
    </row>
    <row r="1274" spans="1:10" x14ac:dyDescent="0.2">
      <c r="A1274" s="28"/>
      <c r="B1274" s="28"/>
      <c r="C1274" s="28"/>
      <c r="D1274" s="28"/>
      <c r="E1274" s="16"/>
      <c r="J1274" s="9"/>
    </row>
    <row r="1275" spans="1:10" x14ac:dyDescent="0.2">
      <c r="A1275" s="28"/>
      <c r="B1275" s="28"/>
      <c r="C1275" s="28"/>
      <c r="D1275" s="28"/>
      <c r="E1275" s="16"/>
    </row>
    <row r="1276" spans="1:10" x14ac:dyDescent="0.2">
      <c r="A1276" s="28"/>
      <c r="B1276" s="28"/>
      <c r="C1276" s="28"/>
      <c r="D1276" s="28"/>
      <c r="E1276" s="16"/>
    </row>
    <row r="1277" spans="1:10" x14ac:dyDescent="0.2">
      <c r="A1277" s="28"/>
      <c r="B1277" s="28"/>
      <c r="C1277" s="28"/>
      <c r="D1277" s="28"/>
      <c r="E1277" s="16"/>
    </row>
    <row r="1278" spans="1:10" x14ac:dyDescent="0.2">
      <c r="A1278" s="28"/>
      <c r="B1278" s="28"/>
      <c r="C1278" s="28"/>
      <c r="D1278" s="28"/>
      <c r="E1278" s="16"/>
    </row>
    <row r="1279" spans="1:10" x14ac:dyDescent="0.2">
      <c r="A1279" s="28"/>
      <c r="B1279" s="28"/>
      <c r="C1279" s="28"/>
      <c r="D1279" s="28"/>
      <c r="E1279" s="16"/>
    </row>
    <row r="1280" spans="1:10" x14ac:dyDescent="0.2">
      <c r="A1280" s="28"/>
      <c r="B1280" s="28"/>
      <c r="C1280" s="28"/>
      <c r="D1280" s="28"/>
      <c r="E1280" s="16"/>
    </row>
    <row r="1281" spans="1:5" x14ac:dyDescent="0.2">
      <c r="A1281" s="28"/>
      <c r="B1281" s="28"/>
      <c r="C1281" s="28"/>
      <c r="D1281" s="28"/>
      <c r="E1281" s="16"/>
    </row>
    <row r="1282" spans="1:5" x14ac:dyDescent="0.2">
      <c r="A1282" s="28"/>
      <c r="B1282" s="28"/>
      <c r="C1282" s="28"/>
      <c r="D1282" s="28"/>
      <c r="E1282" s="16"/>
    </row>
    <row r="1283" spans="1:5" x14ac:dyDescent="0.2">
      <c r="A1283" s="28"/>
      <c r="B1283" s="28"/>
      <c r="C1283" s="28"/>
      <c r="D1283" s="28"/>
      <c r="E1283" s="16"/>
    </row>
    <row r="1284" spans="1:5" x14ac:dyDescent="0.2">
      <c r="A1284" s="28"/>
      <c r="B1284" s="28"/>
      <c r="C1284" s="28"/>
      <c r="D1284" s="28"/>
      <c r="E1284" s="16"/>
    </row>
    <row r="1285" spans="1:5" x14ac:dyDescent="0.2">
      <c r="A1285" s="28"/>
      <c r="B1285" s="28"/>
      <c r="C1285" s="28"/>
      <c r="D1285" s="28"/>
      <c r="E1285" s="16"/>
    </row>
    <row r="1286" spans="1:5" x14ac:dyDescent="0.2">
      <c r="A1286" s="28"/>
      <c r="B1286" s="28"/>
      <c r="C1286" s="28"/>
      <c r="D1286" s="28"/>
      <c r="E1286" s="16"/>
    </row>
    <row r="1287" spans="1:5" x14ac:dyDescent="0.2">
      <c r="A1287" s="28"/>
      <c r="B1287" s="28"/>
      <c r="C1287" s="28"/>
      <c r="D1287" s="28"/>
      <c r="E1287" s="16"/>
    </row>
    <row r="1288" spans="1:5" x14ac:dyDescent="0.2">
      <c r="A1288" s="28"/>
      <c r="B1288" s="28"/>
      <c r="C1288" s="28"/>
      <c r="D1288" s="28"/>
      <c r="E1288" s="16"/>
    </row>
    <row r="1289" spans="1:5" x14ac:dyDescent="0.2">
      <c r="A1289" s="28"/>
      <c r="B1289" s="28"/>
      <c r="C1289" s="28"/>
      <c r="D1289" s="28"/>
      <c r="E1289" s="16"/>
    </row>
    <row r="1290" spans="1:5" x14ac:dyDescent="0.2">
      <c r="A1290" s="28"/>
      <c r="B1290" s="28"/>
      <c r="C1290" s="28"/>
      <c r="D1290" s="28"/>
      <c r="E1290" s="16"/>
    </row>
    <row r="1291" spans="1:5" x14ac:dyDescent="0.2">
      <c r="A1291" s="28"/>
      <c r="B1291" s="28"/>
      <c r="C1291" s="28"/>
      <c r="D1291" s="28"/>
      <c r="E1291" s="16"/>
    </row>
    <row r="1292" spans="1:5" x14ac:dyDescent="0.2">
      <c r="A1292" s="28"/>
      <c r="B1292" s="28"/>
      <c r="C1292" s="28"/>
      <c r="D1292" s="28"/>
      <c r="E1292" s="16"/>
    </row>
    <row r="1293" spans="1:5" x14ac:dyDescent="0.2">
      <c r="A1293" s="28"/>
      <c r="B1293" s="28"/>
      <c r="C1293" s="28"/>
      <c r="D1293" s="28"/>
      <c r="E1293" s="16"/>
    </row>
    <row r="1294" spans="1:5" x14ac:dyDescent="0.2">
      <c r="A1294" s="28"/>
      <c r="B1294" s="28"/>
      <c r="C1294" s="28"/>
      <c r="D1294" s="28"/>
      <c r="E1294" s="16"/>
    </row>
    <row r="1295" spans="1:5" x14ac:dyDescent="0.2">
      <c r="A1295" s="28"/>
      <c r="B1295" s="28"/>
      <c r="C1295" s="28"/>
      <c r="D1295" s="28"/>
      <c r="E1295" s="16"/>
    </row>
    <row r="1296" spans="1:5" x14ac:dyDescent="0.2">
      <c r="A1296" s="28"/>
      <c r="B1296" s="28"/>
      <c r="C1296" s="28"/>
      <c r="D1296" s="28"/>
      <c r="E1296" s="16"/>
    </row>
    <row r="1297" spans="1:5" x14ac:dyDescent="0.2">
      <c r="A1297" s="28"/>
      <c r="B1297" s="28"/>
      <c r="C1297" s="28"/>
      <c r="D1297" s="28"/>
      <c r="E1297" s="16"/>
    </row>
    <row r="1298" spans="1:5" x14ac:dyDescent="0.2">
      <c r="A1298" s="28"/>
      <c r="B1298" s="28"/>
      <c r="C1298" s="28"/>
      <c r="D1298" s="28"/>
      <c r="E1298" s="16"/>
    </row>
    <row r="1299" spans="1:5" x14ac:dyDescent="0.2">
      <c r="A1299" s="28"/>
      <c r="B1299" s="28"/>
      <c r="C1299" s="28"/>
      <c r="D1299" s="28"/>
      <c r="E1299" s="16"/>
    </row>
    <row r="1300" spans="1:5" x14ac:dyDescent="0.2">
      <c r="A1300" s="28"/>
      <c r="B1300" s="28"/>
      <c r="C1300" s="28"/>
      <c r="D1300" s="28"/>
      <c r="E1300" s="16"/>
    </row>
    <row r="1301" spans="1:5" x14ac:dyDescent="0.2">
      <c r="A1301" s="28"/>
      <c r="B1301" s="28"/>
      <c r="C1301" s="28"/>
      <c r="D1301" s="28"/>
      <c r="E1301" s="16"/>
    </row>
    <row r="1302" spans="1:5" x14ac:dyDescent="0.2">
      <c r="A1302" s="28"/>
      <c r="B1302" s="28"/>
      <c r="C1302" s="28"/>
      <c r="D1302" s="28"/>
      <c r="E1302" s="16"/>
    </row>
    <row r="1303" spans="1:5" x14ac:dyDescent="0.2">
      <c r="A1303" s="28"/>
      <c r="B1303" s="28"/>
      <c r="C1303" s="28"/>
      <c r="D1303" s="28"/>
      <c r="E1303" s="16"/>
    </row>
    <row r="1304" spans="1:5" x14ac:dyDescent="0.2">
      <c r="A1304" s="28"/>
      <c r="B1304" s="28"/>
      <c r="C1304" s="28"/>
      <c r="D1304" s="28"/>
      <c r="E1304" s="16"/>
    </row>
    <row r="1305" spans="1:5" x14ac:dyDescent="0.2">
      <c r="A1305" s="28"/>
      <c r="B1305" s="28"/>
      <c r="C1305" s="28"/>
      <c r="D1305" s="28"/>
      <c r="E1305" s="16"/>
    </row>
    <row r="1306" spans="1:5" x14ac:dyDescent="0.2">
      <c r="A1306" s="28"/>
      <c r="B1306" s="28"/>
      <c r="C1306" s="28"/>
      <c r="D1306" s="28"/>
      <c r="E1306" s="16"/>
    </row>
    <row r="1307" spans="1:5" x14ac:dyDescent="0.2">
      <c r="A1307" s="28"/>
      <c r="B1307" s="28"/>
      <c r="C1307" s="28"/>
      <c r="D1307" s="28"/>
      <c r="E1307" s="16"/>
    </row>
    <row r="1308" spans="1:5" x14ac:dyDescent="0.2">
      <c r="A1308" s="28"/>
      <c r="B1308" s="28"/>
      <c r="C1308" s="28"/>
      <c r="D1308" s="28"/>
      <c r="E1308" s="16"/>
    </row>
    <row r="1309" spans="1:5" x14ac:dyDescent="0.2">
      <c r="A1309" s="28"/>
      <c r="B1309" s="28"/>
      <c r="C1309" s="28"/>
      <c r="D1309" s="28"/>
      <c r="E1309" s="16"/>
    </row>
    <row r="1310" spans="1:5" x14ac:dyDescent="0.2">
      <c r="A1310" s="28"/>
      <c r="B1310" s="28"/>
      <c r="C1310" s="28"/>
      <c r="D1310" s="28"/>
      <c r="E1310" s="16"/>
    </row>
    <row r="1311" spans="1:5" x14ac:dyDescent="0.2">
      <c r="A1311" s="28"/>
      <c r="B1311" s="28"/>
      <c r="C1311" s="28"/>
      <c r="D1311" s="28"/>
      <c r="E1311" s="16"/>
    </row>
    <row r="1312" spans="1:5" x14ac:dyDescent="0.2">
      <c r="A1312" s="28"/>
      <c r="B1312" s="28"/>
      <c r="C1312" s="28"/>
      <c r="D1312" s="28"/>
      <c r="E1312" s="16"/>
    </row>
    <row r="1313" spans="1:5" x14ac:dyDescent="0.2">
      <c r="A1313" s="28"/>
      <c r="B1313" s="28"/>
      <c r="C1313" s="28"/>
      <c r="D1313" s="28"/>
      <c r="E1313" s="16"/>
    </row>
    <row r="1314" spans="1:5" x14ac:dyDescent="0.2">
      <c r="A1314" s="28"/>
      <c r="B1314" s="28"/>
      <c r="C1314" s="28"/>
      <c r="D1314" s="28"/>
      <c r="E1314" s="16"/>
    </row>
    <row r="1315" spans="1:5" x14ac:dyDescent="0.2">
      <c r="A1315" s="28"/>
      <c r="B1315" s="28"/>
      <c r="C1315" s="28"/>
      <c r="D1315" s="28"/>
      <c r="E1315" s="16"/>
    </row>
    <row r="1316" spans="1:5" x14ac:dyDescent="0.2">
      <c r="A1316" s="28"/>
      <c r="B1316" s="28"/>
      <c r="C1316" s="28"/>
      <c r="D1316" s="28"/>
      <c r="E1316" s="16"/>
    </row>
    <row r="1317" spans="1:5" x14ac:dyDescent="0.2">
      <c r="A1317" s="28"/>
      <c r="B1317" s="28"/>
      <c r="C1317" s="28"/>
      <c r="D1317" s="28"/>
      <c r="E1317" s="16"/>
    </row>
    <row r="1318" spans="1:5" x14ac:dyDescent="0.2">
      <c r="A1318" s="28"/>
      <c r="B1318" s="28"/>
      <c r="C1318" s="28"/>
      <c r="D1318" s="28"/>
      <c r="E1318" s="16"/>
    </row>
    <row r="1319" spans="1:5" x14ac:dyDescent="0.2">
      <c r="A1319" s="28"/>
      <c r="B1319" s="28"/>
      <c r="C1319" s="28"/>
      <c r="D1319" s="28"/>
      <c r="E1319" s="16"/>
    </row>
    <row r="1320" spans="1:5" x14ac:dyDescent="0.2">
      <c r="A1320" s="28"/>
      <c r="B1320" s="28"/>
      <c r="C1320" s="28"/>
      <c r="D1320" s="28"/>
      <c r="E1320" s="16"/>
    </row>
    <row r="1321" spans="1:5" x14ac:dyDescent="0.2">
      <c r="A1321" s="28"/>
      <c r="B1321" s="28"/>
      <c r="C1321" s="28"/>
      <c r="D1321" s="28"/>
      <c r="E1321" s="16"/>
    </row>
    <row r="1322" spans="1:5" x14ac:dyDescent="0.2">
      <c r="A1322" s="28"/>
      <c r="B1322" s="28"/>
      <c r="C1322" s="28"/>
      <c r="D1322" s="28"/>
      <c r="E1322" s="16"/>
    </row>
    <row r="1323" spans="1:5" x14ac:dyDescent="0.2">
      <c r="A1323" s="28"/>
      <c r="B1323" s="28"/>
      <c r="C1323" s="28"/>
      <c r="D1323" s="28"/>
      <c r="E1323" s="16"/>
    </row>
    <row r="1324" spans="1:5" x14ac:dyDescent="0.2">
      <c r="A1324" s="28"/>
      <c r="B1324" s="28"/>
      <c r="C1324" s="28"/>
      <c r="D1324" s="28"/>
      <c r="E1324" s="16"/>
    </row>
    <row r="1325" spans="1:5" x14ac:dyDescent="0.2">
      <c r="A1325" s="28"/>
      <c r="B1325" s="28"/>
      <c r="C1325" s="28"/>
      <c r="D1325" s="28"/>
      <c r="E1325" s="16"/>
    </row>
    <row r="1326" spans="1:5" x14ac:dyDescent="0.2">
      <c r="A1326" s="28"/>
      <c r="B1326" s="28"/>
      <c r="C1326" s="28"/>
      <c r="D1326" s="28"/>
      <c r="E1326" s="16"/>
    </row>
    <row r="1327" spans="1:5" x14ac:dyDescent="0.2">
      <c r="A1327" s="28"/>
      <c r="B1327" s="28"/>
      <c r="C1327" s="28"/>
      <c r="D1327" s="28"/>
      <c r="E1327" s="16"/>
    </row>
    <row r="1328" spans="1:5" x14ac:dyDescent="0.2">
      <c r="A1328" s="28"/>
      <c r="B1328" s="28"/>
      <c r="C1328" s="28"/>
      <c r="D1328" s="28"/>
      <c r="E1328" s="16"/>
    </row>
    <row r="1329" spans="1:5" x14ac:dyDescent="0.2">
      <c r="A1329" s="28"/>
      <c r="B1329" s="28"/>
      <c r="C1329" s="28"/>
      <c r="D1329" s="28"/>
      <c r="E1329" s="16"/>
    </row>
    <row r="1330" spans="1:5" x14ac:dyDescent="0.2">
      <c r="A1330" s="28"/>
      <c r="B1330" s="28"/>
      <c r="C1330" s="28"/>
      <c r="D1330" s="28"/>
      <c r="E1330" s="16"/>
    </row>
    <row r="1331" spans="1:5" x14ac:dyDescent="0.2">
      <c r="A1331" s="28"/>
      <c r="B1331" s="28"/>
      <c r="C1331" s="28"/>
      <c r="D1331" s="28"/>
      <c r="E1331" s="16"/>
    </row>
    <row r="1332" spans="1:5" x14ac:dyDescent="0.2">
      <c r="A1332" s="28"/>
      <c r="B1332" s="28"/>
      <c r="C1332" s="28"/>
      <c r="D1332" s="28"/>
      <c r="E1332" s="16"/>
    </row>
    <row r="1333" spans="1:5" x14ac:dyDescent="0.2">
      <c r="A1333" s="28"/>
      <c r="B1333" s="28"/>
      <c r="C1333" s="28"/>
      <c r="D1333" s="28"/>
      <c r="E1333" s="16"/>
    </row>
    <row r="1334" spans="1:5" x14ac:dyDescent="0.2">
      <c r="A1334" s="28"/>
      <c r="B1334" s="28"/>
      <c r="C1334" s="28"/>
      <c r="D1334" s="28"/>
      <c r="E1334" s="16"/>
    </row>
    <row r="1335" spans="1:5" x14ac:dyDescent="0.2">
      <c r="A1335" s="28"/>
      <c r="B1335" s="28"/>
      <c r="C1335" s="28"/>
      <c r="D1335" s="28"/>
      <c r="E1335" s="16"/>
    </row>
    <row r="1336" spans="1:5" x14ac:dyDescent="0.2">
      <c r="A1336" s="28"/>
      <c r="B1336" s="28"/>
      <c r="C1336" s="28"/>
      <c r="D1336" s="28"/>
      <c r="E1336" s="16"/>
    </row>
    <row r="1337" spans="1:5" x14ac:dyDescent="0.2">
      <c r="A1337" s="28"/>
      <c r="B1337" s="28"/>
      <c r="C1337" s="28"/>
      <c r="D1337" s="28"/>
      <c r="E1337" s="16"/>
    </row>
    <row r="1338" spans="1:5" x14ac:dyDescent="0.2">
      <c r="A1338" s="28"/>
      <c r="B1338" s="28"/>
      <c r="C1338" s="28"/>
      <c r="D1338" s="28"/>
      <c r="E1338" s="16"/>
    </row>
    <row r="1339" spans="1:5" x14ac:dyDescent="0.2">
      <c r="A1339" s="28"/>
      <c r="B1339" s="28"/>
      <c r="C1339" s="28"/>
      <c r="D1339" s="28"/>
      <c r="E1339" s="16"/>
    </row>
    <row r="1340" spans="1:5" x14ac:dyDescent="0.2">
      <c r="A1340" s="28"/>
      <c r="B1340" s="28"/>
      <c r="C1340" s="28"/>
      <c r="D1340" s="28"/>
      <c r="E1340" s="16"/>
    </row>
    <row r="1341" spans="1:5" x14ac:dyDescent="0.2">
      <c r="A1341" s="28"/>
      <c r="B1341" s="28"/>
      <c r="C1341" s="28"/>
      <c r="D1341" s="28"/>
      <c r="E1341" s="16"/>
    </row>
    <row r="1342" spans="1:5" x14ac:dyDescent="0.2">
      <c r="A1342" s="28"/>
      <c r="B1342" s="28"/>
      <c r="C1342" s="28"/>
      <c r="D1342" s="28"/>
      <c r="E1342" s="16"/>
    </row>
    <row r="1343" spans="1:5" x14ac:dyDescent="0.2">
      <c r="A1343" s="28"/>
      <c r="B1343" s="28"/>
      <c r="C1343" s="28"/>
      <c r="D1343" s="28"/>
      <c r="E1343" s="16"/>
    </row>
    <row r="1344" spans="1:5" x14ac:dyDescent="0.2">
      <c r="A1344" s="28"/>
      <c r="B1344" s="28"/>
      <c r="C1344" s="28"/>
      <c r="D1344" s="28"/>
      <c r="E1344" s="16"/>
    </row>
    <row r="1345" spans="1:5" x14ac:dyDescent="0.2">
      <c r="A1345" s="28"/>
      <c r="B1345" s="28"/>
      <c r="C1345" s="28"/>
      <c r="D1345" s="28"/>
      <c r="E1345" s="16"/>
    </row>
    <row r="1346" spans="1:5" x14ac:dyDescent="0.2">
      <c r="A1346" s="28"/>
      <c r="B1346" s="28"/>
      <c r="C1346" s="28"/>
      <c r="D1346" s="28"/>
      <c r="E1346" s="16"/>
    </row>
    <row r="1347" spans="1:5" x14ac:dyDescent="0.2">
      <c r="A1347" s="28"/>
      <c r="B1347" s="28"/>
      <c r="C1347" s="28"/>
      <c r="D1347" s="28"/>
      <c r="E1347" s="16"/>
    </row>
    <row r="1348" spans="1:5" x14ac:dyDescent="0.2">
      <c r="A1348" s="28"/>
      <c r="B1348" s="28"/>
      <c r="C1348" s="28"/>
      <c r="D1348" s="28"/>
      <c r="E1348" s="16"/>
    </row>
    <row r="1349" spans="1:5" x14ac:dyDescent="0.2">
      <c r="A1349" s="28"/>
      <c r="B1349" s="28"/>
      <c r="C1349" s="28"/>
      <c r="D1349" s="28"/>
      <c r="E1349" s="16"/>
    </row>
    <row r="1350" spans="1:5" x14ac:dyDescent="0.2">
      <c r="A1350" s="28"/>
      <c r="B1350" s="28"/>
      <c r="C1350" s="28"/>
      <c r="D1350" s="28"/>
      <c r="E1350" s="16"/>
    </row>
    <row r="1351" spans="1:5" x14ac:dyDescent="0.2">
      <c r="A1351" s="28"/>
      <c r="B1351" s="28"/>
      <c r="C1351" s="28"/>
      <c r="D1351" s="28"/>
      <c r="E1351" s="16"/>
    </row>
    <row r="1352" spans="1:5" x14ac:dyDescent="0.2">
      <c r="A1352" s="28"/>
      <c r="B1352" s="28"/>
      <c r="C1352" s="28"/>
      <c r="D1352" s="28"/>
      <c r="E1352" s="16"/>
    </row>
    <row r="1353" spans="1:5" x14ac:dyDescent="0.2">
      <c r="A1353" s="28"/>
      <c r="B1353" s="28"/>
      <c r="C1353" s="28"/>
      <c r="D1353" s="28"/>
      <c r="E1353" s="16"/>
    </row>
    <row r="1354" spans="1:5" x14ac:dyDescent="0.2">
      <c r="A1354" s="28"/>
      <c r="B1354" s="28"/>
      <c r="C1354" s="28"/>
      <c r="D1354" s="28"/>
      <c r="E1354" s="16"/>
    </row>
    <row r="1355" spans="1:5" x14ac:dyDescent="0.2">
      <c r="A1355" s="28"/>
      <c r="B1355" s="28"/>
      <c r="C1355" s="28"/>
      <c r="D1355" s="28"/>
      <c r="E1355" s="16"/>
    </row>
    <row r="1356" spans="1:5" x14ac:dyDescent="0.2">
      <c r="A1356" s="28"/>
      <c r="B1356" s="28"/>
      <c r="C1356" s="28"/>
      <c r="D1356" s="28"/>
      <c r="E1356" s="16"/>
    </row>
    <row r="1357" spans="1:5" x14ac:dyDescent="0.2">
      <c r="A1357" s="28"/>
      <c r="B1357" s="28"/>
      <c r="C1357" s="28"/>
      <c r="D1357" s="28"/>
      <c r="E1357" s="16"/>
    </row>
    <row r="1358" spans="1:5" x14ac:dyDescent="0.2">
      <c r="A1358" s="28"/>
      <c r="B1358" s="28"/>
      <c r="C1358" s="28"/>
      <c r="D1358" s="28"/>
      <c r="E1358" s="16"/>
    </row>
    <row r="1359" spans="1:5" x14ac:dyDescent="0.2">
      <c r="A1359" s="28"/>
      <c r="B1359" s="28"/>
      <c r="C1359" s="28"/>
      <c r="D1359" s="28"/>
      <c r="E1359" s="16"/>
    </row>
    <row r="1360" spans="1:5" x14ac:dyDescent="0.2">
      <c r="A1360" s="28"/>
      <c r="B1360" s="28"/>
      <c r="C1360" s="28"/>
      <c r="D1360" s="28"/>
      <c r="E1360" s="16"/>
    </row>
    <row r="1361" spans="1:5" x14ac:dyDescent="0.2">
      <c r="A1361" s="28"/>
      <c r="B1361" s="28"/>
      <c r="C1361" s="28"/>
      <c r="D1361" s="28"/>
      <c r="E1361" s="16"/>
    </row>
    <row r="1362" spans="1:5" x14ac:dyDescent="0.2">
      <c r="A1362" s="28"/>
      <c r="B1362" s="28"/>
      <c r="C1362" s="28"/>
      <c r="D1362" s="28"/>
      <c r="E1362" s="16"/>
    </row>
    <row r="1363" spans="1:5" x14ac:dyDescent="0.2">
      <c r="A1363" s="28"/>
      <c r="B1363" s="28"/>
      <c r="C1363" s="28"/>
      <c r="D1363" s="28"/>
      <c r="E1363" s="16"/>
    </row>
    <row r="1364" spans="1:5" x14ac:dyDescent="0.2">
      <c r="A1364" s="28"/>
      <c r="B1364" s="28"/>
      <c r="C1364" s="28"/>
      <c r="D1364" s="28"/>
      <c r="E1364" s="16"/>
    </row>
    <row r="1365" spans="1:5" x14ac:dyDescent="0.2">
      <c r="A1365" s="28"/>
      <c r="B1365" s="28"/>
      <c r="C1365" s="28"/>
      <c r="D1365" s="28"/>
      <c r="E1365" s="16"/>
    </row>
    <row r="1366" spans="1:5" x14ac:dyDescent="0.2">
      <c r="A1366" s="28"/>
      <c r="B1366" s="28"/>
      <c r="C1366" s="28"/>
      <c r="D1366" s="28"/>
      <c r="E1366" s="16"/>
    </row>
    <row r="1367" spans="1:5" x14ac:dyDescent="0.2">
      <c r="A1367" s="28"/>
      <c r="B1367" s="28"/>
      <c r="C1367" s="28"/>
      <c r="D1367" s="28"/>
      <c r="E1367" s="16"/>
    </row>
    <row r="1368" spans="1:5" x14ac:dyDescent="0.2">
      <c r="A1368" s="28"/>
      <c r="B1368" s="28"/>
      <c r="C1368" s="28"/>
      <c r="D1368" s="28"/>
      <c r="E1368" s="16"/>
    </row>
    <row r="1369" spans="1:5" x14ac:dyDescent="0.2">
      <c r="A1369" s="28"/>
      <c r="B1369" s="28"/>
      <c r="C1369" s="28"/>
      <c r="D1369" s="28"/>
      <c r="E1369" s="16"/>
    </row>
    <row r="1370" spans="1:5" x14ac:dyDescent="0.2">
      <c r="A1370" s="28"/>
      <c r="B1370" s="28"/>
      <c r="C1370" s="28"/>
      <c r="D1370" s="28"/>
      <c r="E1370" s="16"/>
    </row>
    <row r="1371" spans="1:5" x14ac:dyDescent="0.2">
      <c r="A1371" s="28"/>
      <c r="B1371" s="28"/>
      <c r="C1371" s="28"/>
      <c r="D1371" s="28"/>
      <c r="E1371" s="16"/>
    </row>
    <row r="1372" spans="1:5" x14ac:dyDescent="0.2">
      <c r="A1372" s="28"/>
      <c r="B1372" s="28"/>
      <c r="C1372" s="28"/>
      <c r="D1372" s="28"/>
      <c r="E1372" s="16"/>
    </row>
    <row r="1373" spans="1:5" x14ac:dyDescent="0.2">
      <c r="A1373" s="28"/>
      <c r="B1373" s="28"/>
      <c r="C1373" s="28"/>
      <c r="D1373" s="28"/>
      <c r="E1373" s="16"/>
    </row>
    <row r="1374" spans="1:5" x14ac:dyDescent="0.2">
      <c r="A1374" s="28"/>
      <c r="B1374" s="28"/>
      <c r="C1374" s="28"/>
      <c r="D1374" s="28"/>
      <c r="E1374" s="16"/>
    </row>
    <row r="1375" spans="1:5" x14ac:dyDescent="0.2">
      <c r="A1375" s="28"/>
      <c r="B1375" s="28"/>
      <c r="C1375" s="28"/>
      <c r="D1375" s="28"/>
      <c r="E1375" s="16"/>
    </row>
    <row r="1376" spans="1:5" x14ac:dyDescent="0.2">
      <c r="A1376" s="28"/>
      <c r="B1376" s="28"/>
      <c r="C1376" s="28"/>
      <c r="D1376" s="28"/>
      <c r="E1376" s="16"/>
    </row>
    <row r="1377" spans="1:5" x14ac:dyDescent="0.2">
      <c r="A1377" s="28"/>
      <c r="B1377" s="28"/>
      <c r="C1377" s="28"/>
      <c r="D1377" s="28"/>
      <c r="E1377" s="16"/>
    </row>
    <row r="1378" spans="1:5" x14ac:dyDescent="0.2">
      <c r="A1378" s="28"/>
      <c r="B1378" s="28"/>
      <c r="C1378" s="28"/>
      <c r="D1378" s="28"/>
      <c r="E1378" s="16"/>
    </row>
    <row r="1379" spans="1:5" x14ac:dyDescent="0.2">
      <c r="A1379" s="28"/>
      <c r="B1379" s="28"/>
      <c r="C1379" s="28"/>
      <c r="D1379" s="28"/>
      <c r="E1379" s="16"/>
    </row>
    <row r="1380" spans="1:5" x14ac:dyDescent="0.2">
      <c r="A1380" s="28"/>
      <c r="B1380" s="28"/>
      <c r="C1380" s="28"/>
      <c r="D1380" s="28"/>
      <c r="E1380" s="16"/>
    </row>
    <row r="1381" spans="1:5" x14ac:dyDescent="0.2">
      <c r="A1381" s="28"/>
      <c r="B1381" s="28"/>
      <c r="C1381" s="28"/>
      <c r="D1381" s="28"/>
      <c r="E1381" s="16"/>
    </row>
    <row r="1382" spans="1:5" x14ac:dyDescent="0.2">
      <c r="A1382" s="28"/>
      <c r="B1382" s="28"/>
      <c r="C1382" s="28"/>
      <c r="D1382" s="28"/>
      <c r="E1382" s="16"/>
    </row>
    <row r="1383" spans="1:5" x14ac:dyDescent="0.2">
      <c r="A1383" s="28"/>
      <c r="B1383" s="28"/>
      <c r="C1383" s="28"/>
      <c r="D1383" s="28"/>
      <c r="E1383" s="16"/>
    </row>
    <row r="1384" spans="1:5" x14ac:dyDescent="0.2">
      <c r="A1384" s="28"/>
      <c r="B1384" s="28"/>
      <c r="C1384" s="28"/>
      <c r="D1384" s="28"/>
      <c r="E1384" s="16"/>
    </row>
    <row r="1385" spans="1:5" x14ac:dyDescent="0.2">
      <c r="A1385" s="28"/>
      <c r="B1385" s="28"/>
      <c r="C1385" s="28"/>
      <c r="D1385" s="28"/>
      <c r="E1385" s="16"/>
    </row>
    <row r="1386" spans="1:5" x14ac:dyDescent="0.2">
      <c r="A1386" s="28"/>
      <c r="B1386" s="28"/>
      <c r="C1386" s="28"/>
      <c r="D1386" s="28"/>
      <c r="E1386" s="16"/>
    </row>
    <row r="1387" spans="1:5" x14ac:dyDescent="0.2">
      <c r="A1387" s="28"/>
      <c r="B1387" s="28"/>
      <c r="C1387" s="28"/>
      <c r="D1387" s="28"/>
      <c r="E1387" s="16"/>
    </row>
    <row r="1388" spans="1:5" x14ac:dyDescent="0.2">
      <c r="A1388" s="28"/>
      <c r="B1388" s="28"/>
      <c r="C1388" s="28"/>
      <c r="D1388" s="28"/>
      <c r="E1388" s="16"/>
    </row>
    <row r="1389" spans="1:5" x14ac:dyDescent="0.2">
      <c r="A1389" s="28"/>
      <c r="B1389" s="28"/>
      <c r="C1389" s="28"/>
      <c r="D1389" s="28"/>
      <c r="E1389" s="16"/>
    </row>
    <row r="1390" spans="1:5" x14ac:dyDescent="0.2">
      <c r="A1390" s="28"/>
      <c r="B1390" s="28"/>
      <c r="C1390" s="28"/>
      <c r="D1390" s="28"/>
      <c r="E1390" s="16"/>
    </row>
    <row r="1391" spans="1:5" x14ac:dyDescent="0.2">
      <c r="A1391" s="28"/>
      <c r="B1391" s="28"/>
      <c r="C1391" s="28"/>
      <c r="D1391" s="28"/>
      <c r="E1391" s="16"/>
    </row>
    <row r="1392" spans="1:5" x14ac:dyDescent="0.2">
      <c r="A1392" s="28"/>
      <c r="B1392" s="28"/>
      <c r="C1392" s="28"/>
      <c r="D1392" s="28"/>
      <c r="E1392" s="16"/>
    </row>
    <row r="1393" spans="1:5" x14ac:dyDescent="0.2">
      <c r="A1393" s="28"/>
      <c r="B1393" s="28"/>
      <c r="C1393" s="28"/>
      <c r="D1393" s="28"/>
      <c r="E1393" s="16"/>
    </row>
    <row r="1394" spans="1:5" x14ac:dyDescent="0.2">
      <c r="A1394" s="28"/>
      <c r="B1394" s="28"/>
      <c r="C1394" s="28"/>
      <c r="D1394" s="28"/>
      <c r="E1394" s="16"/>
    </row>
    <row r="1395" spans="1:5" x14ac:dyDescent="0.2">
      <c r="A1395" s="28"/>
      <c r="B1395" s="28"/>
      <c r="C1395" s="28"/>
      <c r="D1395" s="28"/>
      <c r="E1395" s="16"/>
    </row>
    <row r="1396" spans="1:5" x14ac:dyDescent="0.2">
      <c r="A1396" s="28"/>
      <c r="B1396" s="28"/>
      <c r="C1396" s="28"/>
      <c r="D1396" s="28"/>
      <c r="E1396" s="16"/>
    </row>
    <row r="1397" spans="1:5" x14ac:dyDescent="0.2">
      <c r="A1397" s="28"/>
      <c r="B1397" s="28"/>
      <c r="C1397" s="28"/>
      <c r="D1397" s="28"/>
      <c r="E1397" s="16"/>
    </row>
    <row r="1398" spans="1:5" x14ac:dyDescent="0.2">
      <c r="A1398" s="28"/>
      <c r="B1398" s="28"/>
      <c r="C1398" s="28"/>
      <c r="D1398" s="28"/>
      <c r="E1398" s="16"/>
    </row>
    <row r="1399" spans="1:5" x14ac:dyDescent="0.2">
      <c r="A1399" s="28"/>
      <c r="B1399" s="28"/>
      <c r="C1399" s="28"/>
      <c r="D1399" s="28"/>
      <c r="E1399" s="16"/>
    </row>
    <row r="1400" spans="1:5" x14ac:dyDescent="0.2">
      <c r="A1400" s="28"/>
      <c r="B1400" s="28"/>
      <c r="C1400" s="28"/>
      <c r="D1400" s="28"/>
      <c r="E1400" s="16"/>
    </row>
    <row r="1401" spans="1:5" x14ac:dyDescent="0.2">
      <c r="A1401" s="28"/>
      <c r="B1401" s="28"/>
      <c r="C1401" s="28"/>
      <c r="D1401" s="28"/>
      <c r="E1401" s="16"/>
    </row>
    <row r="1402" spans="1:5" x14ac:dyDescent="0.2">
      <c r="A1402" s="28"/>
      <c r="B1402" s="28"/>
      <c r="C1402" s="28"/>
      <c r="D1402" s="28"/>
      <c r="E1402" s="16"/>
    </row>
    <row r="1403" spans="1:5" x14ac:dyDescent="0.2">
      <c r="A1403" s="28"/>
      <c r="B1403" s="28"/>
      <c r="C1403" s="28"/>
      <c r="D1403" s="28"/>
      <c r="E1403" s="16"/>
    </row>
    <row r="1404" spans="1:5" x14ac:dyDescent="0.2">
      <c r="A1404" s="28"/>
      <c r="B1404" s="28"/>
      <c r="C1404" s="28"/>
      <c r="D1404" s="28"/>
      <c r="E1404" s="16"/>
    </row>
    <row r="1405" spans="1:5" x14ac:dyDescent="0.2">
      <c r="A1405" s="28"/>
      <c r="B1405" s="28"/>
      <c r="C1405" s="28"/>
      <c r="D1405" s="28"/>
      <c r="E1405" s="16"/>
    </row>
    <row r="1406" spans="1:5" x14ac:dyDescent="0.2">
      <c r="A1406" s="28"/>
      <c r="B1406" s="28"/>
      <c r="C1406" s="28"/>
      <c r="D1406" s="28"/>
      <c r="E1406" s="16"/>
    </row>
    <row r="1407" spans="1:5" x14ac:dyDescent="0.2">
      <c r="A1407" s="28"/>
      <c r="B1407" s="28"/>
      <c r="C1407" s="28"/>
      <c r="D1407" s="28"/>
      <c r="E1407" s="16"/>
    </row>
    <row r="1408" spans="1:5" x14ac:dyDescent="0.2">
      <c r="A1408" s="28"/>
      <c r="B1408" s="28"/>
      <c r="C1408" s="28"/>
      <c r="D1408" s="28"/>
      <c r="E1408" s="16"/>
    </row>
    <row r="1409" spans="1:5" x14ac:dyDescent="0.2">
      <c r="A1409" s="28"/>
      <c r="B1409" s="28"/>
      <c r="C1409" s="28"/>
      <c r="D1409" s="28"/>
      <c r="E1409" s="16"/>
    </row>
    <row r="1410" spans="1:5" x14ac:dyDescent="0.2">
      <c r="A1410" s="28"/>
      <c r="B1410" s="28"/>
      <c r="C1410" s="28"/>
      <c r="D1410" s="28"/>
      <c r="E1410" s="16"/>
    </row>
    <row r="1411" spans="1:5" x14ac:dyDescent="0.2">
      <c r="A1411" s="28"/>
      <c r="B1411" s="28"/>
      <c r="C1411" s="28"/>
      <c r="D1411" s="28"/>
      <c r="E1411" s="16"/>
    </row>
    <row r="1412" spans="1:5" x14ac:dyDescent="0.2">
      <c r="A1412" s="28"/>
      <c r="B1412" s="28"/>
      <c r="C1412" s="28"/>
      <c r="D1412" s="28"/>
      <c r="E1412" s="16"/>
    </row>
    <row r="1413" spans="1:5" x14ac:dyDescent="0.2">
      <c r="A1413" s="28"/>
      <c r="B1413" s="28"/>
      <c r="C1413" s="28"/>
      <c r="D1413" s="28"/>
      <c r="E1413" s="16"/>
    </row>
    <row r="1414" spans="1:5" x14ac:dyDescent="0.2">
      <c r="A1414" s="28"/>
      <c r="B1414" s="28"/>
      <c r="C1414" s="28"/>
      <c r="D1414" s="28"/>
      <c r="E1414" s="16"/>
    </row>
    <row r="1415" spans="1:5" x14ac:dyDescent="0.2">
      <c r="A1415" s="28"/>
      <c r="B1415" s="28"/>
      <c r="C1415" s="28"/>
      <c r="D1415" s="28"/>
      <c r="E1415" s="16"/>
    </row>
    <row r="1416" spans="1:5" x14ac:dyDescent="0.2">
      <c r="A1416" s="28"/>
      <c r="B1416" s="28"/>
      <c r="C1416" s="28"/>
      <c r="D1416" s="28"/>
      <c r="E1416" s="16"/>
    </row>
    <row r="1417" spans="1:5" x14ac:dyDescent="0.2">
      <c r="A1417" s="28"/>
      <c r="B1417" s="28"/>
      <c r="C1417" s="28"/>
      <c r="D1417" s="28"/>
      <c r="E1417" s="16"/>
    </row>
    <row r="1418" spans="1:5" x14ac:dyDescent="0.2">
      <c r="A1418" s="28"/>
      <c r="B1418" s="28"/>
      <c r="C1418" s="28"/>
      <c r="D1418" s="28"/>
      <c r="E1418" s="16"/>
    </row>
    <row r="1419" spans="1:5" x14ac:dyDescent="0.2">
      <c r="A1419" s="28"/>
      <c r="B1419" s="28"/>
      <c r="C1419" s="28"/>
      <c r="D1419" s="28"/>
      <c r="E1419" s="16"/>
    </row>
    <row r="1420" spans="1:5" x14ac:dyDescent="0.2">
      <c r="A1420" s="28"/>
      <c r="B1420" s="28"/>
      <c r="C1420" s="28"/>
      <c r="D1420" s="28"/>
      <c r="E1420" s="16"/>
    </row>
    <row r="1421" spans="1:5" x14ac:dyDescent="0.2">
      <c r="A1421" s="28"/>
      <c r="B1421" s="28"/>
      <c r="C1421" s="28"/>
      <c r="D1421" s="28"/>
      <c r="E1421" s="16"/>
    </row>
    <row r="1422" spans="1:5" x14ac:dyDescent="0.2">
      <c r="A1422" s="28"/>
      <c r="B1422" s="28"/>
      <c r="C1422" s="28"/>
      <c r="D1422" s="28"/>
      <c r="E1422" s="16"/>
    </row>
    <row r="1423" spans="1:5" x14ac:dyDescent="0.2">
      <c r="A1423" s="28"/>
      <c r="B1423" s="28"/>
      <c r="C1423" s="28"/>
      <c r="D1423" s="28"/>
      <c r="E1423" s="16"/>
    </row>
    <row r="1424" spans="1:5" x14ac:dyDescent="0.2">
      <c r="A1424" s="28"/>
      <c r="B1424" s="28"/>
      <c r="C1424" s="28"/>
      <c r="D1424" s="28"/>
      <c r="E1424" s="16"/>
    </row>
    <row r="1425" spans="1:5" x14ac:dyDescent="0.2">
      <c r="A1425" s="28"/>
      <c r="B1425" s="28"/>
      <c r="C1425" s="28"/>
      <c r="D1425" s="28"/>
      <c r="E1425" s="16"/>
    </row>
    <row r="1426" spans="1:5" x14ac:dyDescent="0.2">
      <c r="A1426" s="28"/>
      <c r="B1426" s="28"/>
      <c r="C1426" s="28"/>
      <c r="D1426" s="28"/>
      <c r="E1426" s="16"/>
    </row>
    <row r="1427" spans="1:5" x14ac:dyDescent="0.2">
      <c r="A1427" s="28"/>
      <c r="B1427" s="28"/>
      <c r="C1427" s="28"/>
      <c r="D1427" s="28"/>
      <c r="E1427" s="16"/>
    </row>
    <row r="1428" spans="1:5" x14ac:dyDescent="0.2">
      <c r="A1428" s="28"/>
      <c r="B1428" s="28"/>
      <c r="C1428" s="28"/>
      <c r="D1428" s="28"/>
      <c r="E1428" s="16"/>
    </row>
    <row r="1429" spans="1:5" x14ac:dyDescent="0.2">
      <c r="A1429" s="28"/>
      <c r="B1429" s="28"/>
      <c r="C1429" s="28"/>
      <c r="D1429" s="28"/>
      <c r="E1429" s="16"/>
    </row>
    <row r="1430" spans="1:5" x14ac:dyDescent="0.2">
      <c r="A1430" s="28"/>
      <c r="B1430" s="28"/>
      <c r="C1430" s="28"/>
      <c r="D1430" s="28"/>
      <c r="E1430" s="16"/>
    </row>
    <row r="1431" spans="1:5" x14ac:dyDescent="0.2">
      <c r="A1431" s="28"/>
      <c r="B1431" s="28"/>
      <c r="C1431" s="28"/>
      <c r="D1431" s="28"/>
      <c r="E1431" s="16"/>
    </row>
    <row r="1432" spans="1:5" x14ac:dyDescent="0.2">
      <c r="A1432" s="28"/>
      <c r="B1432" s="28"/>
      <c r="C1432" s="28"/>
      <c r="D1432" s="28"/>
      <c r="E1432" s="16"/>
    </row>
    <row r="1433" spans="1:5" x14ac:dyDescent="0.2">
      <c r="A1433" s="28"/>
      <c r="B1433" s="28"/>
      <c r="C1433" s="28"/>
      <c r="D1433" s="28"/>
      <c r="E1433" s="16"/>
    </row>
    <row r="1434" spans="1:5" x14ac:dyDescent="0.2">
      <c r="A1434" s="28"/>
      <c r="B1434" s="28"/>
      <c r="C1434" s="28"/>
      <c r="D1434" s="28"/>
      <c r="E1434" s="16"/>
    </row>
    <row r="1435" spans="1:5" x14ac:dyDescent="0.2">
      <c r="A1435" s="28"/>
      <c r="B1435" s="28"/>
      <c r="C1435" s="28"/>
      <c r="D1435" s="28"/>
      <c r="E1435" s="16"/>
    </row>
    <row r="1436" spans="1:5" x14ac:dyDescent="0.2">
      <c r="A1436" s="28"/>
      <c r="B1436" s="28"/>
      <c r="C1436" s="28"/>
      <c r="D1436" s="28"/>
      <c r="E1436" s="16"/>
    </row>
    <row r="1437" spans="1:5" x14ac:dyDescent="0.2">
      <c r="A1437" s="28"/>
      <c r="B1437" s="28"/>
      <c r="C1437" s="28"/>
      <c r="D1437" s="28"/>
      <c r="E1437" s="16"/>
    </row>
    <row r="1438" spans="1:5" x14ac:dyDescent="0.2">
      <c r="A1438" s="28"/>
      <c r="B1438" s="28"/>
      <c r="C1438" s="28"/>
      <c r="D1438" s="28"/>
      <c r="E1438" s="16"/>
    </row>
    <row r="1439" spans="1:5" x14ac:dyDescent="0.2">
      <c r="A1439" s="28"/>
      <c r="B1439" s="28"/>
      <c r="C1439" s="28"/>
      <c r="D1439" s="28"/>
      <c r="E1439" s="16"/>
    </row>
    <row r="1440" spans="1:5" x14ac:dyDescent="0.2">
      <c r="A1440" s="28"/>
      <c r="B1440" s="28"/>
      <c r="C1440" s="28"/>
      <c r="D1440" s="28"/>
      <c r="E1440" s="16"/>
    </row>
    <row r="1441" spans="1:5" x14ac:dyDescent="0.2">
      <c r="A1441" s="28"/>
      <c r="B1441" s="28"/>
      <c r="C1441" s="28"/>
      <c r="D1441" s="28"/>
      <c r="E1441" s="16"/>
    </row>
    <row r="1442" spans="1:5" x14ac:dyDescent="0.2">
      <c r="A1442" s="28"/>
      <c r="B1442" s="28"/>
      <c r="C1442" s="28"/>
      <c r="D1442" s="28"/>
      <c r="E1442" s="16"/>
    </row>
    <row r="1443" spans="1:5" x14ac:dyDescent="0.2">
      <c r="A1443" s="28"/>
      <c r="B1443" s="28"/>
      <c r="C1443" s="28"/>
      <c r="D1443" s="28"/>
      <c r="E1443" s="16"/>
    </row>
    <row r="1444" spans="1:5" x14ac:dyDescent="0.2">
      <c r="A1444" s="28"/>
      <c r="B1444" s="28"/>
      <c r="C1444" s="28"/>
      <c r="D1444" s="28"/>
      <c r="E1444" s="16"/>
    </row>
    <row r="1445" spans="1:5" x14ac:dyDescent="0.2">
      <c r="A1445" s="28"/>
      <c r="B1445" s="28"/>
      <c r="C1445" s="28"/>
      <c r="D1445" s="28"/>
      <c r="E1445" s="16"/>
    </row>
    <row r="1446" spans="1:5" x14ac:dyDescent="0.2">
      <c r="A1446" s="28"/>
      <c r="B1446" s="28"/>
      <c r="C1446" s="28"/>
      <c r="D1446" s="28"/>
      <c r="E1446" s="16"/>
    </row>
    <row r="1447" spans="1:5" x14ac:dyDescent="0.2">
      <c r="A1447" s="28"/>
      <c r="B1447" s="28"/>
      <c r="C1447" s="28"/>
      <c r="D1447" s="28"/>
      <c r="E1447" s="16"/>
    </row>
    <row r="1448" spans="1:5" x14ac:dyDescent="0.2">
      <c r="A1448" s="28"/>
      <c r="B1448" s="28"/>
      <c r="C1448" s="28"/>
      <c r="D1448" s="28"/>
      <c r="E1448" s="16"/>
    </row>
    <row r="1449" spans="1:5" x14ac:dyDescent="0.2">
      <c r="A1449" s="28"/>
      <c r="B1449" s="28"/>
      <c r="C1449" s="28"/>
      <c r="D1449" s="28"/>
      <c r="E1449" s="16"/>
    </row>
    <row r="1450" spans="1:5" x14ac:dyDescent="0.2">
      <c r="A1450" s="28"/>
      <c r="B1450" s="28"/>
      <c r="C1450" s="28"/>
      <c r="D1450" s="28"/>
      <c r="E1450" s="16"/>
    </row>
    <row r="1451" spans="1:5" x14ac:dyDescent="0.2">
      <c r="A1451" s="28"/>
      <c r="B1451" s="28"/>
      <c r="C1451" s="28"/>
      <c r="D1451" s="28"/>
      <c r="E1451" s="16"/>
    </row>
    <row r="1452" spans="1:5" x14ac:dyDescent="0.2">
      <c r="A1452" s="28"/>
      <c r="B1452" s="28"/>
      <c r="C1452" s="28"/>
      <c r="D1452" s="28"/>
      <c r="E1452" s="16"/>
    </row>
    <row r="1453" spans="1:5" x14ac:dyDescent="0.2">
      <c r="A1453" s="28"/>
      <c r="B1453" s="28"/>
      <c r="C1453" s="28"/>
      <c r="D1453" s="28"/>
      <c r="E1453" s="16"/>
    </row>
    <row r="1454" spans="1:5" x14ac:dyDescent="0.2">
      <c r="A1454" s="28"/>
      <c r="B1454" s="28"/>
      <c r="C1454" s="28"/>
      <c r="D1454" s="28"/>
      <c r="E1454" s="16"/>
    </row>
    <row r="1455" spans="1:5" x14ac:dyDescent="0.2">
      <c r="A1455" s="28"/>
      <c r="B1455" s="28"/>
      <c r="C1455" s="28"/>
      <c r="D1455" s="28"/>
      <c r="E1455" s="16"/>
    </row>
    <row r="1456" spans="1:5" x14ac:dyDescent="0.2">
      <c r="A1456" s="28"/>
      <c r="B1456" s="28"/>
      <c r="C1456" s="28"/>
      <c r="D1456" s="28"/>
      <c r="E1456" s="16"/>
    </row>
    <row r="1457" spans="1:5" x14ac:dyDescent="0.2">
      <c r="A1457" s="28"/>
      <c r="B1457" s="28"/>
      <c r="C1457" s="28"/>
      <c r="D1457" s="28"/>
      <c r="E1457" s="16"/>
    </row>
    <row r="1458" spans="1:5" x14ac:dyDescent="0.2">
      <c r="A1458" s="28"/>
      <c r="B1458" s="28"/>
      <c r="C1458" s="28"/>
      <c r="D1458" s="28"/>
      <c r="E1458" s="16"/>
    </row>
    <row r="1459" spans="1:5" x14ac:dyDescent="0.2">
      <c r="A1459" s="28"/>
      <c r="B1459" s="28"/>
      <c r="C1459" s="28"/>
      <c r="D1459" s="28"/>
      <c r="E1459" s="16"/>
    </row>
    <row r="1460" spans="1:5" x14ac:dyDescent="0.2">
      <c r="A1460" s="28"/>
      <c r="B1460" s="28"/>
      <c r="C1460" s="28"/>
      <c r="D1460" s="28"/>
      <c r="E1460" s="16"/>
    </row>
    <row r="1461" spans="1:5" x14ac:dyDescent="0.2">
      <c r="A1461" s="28"/>
      <c r="B1461" s="28"/>
      <c r="C1461" s="28"/>
      <c r="D1461" s="28"/>
      <c r="E1461" s="16"/>
    </row>
    <row r="1462" spans="1:5" x14ac:dyDescent="0.2">
      <c r="A1462" s="28"/>
      <c r="B1462" s="28"/>
      <c r="C1462" s="28"/>
      <c r="D1462" s="28"/>
      <c r="E1462" s="16"/>
    </row>
    <row r="1463" spans="1:5" x14ac:dyDescent="0.2">
      <c r="A1463" s="28"/>
      <c r="B1463" s="28"/>
      <c r="C1463" s="28"/>
      <c r="D1463" s="28"/>
      <c r="E1463" s="16"/>
    </row>
    <row r="1464" spans="1:5" x14ac:dyDescent="0.2">
      <c r="A1464" s="28"/>
      <c r="B1464" s="28"/>
      <c r="C1464" s="28"/>
      <c r="D1464" s="28"/>
      <c r="E1464" s="16"/>
    </row>
    <row r="1465" spans="1:5" x14ac:dyDescent="0.2">
      <c r="A1465" s="28"/>
      <c r="B1465" s="28"/>
      <c r="C1465" s="28"/>
      <c r="D1465" s="28"/>
      <c r="E1465" s="16"/>
    </row>
    <row r="1466" spans="1:5" x14ac:dyDescent="0.2">
      <c r="A1466" s="28"/>
      <c r="B1466" s="28"/>
      <c r="C1466" s="28"/>
      <c r="D1466" s="28"/>
      <c r="E1466" s="16"/>
    </row>
    <row r="1467" spans="1:5" x14ac:dyDescent="0.2">
      <c r="A1467" s="28"/>
      <c r="B1467" s="28"/>
      <c r="C1467" s="28"/>
      <c r="D1467" s="28"/>
      <c r="E1467" s="16"/>
    </row>
    <row r="1468" spans="1:5" x14ac:dyDescent="0.2">
      <c r="A1468" s="28"/>
      <c r="B1468" s="28"/>
      <c r="C1468" s="28"/>
      <c r="D1468" s="28"/>
      <c r="E1468" s="16"/>
    </row>
    <row r="1469" spans="1:5" x14ac:dyDescent="0.2">
      <c r="A1469" s="28"/>
      <c r="B1469" s="28"/>
      <c r="C1469" s="28"/>
      <c r="D1469" s="28"/>
      <c r="E1469" s="16"/>
    </row>
    <row r="1470" spans="1:5" x14ac:dyDescent="0.2">
      <c r="A1470" s="28"/>
      <c r="B1470" s="28"/>
      <c r="C1470" s="28"/>
      <c r="D1470" s="28"/>
      <c r="E1470" s="16"/>
    </row>
    <row r="1471" spans="1:5" x14ac:dyDescent="0.2">
      <c r="A1471" s="28"/>
      <c r="B1471" s="28"/>
      <c r="C1471" s="28"/>
      <c r="D1471" s="28"/>
      <c r="E1471" s="16"/>
    </row>
    <row r="1472" spans="1:5" x14ac:dyDescent="0.2">
      <c r="A1472" s="28"/>
      <c r="B1472" s="28"/>
      <c r="C1472" s="28"/>
      <c r="D1472" s="28"/>
      <c r="E1472" s="16"/>
    </row>
    <row r="1473" spans="1:5" x14ac:dyDescent="0.2">
      <c r="A1473" s="28"/>
      <c r="B1473" s="28"/>
      <c r="C1473" s="28"/>
      <c r="D1473" s="28"/>
      <c r="E1473" s="16"/>
    </row>
    <row r="1474" spans="1:5" x14ac:dyDescent="0.2">
      <c r="A1474" s="28"/>
      <c r="B1474" s="28"/>
      <c r="C1474" s="28"/>
      <c r="D1474" s="28"/>
      <c r="E1474" s="16"/>
    </row>
    <row r="1475" spans="1:5" x14ac:dyDescent="0.2">
      <c r="A1475" s="28"/>
      <c r="B1475" s="28"/>
      <c r="C1475" s="28"/>
      <c r="D1475" s="28"/>
      <c r="E1475" s="16"/>
    </row>
    <row r="1476" spans="1:5" x14ac:dyDescent="0.2">
      <c r="A1476" s="28"/>
      <c r="B1476" s="28"/>
      <c r="C1476" s="28"/>
      <c r="D1476" s="28"/>
      <c r="E1476" s="16"/>
    </row>
    <row r="1477" spans="1:5" x14ac:dyDescent="0.2">
      <c r="A1477" s="28"/>
      <c r="B1477" s="28"/>
      <c r="C1477" s="28"/>
      <c r="D1477" s="28"/>
      <c r="E1477" s="16"/>
    </row>
    <row r="1478" spans="1:5" x14ac:dyDescent="0.2">
      <c r="A1478" s="28"/>
      <c r="B1478" s="28"/>
      <c r="C1478" s="28"/>
      <c r="D1478" s="28"/>
      <c r="E1478" s="16"/>
    </row>
    <row r="1479" spans="1:5" x14ac:dyDescent="0.2">
      <c r="A1479" s="28"/>
      <c r="B1479" s="28"/>
      <c r="C1479" s="28"/>
      <c r="D1479" s="28"/>
      <c r="E1479" s="16"/>
    </row>
    <row r="1480" spans="1:5" x14ac:dyDescent="0.2">
      <c r="A1480" s="28"/>
      <c r="B1480" s="28"/>
      <c r="C1480" s="28"/>
      <c r="D1480" s="28"/>
      <c r="E1480" s="16"/>
    </row>
    <row r="1481" spans="1:5" x14ac:dyDescent="0.2">
      <c r="A1481" s="28"/>
      <c r="B1481" s="28"/>
      <c r="C1481" s="28"/>
      <c r="D1481" s="28"/>
      <c r="E1481" s="16"/>
    </row>
    <row r="1482" spans="1:5" x14ac:dyDescent="0.2">
      <c r="A1482" s="28"/>
      <c r="B1482" s="28"/>
      <c r="C1482" s="28"/>
      <c r="D1482" s="28"/>
      <c r="E1482" s="16"/>
    </row>
    <row r="1483" spans="1:5" x14ac:dyDescent="0.2">
      <c r="A1483" s="28"/>
      <c r="B1483" s="28"/>
      <c r="C1483" s="28"/>
      <c r="D1483" s="28"/>
      <c r="E1483" s="16"/>
    </row>
    <row r="1484" spans="1:5" x14ac:dyDescent="0.2">
      <c r="A1484" s="28"/>
      <c r="B1484" s="28"/>
      <c r="C1484" s="28"/>
      <c r="D1484" s="28"/>
      <c r="E1484" s="16"/>
    </row>
    <row r="1485" spans="1:5" x14ac:dyDescent="0.2">
      <c r="A1485" s="28"/>
      <c r="B1485" s="28"/>
      <c r="C1485" s="28"/>
      <c r="D1485" s="28"/>
      <c r="E1485" s="16"/>
    </row>
    <row r="1486" spans="1:5" x14ac:dyDescent="0.2">
      <c r="A1486" s="28"/>
      <c r="B1486" s="28"/>
      <c r="C1486" s="28"/>
      <c r="D1486" s="28"/>
      <c r="E1486" s="16"/>
    </row>
    <row r="1487" spans="1:5" x14ac:dyDescent="0.2">
      <c r="A1487" s="28"/>
      <c r="B1487" s="28"/>
      <c r="C1487" s="28"/>
      <c r="D1487" s="28"/>
      <c r="E1487" s="16"/>
    </row>
    <row r="1488" spans="1:5" x14ac:dyDescent="0.2">
      <c r="A1488" s="28"/>
      <c r="B1488" s="28"/>
      <c r="C1488" s="28"/>
      <c r="D1488" s="28"/>
      <c r="E1488" s="16"/>
    </row>
    <row r="1489" spans="1:5" x14ac:dyDescent="0.2">
      <c r="A1489" s="28"/>
      <c r="B1489" s="28"/>
      <c r="C1489" s="28"/>
      <c r="D1489" s="28"/>
      <c r="E1489" s="16"/>
    </row>
    <row r="1490" spans="1:5" x14ac:dyDescent="0.2">
      <c r="A1490" s="28"/>
      <c r="B1490" s="28"/>
      <c r="C1490" s="28"/>
      <c r="D1490" s="28"/>
      <c r="E1490" s="16"/>
    </row>
    <row r="1491" spans="1:5" x14ac:dyDescent="0.2">
      <c r="A1491" s="28"/>
      <c r="B1491" s="28"/>
      <c r="C1491" s="28"/>
      <c r="D1491" s="28"/>
      <c r="E1491" s="16"/>
    </row>
    <row r="1492" spans="1:5" x14ac:dyDescent="0.2">
      <c r="A1492" s="28"/>
      <c r="B1492" s="28"/>
      <c r="C1492" s="28"/>
      <c r="D1492" s="28"/>
      <c r="E1492" s="16"/>
    </row>
    <row r="1493" spans="1:5" x14ac:dyDescent="0.2">
      <c r="A1493" s="28"/>
      <c r="B1493" s="28"/>
      <c r="C1493" s="28"/>
      <c r="D1493" s="28"/>
      <c r="E1493" s="16"/>
    </row>
    <row r="1494" spans="1:5" x14ac:dyDescent="0.2">
      <c r="A1494" s="28"/>
      <c r="B1494" s="28"/>
      <c r="C1494" s="28"/>
      <c r="D1494" s="28"/>
      <c r="E1494" s="16"/>
    </row>
    <row r="1495" spans="1:5" x14ac:dyDescent="0.2">
      <c r="A1495" s="28"/>
      <c r="B1495" s="28"/>
      <c r="C1495" s="28"/>
      <c r="D1495" s="28"/>
      <c r="E1495" s="16"/>
    </row>
    <row r="1496" spans="1:5" x14ac:dyDescent="0.2">
      <c r="A1496" s="28"/>
      <c r="B1496" s="28"/>
      <c r="C1496" s="28"/>
      <c r="D1496" s="28"/>
      <c r="E1496" s="16"/>
    </row>
    <row r="1497" spans="1:5" x14ac:dyDescent="0.2">
      <c r="A1497" s="28"/>
      <c r="B1497" s="28"/>
      <c r="C1497" s="28"/>
      <c r="D1497" s="28"/>
      <c r="E1497" s="16"/>
    </row>
    <row r="1498" spans="1:5" x14ac:dyDescent="0.2">
      <c r="A1498" s="28"/>
      <c r="B1498" s="28"/>
      <c r="C1498" s="28"/>
      <c r="D1498" s="28"/>
      <c r="E1498" s="16"/>
    </row>
    <row r="1499" spans="1:5" x14ac:dyDescent="0.2">
      <c r="A1499" s="28"/>
      <c r="B1499" s="28"/>
      <c r="C1499" s="28"/>
      <c r="D1499" s="28"/>
      <c r="E1499" s="16"/>
    </row>
    <row r="1500" spans="1:5" x14ac:dyDescent="0.2">
      <c r="A1500" s="28"/>
      <c r="B1500" s="28"/>
      <c r="C1500" s="28"/>
      <c r="D1500" s="28"/>
      <c r="E1500" s="16"/>
    </row>
    <row r="1501" spans="1:5" x14ac:dyDescent="0.2">
      <c r="A1501" s="28"/>
      <c r="B1501" s="28"/>
      <c r="C1501" s="28"/>
      <c r="D1501" s="28"/>
      <c r="E1501" s="16"/>
    </row>
    <row r="1502" spans="1:5" x14ac:dyDescent="0.2">
      <c r="A1502" s="28"/>
      <c r="B1502" s="28"/>
      <c r="C1502" s="28"/>
      <c r="D1502" s="28"/>
      <c r="E1502" s="16"/>
    </row>
    <row r="1503" spans="1:5" x14ac:dyDescent="0.2">
      <c r="A1503" s="28"/>
      <c r="B1503" s="28"/>
      <c r="C1503" s="28"/>
      <c r="D1503" s="28"/>
      <c r="E1503" s="16"/>
    </row>
    <row r="1504" spans="1:5" x14ac:dyDescent="0.2">
      <c r="A1504" s="28"/>
      <c r="B1504" s="28"/>
      <c r="C1504" s="28"/>
      <c r="D1504" s="28"/>
      <c r="E1504" s="16"/>
    </row>
    <row r="1505" spans="1:5" x14ac:dyDescent="0.2">
      <c r="A1505" s="28"/>
      <c r="B1505" s="28"/>
      <c r="C1505" s="28"/>
      <c r="D1505" s="28"/>
      <c r="E1505" s="16"/>
    </row>
    <row r="1506" spans="1:5" x14ac:dyDescent="0.2">
      <c r="A1506" s="28"/>
      <c r="B1506" s="28"/>
      <c r="C1506" s="28"/>
      <c r="D1506" s="28"/>
      <c r="E1506" s="16"/>
    </row>
    <row r="1507" spans="1:5" x14ac:dyDescent="0.2">
      <c r="A1507" s="28"/>
      <c r="B1507" s="28"/>
      <c r="C1507" s="28"/>
      <c r="D1507" s="28"/>
      <c r="E1507" s="16"/>
    </row>
    <row r="1508" spans="1:5" x14ac:dyDescent="0.2">
      <c r="A1508" s="28"/>
      <c r="B1508" s="28"/>
      <c r="C1508" s="28"/>
      <c r="D1508" s="28"/>
      <c r="E1508" s="16"/>
    </row>
    <row r="1509" spans="1:5" x14ac:dyDescent="0.2">
      <c r="A1509" s="28"/>
      <c r="B1509" s="28"/>
      <c r="C1509" s="28"/>
      <c r="D1509" s="28"/>
      <c r="E1509" s="16"/>
    </row>
    <row r="1510" spans="1:5" x14ac:dyDescent="0.2">
      <c r="A1510" s="28"/>
      <c r="B1510" s="28"/>
      <c r="C1510" s="28"/>
      <c r="D1510" s="28"/>
      <c r="E1510" s="16"/>
    </row>
    <row r="1511" spans="1:5" x14ac:dyDescent="0.2">
      <c r="A1511" s="28"/>
      <c r="B1511" s="28"/>
      <c r="C1511" s="28"/>
      <c r="D1511" s="28"/>
      <c r="E1511" s="16"/>
    </row>
    <row r="1512" spans="1:5" x14ac:dyDescent="0.2">
      <c r="A1512" s="28"/>
      <c r="B1512" s="28"/>
      <c r="C1512" s="28"/>
      <c r="D1512" s="28"/>
      <c r="E1512" s="16"/>
    </row>
    <row r="1513" spans="1:5" x14ac:dyDescent="0.2">
      <c r="A1513" s="28"/>
      <c r="B1513" s="28"/>
      <c r="C1513" s="28"/>
      <c r="D1513" s="28"/>
      <c r="E1513" s="16"/>
    </row>
    <row r="1514" spans="1:5" x14ac:dyDescent="0.2">
      <c r="A1514" s="28"/>
      <c r="B1514" s="28"/>
      <c r="C1514" s="28"/>
      <c r="D1514" s="28"/>
      <c r="E1514" s="16"/>
    </row>
    <row r="1515" spans="1:5" x14ac:dyDescent="0.2">
      <c r="A1515" s="28"/>
      <c r="B1515" s="28"/>
      <c r="C1515" s="28"/>
      <c r="D1515" s="28"/>
      <c r="E1515" s="16"/>
    </row>
    <row r="1516" spans="1:5" x14ac:dyDescent="0.2">
      <c r="A1516" s="28"/>
      <c r="B1516" s="28"/>
      <c r="C1516" s="28"/>
      <c r="D1516" s="28"/>
      <c r="E1516" s="16"/>
    </row>
    <row r="1517" spans="1:5" x14ac:dyDescent="0.2">
      <c r="A1517" s="28"/>
      <c r="B1517" s="28"/>
      <c r="C1517" s="28"/>
      <c r="D1517" s="28"/>
      <c r="E1517" s="16"/>
    </row>
    <row r="1518" spans="1:5" x14ac:dyDescent="0.2">
      <c r="A1518" s="28"/>
      <c r="B1518" s="28"/>
      <c r="C1518" s="28"/>
      <c r="D1518" s="28"/>
      <c r="E1518" s="16"/>
    </row>
    <row r="1519" spans="1:5" x14ac:dyDescent="0.2">
      <c r="A1519" s="28"/>
      <c r="B1519" s="28"/>
      <c r="C1519" s="28"/>
      <c r="D1519" s="28"/>
      <c r="E1519" s="16"/>
    </row>
    <row r="1520" spans="1:5" x14ac:dyDescent="0.2">
      <c r="A1520" s="28"/>
      <c r="B1520" s="28"/>
      <c r="C1520" s="28"/>
      <c r="D1520" s="28"/>
      <c r="E1520" s="16"/>
    </row>
    <row r="1521" spans="1:5" x14ac:dyDescent="0.2">
      <c r="A1521" s="28"/>
      <c r="B1521" s="28"/>
      <c r="C1521" s="28"/>
      <c r="D1521" s="28"/>
      <c r="E1521" s="16"/>
    </row>
    <row r="1522" spans="1:5" x14ac:dyDescent="0.2">
      <c r="A1522" s="28"/>
      <c r="B1522" s="28"/>
      <c r="C1522" s="28"/>
      <c r="D1522" s="28"/>
      <c r="E1522" s="16"/>
    </row>
    <row r="1523" spans="1:5" x14ac:dyDescent="0.2">
      <c r="A1523" s="28"/>
      <c r="B1523" s="28"/>
      <c r="C1523" s="28"/>
      <c r="D1523" s="28"/>
      <c r="E1523" s="16"/>
    </row>
    <row r="1524" spans="1:5" x14ac:dyDescent="0.2">
      <c r="A1524" s="28"/>
      <c r="B1524" s="28"/>
      <c r="C1524" s="28"/>
      <c r="D1524" s="28"/>
      <c r="E1524" s="16"/>
    </row>
    <row r="1525" spans="1:5" x14ac:dyDescent="0.2">
      <c r="A1525" s="28"/>
      <c r="B1525" s="28"/>
      <c r="C1525" s="28"/>
      <c r="D1525" s="28"/>
      <c r="E1525" s="16"/>
    </row>
    <row r="1526" spans="1:5" x14ac:dyDescent="0.2">
      <c r="A1526" s="28"/>
      <c r="B1526" s="28"/>
      <c r="C1526" s="28"/>
      <c r="D1526" s="28"/>
      <c r="E1526" s="16"/>
    </row>
    <row r="1527" spans="1:5" x14ac:dyDescent="0.2">
      <c r="A1527" s="28"/>
      <c r="B1527" s="28"/>
      <c r="C1527" s="28"/>
      <c r="D1527" s="28"/>
      <c r="E1527" s="16"/>
    </row>
    <row r="1528" spans="1:5" x14ac:dyDescent="0.2">
      <c r="A1528" s="28"/>
      <c r="B1528" s="28"/>
      <c r="C1528" s="28"/>
      <c r="D1528" s="28"/>
      <c r="E1528" s="16"/>
    </row>
    <row r="1529" spans="1:5" x14ac:dyDescent="0.2">
      <c r="A1529" s="28"/>
      <c r="B1529" s="28"/>
      <c r="C1529" s="28"/>
      <c r="D1529" s="28"/>
      <c r="E1529" s="16"/>
    </row>
    <row r="1530" spans="1:5" x14ac:dyDescent="0.2">
      <c r="A1530" s="28"/>
      <c r="B1530" s="28"/>
      <c r="C1530" s="28"/>
      <c r="D1530" s="28"/>
      <c r="E1530" s="16"/>
    </row>
    <row r="1531" spans="1:5" x14ac:dyDescent="0.2">
      <c r="A1531" s="28"/>
      <c r="B1531" s="28"/>
      <c r="C1531" s="28"/>
      <c r="D1531" s="28"/>
      <c r="E1531" s="16"/>
    </row>
    <row r="1532" spans="1:5" x14ac:dyDescent="0.2">
      <c r="A1532" s="28"/>
      <c r="B1532" s="28"/>
      <c r="C1532" s="28"/>
      <c r="D1532" s="28"/>
      <c r="E1532" s="16"/>
    </row>
    <row r="1533" spans="1:5" x14ac:dyDescent="0.2">
      <c r="A1533" s="28"/>
      <c r="B1533" s="28"/>
      <c r="C1533" s="28"/>
      <c r="D1533" s="28"/>
      <c r="E1533" s="16"/>
    </row>
    <row r="1534" spans="1:5" x14ac:dyDescent="0.2">
      <c r="A1534" s="28"/>
      <c r="B1534" s="28"/>
      <c r="C1534" s="28"/>
      <c r="D1534" s="28"/>
      <c r="E1534" s="16"/>
    </row>
    <row r="1535" spans="1:5" x14ac:dyDescent="0.2">
      <c r="A1535" s="28"/>
      <c r="B1535" s="28"/>
      <c r="C1535" s="28"/>
      <c r="D1535" s="28"/>
      <c r="E1535" s="16"/>
    </row>
    <row r="1536" spans="1:5" x14ac:dyDescent="0.2">
      <c r="A1536" s="28"/>
      <c r="B1536" s="28"/>
      <c r="C1536" s="28"/>
      <c r="D1536" s="28"/>
      <c r="E1536" s="16"/>
    </row>
    <row r="1537" spans="1:5" x14ac:dyDescent="0.2">
      <c r="A1537" s="28"/>
      <c r="B1537" s="28"/>
      <c r="C1537" s="28"/>
      <c r="D1537" s="28"/>
      <c r="E1537" s="16"/>
    </row>
    <row r="1538" spans="1:5" x14ac:dyDescent="0.2">
      <c r="A1538" s="28"/>
      <c r="B1538" s="28"/>
      <c r="C1538" s="28"/>
      <c r="D1538" s="28"/>
      <c r="E1538" s="16"/>
    </row>
    <row r="1539" spans="1:5" x14ac:dyDescent="0.2">
      <c r="A1539" s="28"/>
      <c r="B1539" s="28"/>
      <c r="C1539" s="28"/>
      <c r="D1539" s="28"/>
      <c r="E1539" s="16"/>
    </row>
    <row r="1540" spans="1:5" x14ac:dyDescent="0.2">
      <c r="A1540" s="28"/>
      <c r="B1540" s="28"/>
      <c r="C1540" s="28"/>
      <c r="D1540" s="28"/>
      <c r="E1540" s="16"/>
    </row>
    <row r="1541" spans="1:5" x14ac:dyDescent="0.2">
      <c r="A1541" s="28"/>
      <c r="B1541" s="28"/>
      <c r="C1541" s="28"/>
      <c r="D1541" s="28"/>
      <c r="E1541" s="16"/>
    </row>
    <row r="1542" spans="1:5" x14ac:dyDescent="0.2">
      <c r="A1542" s="28"/>
      <c r="B1542" s="28"/>
      <c r="C1542" s="28"/>
      <c r="D1542" s="28"/>
      <c r="E1542" s="16"/>
    </row>
    <row r="1543" spans="1:5" x14ac:dyDescent="0.2">
      <c r="A1543" s="28"/>
      <c r="B1543" s="28"/>
      <c r="C1543" s="28"/>
      <c r="D1543" s="28"/>
      <c r="E1543" s="16"/>
    </row>
    <row r="1544" spans="1:5" x14ac:dyDescent="0.2">
      <c r="A1544" s="28"/>
      <c r="B1544" s="28"/>
      <c r="C1544" s="28"/>
      <c r="D1544" s="28"/>
      <c r="E1544" s="16"/>
    </row>
    <row r="1545" spans="1:5" x14ac:dyDescent="0.2">
      <c r="A1545" s="28"/>
      <c r="B1545" s="28"/>
      <c r="C1545" s="28"/>
      <c r="D1545" s="28"/>
      <c r="E1545" s="16"/>
    </row>
    <row r="1546" spans="1:5" x14ac:dyDescent="0.2">
      <c r="A1546" s="28"/>
      <c r="B1546" s="28"/>
      <c r="C1546" s="28"/>
      <c r="D1546" s="28"/>
      <c r="E1546" s="16"/>
    </row>
    <row r="1547" spans="1:5" x14ac:dyDescent="0.2">
      <c r="A1547" s="28"/>
      <c r="B1547" s="28"/>
      <c r="C1547" s="28"/>
      <c r="D1547" s="28"/>
      <c r="E1547" s="16"/>
    </row>
    <row r="1548" spans="1:5" x14ac:dyDescent="0.2">
      <c r="A1548" s="28"/>
      <c r="B1548" s="28"/>
      <c r="C1548" s="28"/>
      <c r="D1548" s="28"/>
      <c r="E1548" s="16"/>
    </row>
    <row r="1549" spans="1:5" x14ac:dyDescent="0.2">
      <c r="A1549" s="28"/>
      <c r="B1549" s="28"/>
      <c r="C1549" s="28"/>
      <c r="D1549" s="28"/>
      <c r="E1549" s="16"/>
    </row>
    <row r="1550" spans="1:5" x14ac:dyDescent="0.2">
      <c r="A1550" s="28"/>
      <c r="B1550" s="28"/>
      <c r="C1550" s="28"/>
      <c r="D1550" s="28"/>
      <c r="E1550" s="16"/>
    </row>
    <row r="1551" spans="1:5" x14ac:dyDescent="0.2">
      <c r="A1551" s="28"/>
      <c r="B1551" s="28"/>
      <c r="C1551" s="28"/>
      <c r="D1551" s="28"/>
      <c r="E1551" s="16"/>
    </row>
    <row r="1552" spans="1:5" x14ac:dyDescent="0.2">
      <c r="A1552" s="28"/>
      <c r="B1552" s="28"/>
      <c r="C1552" s="28"/>
      <c r="D1552" s="28"/>
      <c r="E1552" s="16"/>
    </row>
    <row r="1553" spans="1:5" x14ac:dyDescent="0.2">
      <c r="A1553" s="28"/>
      <c r="B1553" s="28"/>
      <c r="C1553" s="28"/>
      <c r="D1553" s="28"/>
      <c r="E1553" s="16"/>
    </row>
    <row r="1554" spans="1:5" x14ac:dyDescent="0.2">
      <c r="A1554" s="28"/>
      <c r="B1554" s="28"/>
      <c r="C1554" s="28"/>
      <c r="D1554" s="28"/>
      <c r="E1554" s="16"/>
    </row>
    <row r="1555" spans="1:5" x14ac:dyDescent="0.2">
      <c r="A1555" s="28"/>
      <c r="B1555" s="28"/>
      <c r="C1555" s="28"/>
      <c r="D1555" s="28"/>
      <c r="E1555" s="16"/>
    </row>
    <row r="1556" spans="1:5" x14ac:dyDescent="0.2">
      <c r="A1556" s="28"/>
      <c r="B1556" s="28"/>
      <c r="C1556" s="28"/>
      <c r="D1556" s="28"/>
      <c r="E1556" s="16"/>
    </row>
    <row r="1557" spans="1:5" x14ac:dyDescent="0.2">
      <c r="A1557" s="28"/>
      <c r="B1557" s="28"/>
      <c r="C1557" s="28"/>
      <c r="D1557" s="28"/>
      <c r="E1557" s="16"/>
    </row>
    <row r="1558" spans="1:5" x14ac:dyDescent="0.2">
      <c r="A1558" s="28"/>
      <c r="B1558" s="28"/>
      <c r="C1558" s="28"/>
      <c r="D1558" s="28"/>
      <c r="E1558" s="16"/>
    </row>
    <row r="1559" spans="1:5" x14ac:dyDescent="0.2">
      <c r="A1559" s="28"/>
      <c r="B1559" s="28"/>
      <c r="C1559" s="28"/>
      <c r="D1559" s="28"/>
      <c r="E1559" s="16"/>
    </row>
    <row r="1560" spans="1:5" x14ac:dyDescent="0.2">
      <c r="A1560" s="28"/>
      <c r="B1560" s="28"/>
      <c r="C1560" s="28"/>
      <c r="D1560" s="28"/>
      <c r="E1560" s="16"/>
    </row>
    <row r="1561" spans="1:5" x14ac:dyDescent="0.2">
      <c r="A1561" s="28"/>
      <c r="B1561" s="28"/>
      <c r="C1561" s="28"/>
      <c r="D1561" s="28"/>
      <c r="E1561" s="16"/>
    </row>
    <row r="1562" spans="1:5" x14ac:dyDescent="0.2">
      <c r="A1562" s="28"/>
      <c r="B1562" s="28"/>
      <c r="C1562" s="28"/>
      <c r="D1562" s="28"/>
      <c r="E1562" s="16"/>
    </row>
    <row r="1563" spans="1:5" x14ac:dyDescent="0.2">
      <c r="A1563" s="28"/>
      <c r="B1563" s="28"/>
      <c r="C1563" s="28"/>
      <c r="D1563" s="28"/>
      <c r="E1563" s="16"/>
    </row>
    <row r="1564" spans="1:5" x14ac:dyDescent="0.2">
      <c r="A1564" s="28"/>
      <c r="B1564" s="28"/>
      <c r="C1564" s="28"/>
      <c r="D1564" s="28"/>
      <c r="E1564" s="16"/>
    </row>
    <row r="1565" spans="1:5" x14ac:dyDescent="0.2">
      <c r="A1565" s="28"/>
      <c r="B1565" s="28"/>
      <c r="C1565" s="28"/>
      <c r="D1565" s="28"/>
      <c r="E1565" s="16"/>
    </row>
    <row r="1566" spans="1:5" x14ac:dyDescent="0.2">
      <c r="A1566" s="28"/>
      <c r="B1566" s="28"/>
      <c r="C1566" s="28"/>
      <c r="D1566" s="28"/>
      <c r="E1566" s="16"/>
    </row>
    <row r="1567" spans="1:5" x14ac:dyDescent="0.2">
      <c r="A1567" s="28"/>
      <c r="B1567" s="28"/>
      <c r="C1567" s="28"/>
      <c r="D1567" s="28"/>
      <c r="E1567" s="16"/>
    </row>
    <row r="1568" spans="1:5" x14ac:dyDescent="0.2">
      <c r="A1568" s="28"/>
      <c r="B1568" s="28"/>
      <c r="C1568" s="28"/>
      <c r="D1568" s="28"/>
      <c r="E1568" s="16"/>
    </row>
    <row r="1569" spans="1:5" x14ac:dyDescent="0.2">
      <c r="A1569" s="28"/>
      <c r="B1569" s="28"/>
      <c r="C1569" s="28"/>
      <c r="D1569" s="28"/>
      <c r="E1569" s="16"/>
    </row>
    <row r="1570" spans="1:5" x14ac:dyDescent="0.2">
      <c r="A1570" s="28"/>
      <c r="B1570" s="28"/>
      <c r="C1570" s="28"/>
      <c r="D1570" s="28"/>
      <c r="E1570" s="16"/>
    </row>
    <row r="1571" spans="1:5" x14ac:dyDescent="0.2">
      <c r="A1571" s="28"/>
      <c r="B1571" s="28"/>
      <c r="C1571" s="28"/>
      <c r="D1571" s="28"/>
      <c r="E1571" s="16"/>
    </row>
    <row r="1572" spans="1:5" x14ac:dyDescent="0.2">
      <c r="A1572" s="28"/>
      <c r="B1572" s="28"/>
      <c r="C1572" s="28"/>
      <c r="D1572" s="28"/>
      <c r="E1572" s="16"/>
    </row>
    <row r="1573" spans="1:5" x14ac:dyDescent="0.2">
      <c r="A1573" s="28"/>
      <c r="B1573" s="28"/>
      <c r="C1573" s="28"/>
      <c r="D1573" s="28"/>
      <c r="E1573" s="16"/>
    </row>
    <row r="1574" spans="1:5" x14ac:dyDescent="0.2">
      <c r="A1574" s="28"/>
      <c r="B1574" s="28"/>
      <c r="C1574" s="28"/>
      <c r="D1574" s="28"/>
      <c r="E1574" s="16"/>
    </row>
    <row r="1575" spans="1:5" x14ac:dyDescent="0.2">
      <c r="A1575" s="28"/>
      <c r="B1575" s="28"/>
      <c r="C1575" s="28"/>
      <c r="D1575" s="28"/>
      <c r="E1575" s="16"/>
    </row>
    <row r="1576" spans="1:5" x14ac:dyDescent="0.2">
      <c r="A1576" s="28"/>
      <c r="B1576" s="28"/>
      <c r="C1576" s="28"/>
      <c r="D1576" s="28"/>
      <c r="E1576" s="16"/>
    </row>
    <row r="1577" spans="1:5" x14ac:dyDescent="0.2">
      <c r="A1577" s="28"/>
      <c r="B1577" s="28"/>
      <c r="C1577" s="28"/>
      <c r="D1577" s="28"/>
      <c r="E1577" s="16"/>
    </row>
    <row r="1578" spans="1:5" x14ac:dyDescent="0.2">
      <c r="A1578" s="28"/>
      <c r="B1578" s="28"/>
      <c r="C1578" s="28"/>
      <c r="D1578" s="28"/>
      <c r="E1578" s="16"/>
    </row>
    <row r="1579" spans="1:5" x14ac:dyDescent="0.2">
      <c r="A1579" s="28"/>
      <c r="B1579" s="28"/>
      <c r="C1579" s="28"/>
      <c r="D1579" s="28"/>
      <c r="E1579" s="16"/>
    </row>
    <row r="1580" spans="1:5" x14ac:dyDescent="0.2">
      <c r="A1580" s="28"/>
      <c r="B1580" s="28"/>
      <c r="C1580" s="28"/>
      <c r="D1580" s="28"/>
      <c r="E1580" s="16"/>
    </row>
    <row r="1581" spans="1:5" x14ac:dyDescent="0.2">
      <c r="A1581" s="28"/>
      <c r="B1581" s="28"/>
      <c r="C1581" s="28"/>
      <c r="D1581" s="28"/>
      <c r="E1581" s="16"/>
    </row>
    <row r="1582" spans="1:5" x14ac:dyDescent="0.2">
      <c r="A1582" s="28"/>
      <c r="B1582" s="28"/>
      <c r="C1582" s="28"/>
      <c r="D1582" s="28"/>
      <c r="E1582" s="16"/>
    </row>
    <row r="1583" spans="1:5" x14ac:dyDescent="0.2">
      <c r="A1583" s="28"/>
      <c r="B1583" s="28"/>
      <c r="C1583" s="28"/>
      <c r="D1583" s="28"/>
      <c r="E1583" s="16"/>
    </row>
    <row r="1584" spans="1:5" x14ac:dyDescent="0.2">
      <c r="A1584" s="28"/>
      <c r="B1584" s="28"/>
      <c r="C1584" s="28"/>
      <c r="D1584" s="28"/>
      <c r="E1584" s="16"/>
    </row>
    <row r="1585" spans="1:5" x14ac:dyDescent="0.2">
      <c r="A1585" s="28"/>
      <c r="B1585" s="28"/>
      <c r="C1585" s="28"/>
      <c r="D1585" s="28"/>
      <c r="E1585" s="16"/>
    </row>
    <row r="1586" spans="1:5" x14ac:dyDescent="0.2">
      <c r="A1586" s="28"/>
      <c r="B1586" s="28"/>
      <c r="C1586" s="28"/>
      <c r="D1586" s="28"/>
      <c r="E1586" s="16"/>
    </row>
    <row r="1587" spans="1:5" x14ac:dyDescent="0.2">
      <c r="A1587" s="28"/>
      <c r="B1587" s="28"/>
      <c r="C1587" s="28"/>
      <c r="D1587" s="28"/>
      <c r="E1587" s="16"/>
    </row>
    <row r="1588" spans="1:5" x14ac:dyDescent="0.2">
      <c r="A1588" s="28"/>
      <c r="B1588" s="28"/>
      <c r="C1588" s="28"/>
      <c r="D1588" s="28"/>
      <c r="E1588" s="16"/>
    </row>
    <row r="1589" spans="1:5" x14ac:dyDescent="0.2">
      <c r="A1589" s="28"/>
      <c r="B1589" s="28"/>
      <c r="C1589" s="28"/>
      <c r="D1589" s="28"/>
      <c r="E1589" s="16"/>
    </row>
    <row r="1590" spans="1:5" x14ac:dyDescent="0.2">
      <c r="A1590" s="28"/>
      <c r="B1590" s="28"/>
      <c r="C1590" s="28"/>
      <c r="D1590" s="28"/>
      <c r="E1590" s="16"/>
    </row>
    <row r="1591" spans="1:5" x14ac:dyDescent="0.2">
      <c r="A1591" s="28"/>
      <c r="B1591" s="28"/>
      <c r="C1591" s="28"/>
      <c r="D1591" s="28"/>
      <c r="E1591" s="16"/>
    </row>
    <row r="1592" spans="1:5" x14ac:dyDescent="0.2">
      <c r="A1592" s="28"/>
      <c r="B1592" s="28"/>
      <c r="C1592" s="28"/>
      <c r="D1592" s="28"/>
      <c r="E1592" s="16"/>
    </row>
    <row r="1593" spans="1:5" x14ac:dyDescent="0.2">
      <c r="A1593" s="28"/>
      <c r="B1593" s="28"/>
      <c r="C1593" s="28"/>
      <c r="D1593" s="28"/>
      <c r="E1593" s="16"/>
    </row>
    <row r="1594" spans="1:5" x14ac:dyDescent="0.2">
      <c r="A1594" s="28"/>
      <c r="B1594" s="28"/>
      <c r="C1594" s="28"/>
      <c r="D1594" s="28"/>
      <c r="E1594" s="16"/>
    </row>
    <row r="1595" spans="1:5" x14ac:dyDescent="0.2">
      <c r="A1595" s="28"/>
      <c r="B1595" s="28"/>
      <c r="C1595" s="28"/>
      <c r="D1595" s="28"/>
      <c r="E1595" s="16"/>
    </row>
    <row r="1596" spans="1:5" x14ac:dyDescent="0.2">
      <c r="A1596" s="28"/>
      <c r="B1596" s="28"/>
      <c r="C1596" s="28"/>
      <c r="D1596" s="28"/>
      <c r="E1596" s="16"/>
    </row>
    <row r="1597" spans="1:5" x14ac:dyDescent="0.2">
      <c r="A1597" s="28"/>
      <c r="B1597" s="28"/>
      <c r="C1597" s="28"/>
      <c r="D1597" s="28"/>
      <c r="E1597" s="16"/>
    </row>
    <row r="1598" spans="1:5" x14ac:dyDescent="0.2">
      <c r="A1598" s="28"/>
      <c r="B1598" s="28"/>
      <c r="C1598" s="28"/>
      <c r="D1598" s="28"/>
      <c r="E1598" s="16"/>
    </row>
    <row r="1599" spans="1:5" x14ac:dyDescent="0.2">
      <c r="A1599" s="28"/>
      <c r="B1599" s="28"/>
      <c r="C1599" s="28"/>
      <c r="D1599" s="28"/>
      <c r="E1599" s="16"/>
    </row>
    <row r="1600" spans="1:5" x14ac:dyDescent="0.2">
      <c r="A1600" s="28"/>
      <c r="B1600" s="28"/>
      <c r="C1600" s="28"/>
      <c r="D1600" s="28"/>
      <c r="E1600" s="16"/>
    </row>
    <row r="1601" spans="1:5" x14ac:dyDescent="0.2">
      <c r="A1601" s="28"/>
      <c r="B1601" s="28"/>
      <c r="C1601" s="28"/>
      <c r="D1601" s="28"/>
      <c r="E1601" s="16"/>
    </row>
    <row r="1602" spans="1:5" x14ac:dyDescent="0.2">
      <c r="A1602" s="28"/>
      <c r="B1602" s="28"/>
      <c r="C1602" s="28"/>
      <c r="D1602" s="28"/>
      <c r="E1602" s="16"/>
    </row>
    <row r="1603" spans="1:5" x14ac:dyDescent="0.2">
      <c r="A1603" s="28"/>
      <c r="B1603" s="28"/>
      <c r="C1603" s="28"/>
      <c r="D1603" s="28"/>
      <c r="E1603" s="16"/>
    </row>
    <row r="1604" spans="1:5" x14ac:dyDescent="0.2">
      <c r="A1604" s="28"/>
      <c r="B1604" s="28"/>
      <c r="C1604" s="28"/>
      <c r="D1604" s="28"/>
      <c r="E1604" s="16"/>
    </row>
    <row r="1605" spans="1:5" x14ac:dyDescent="0.2">
      <c r="A1605" s="28"/>
      <c r="B1605" s="28"/>
      <c r="C1605" s="28"/>
      <c r="D1605" s="28"/>
      <c r="E1605" s="16"/>
    </row>
    <row r="1606" spans="1:5" x14ac:dyDescent="0.2">
      <c r="A1606" s="28"/>
      <c r="B1606" s="28"/>
      <c r="C1606" s="28"/>
      <c r="D1606" s="28"/>
      <c r="E1606" s="16"/>
    </row>
    <row r="1607" spans="1:5" x14ac:dyDescent="0.2">
      <c r="A1607" s="28"/>
      <c r="B1607" s="28"/>
      <c r="C1607" s="28"/>
      <c r="D1607" s="28"/>
      <c r="E1607" s="16"/>
    </row>
    <row r="1608" spans="1:5" x14ac:dyDescent="0.2">
      <c r="A1608" s="28"/>
      <c r="B1608" s="28"/>
      <c r="C1608" s="28"/>
      <c r="D1608" s="28"/>
      <c r="E1608" s="16"/>
    </row>
    <row r="1609" spans="1:5" x14ac:dyDescent="0.2">
      <c r="A1609" s="28"/>
      <c r="B1609" s="28"/>
      <c r="C1609" s="28"/>
      <c r="D1609" s="28"/>
      <c r="E1609" s="16"/>
    </row>
    <row r="1610" spans="1:5" x14ac:dyDescent="0.2">
      <c r="A1610" s="28"/>
      <c r="B1610" s="28"/>
      <c r="C1610" s="28"/>
      <c r="D1610" s="28"/>
      <c r="E1610" s="16"/>
    </row>
    <row r="1611" spans="1:5" x14ac:dyDescent="0.2">
      <c r="A1611" s="28"/>
      <c r="B1611" s="28"/>
      <c r="C1611" s="28"/>
      <c r="D1611" s="28"/>
      <c r="E1611" s="16"/>
    </row>
    <row r="1612" spans="1:5" x14ac:dyDescent="0.2">
      <c r="A1612" s="28"/>
      <c r="B1612" s="28"/>
      <c r="C1612" s="28"/>
      <c r="D1612" s="28"/>
      <c r="E1612" s="16"/>
    </row>
    <row r="1613" spans="1:5" x14ac:dyDescent="0.2">
      <c r="A1613" s="28"/>
      <c r="B1613" s="28"/>
      <c r="C1613" s="28"/>
      <c r="D1613" s="28"/>
      <c r="E1613" s="16"/>
    </row>
    <row r="1614" spans="1:5" x14ac:dyDescent="0.2">
      <c r="A1614" s="28"/>
      <c r="B1614" s="28"/>
      <c r="C1614" s="28"/>
      <c r="D1614" s="28"/>
      <c r="E1614" s="16"/>
    </row>
    <row r="1615" spans="1:5" x14ac:dyDescent="0.2">
      <c r="A1615" s="28"/>
      <c r="B1615" s="28"/>
      <c r="C1615" s="28"/>
      <c r="D1615" s="28"/>
      <c r="E1615" s="16"/>
    </row>
    <row r="1616" spans="1:5" x14ac:dyDescent="0.2">
      <c r="A1616" s="28"/>
      <c r="B1616" s="28"/>
      <c r="C1616" s="28"/>
      <c r="D1616" s="28"/>
      <c r="E1616" s="16"/>
    </row>
    <row r="1617" spans="1:5" x14ac:dyDescent="0.2">
      <c r="A1617" s="28"/>
      <c r="B1617" s="28"/>
      <c r="C1617" s="28"/>
      <c r="D1617" s="28"/>
      <c r="E1617" s="16"/>
    </row>
    <row r="1618" spans="1:5" x14ac:dyDescent="0.2">
      <c r="A1618" s="28"/>
      <c r="B1618" s="28"/>
      <c r="C1618" s="28"/>
      <c r="D1618" s="28"/>
      <c r="E1618" s="16"/>
    </row>
    <row r="1619" spans="1:5" x14ac:dyDescent="0.2">
      <c r="A1619" s="28"/>
      <c r="B1619" s="28"/>
      <c r="C1619" s="28"/>
      <c r="D1619" s="28"/>
      <c r="E1619" s="16"/>
    </row>
    <row r="1620" spans="1:5" x14ac:dyDescent="0.2">
      <c r="A1620" s="28"/>
      <c r="B1620" s="28"/>
      <c r="C1620" s="28"/>
      <c r="D1620" s="28"/>
      <c r="E1620" s="16"/>
    </row>
    <row r="1621" spans="1:5" x14ac:dyDescent="0.2">
      <c r="A1621" s="28"/>
      <c r="B1621" s="28"/>
      <c r="C1621" s="28"/>
      <c r="D1621" s="28"/>
      <c r="E1621" s="16"/>
    </row>
    <row r="1622" spans="1:5" x14ac:dyDescent="0.2">
      <c r="A1622" s="28"/>
      <c r="B1622" s="28"/>
      <c r="C1622" s="28"/>
      <c r="D1622" s="28"/>
      <c r="E1622" s="16"/>
    </row>
    <row r="1623" spans="1:5" x14ac:dyDescent="0.2">
      <c r="A1623" s="28"/>
      <c r="B1623" s="28"/>
      <c r="C1623" s="28"/>
      <c r="D1623" s="28"/>
      <c r="E1623" s="16"/>
    </row>
    <row r="1624" spans="1:5" x14ac:dyDescent="0.2">
      <c r="A1624" s="28"/>
      <c r="B1624" s="28"/>
      <c r="C1624" s="28"/>
      <c r="D1624" s="28"/>
      <c r="E1624" s="16"/>
    </row>
    <row r="1625" spans="1:5" x14ac:dyDescent="0.2">
      <c r="A1625" s="28"/>
      <c r="B1625" s="28"/>
      <c r="C1625" s="28"/>
      <c r="D1625" s="28"/>
      <c r="E1625" s="16"/>
    </row>
    <row r="1626" spans="1:5" x14ac:dyDescent="0.2">
      <c r="A1626" s="28"/>
      <c r="B1626" s="28"/>
      <c r="C1626" s="28"/>
      <c r="D1626" s="28"/>
      <c r="E1626" s="16"/>
    </row>
    <row r="1627" spans="1:5" x14ac:dyDescent="0.2">
      <c r="A1627" s="28"/>
      <c r="B1627" s="28"/>
      <c r="C1627" s="28"/>
      <c r="D1627" s="28"/>
      <c r="E1627" s="16"/>
    </row>
    <row r="1628" spans="1:5" x14ac:dyDescent="0.2">
      <c r="A1628" s="28"/>
      <c r="B1628" s="28"/>
      <c r="C1628" s="28"/>
      <c r="D1628" s="28"/>
      <c r="E1628" s="16"/>
    </row>
    <row r="1629" spans="1:5" x14ac:dyDescent="0.2">
      <c r="A1629" s="28"/>
      <c r="B1629" s="28"/>
      <c r="C1629" s="28"/>
      <c r="D1629" s="28"/>
      <c r="E1629" s="16"/>
    </row>
    <row r="1630" spans="1:5" x14ac:dyDescent="0.2">
      <c r="A1630" s="28"/>
      <c r="B1630" s="28"/>
      <c r="C1630" s="28"/>
      <c r="D1630" s="28"/>
      <c r="E1630" s="16"/>
    </row>
    <row r="1631" spans="1:5" x14ac:dyDescent="0.2">
      <c r="A1631" s="28"/>
      <c r="B1631" s="28"/>
      <c r="C1631" s="28"/>
      <c r="D1631" s="28"/>
      <c r="E1631" s="16"/>
    </row>
    <row r="1632" spans="1:5" x14ac:dyDescent="0.2">
      <c r="A1632" s="28"/>
      <c r="B1632" s="28"/>
      <c r="C1632" s="28"/>
      <c r="D1632" s="28"/>
      <c r="E1632" s="16"/>
    </row>
    <row r="1633" spans="1:5" x14ac:dyDescent="0.2">
      <c r="A1633" s="28"/>
      <c r="B1633" s="28"/>
      <c r="C1633" s="28"/>
      <c r="D1633" s="28"/>
      <c r="E1633" s="16"/>
    </row>
    <row r="1634" spans="1:5" x14ac:dyDescent="0.2">
      <c r="A1634" s="28"/>
      <c r="B1634" s="28"/>
      <c r="C1634" s="28"/>
      <c r="D1634" s="28"/>
      <c r="E1634" s="16"/>
    </row>
    <row r="1635" spans="1:5" x14ac:dyDescent="0.2">
      <c r="A1635" s="28"/>
      <c r="B1635" s="28"/>
      <c r="C1635" s="28"/>
      <c r="D1635" s="28"/>
      <c r="E1635" s="16"/>
    </row>
    <row r="1636" spans="1:5" x14ac:dyDescent="0.2">
      <c r="A1636" s="28"/>
      <c r="B1636" s="28"/>
      <c r="C1636" s="28"/>
      <c r="D1636" s="28"/>
      <c r="E1636" s="16"/>
    </row>
    <row r="1637" spans="1:5" x14ac:dyDescent="0.2">
      <c r="A1637" s="28"/>
      <c r="B1637" s="28"/>
      <c r="C1637" s="28"/>
      <c r="D1637" s="28"/>
      <c r="E1637" s="16"/>
    </row>
    <row r="1638" spans="1:5" x14ac:dyDescent="0.2">
      <c r="A1638" s="28"/>
      <c r="B1638" s="28"/>
      <c r="C1638" s="28"/>
      <c r="D1638" s="28"/>
      <c r="E1638" s="16"/>
    </row>
    <row r="1639" spans="1:5" x14ac:dyDescent="0.2">
      <c r="A1639" s="28"/>
      <c r="B1639" s="28"/>
      <c r="C1639" s="28"/>
      <c r="D1639" s="28"/>
      <c r="E1639" s="16"/>
    </row>
    <row r="1640" spans="1:5" x14ac:dyDescent="0.2">
      <c r="A1640" s="28"/>
      <c r="B1640" s="28"/>
      <c r="C1640" s="28"/>
      <c r="D1640" s="28"/>
      <c r="E1640" s="16"/>
    </row>
    <row r="1641" spans="1:5" x14ac:dyDescent="0.2">
      <c r="A1641" s="28"/>
      <c r="B1641" s="28"/>
      <c r="C1641" s="28"/>
      <c r="D1641" s="28"/>
      <c r="E1641" s="16"/>
    </row>
    <row r="1642" spans="1:5" x14ac:dyDescent="0.2">
      <c r="A1642" s="28"/>
      <c r="B1642" s="28"/>
      <c r="C1642" s="28"/>
      <c r="D1642" s="28"/>
      <c r="E1642" s="16"/>
    </row>
    <row r="1643" spans="1:5" x14ac:dyDescent="0.2">
      <c r="A1643" s="28"/>
      <c r="B1643" s="28"/>
      <c r="C1643" s="28"/>
      <c r="D1643" s="28"/>
      <c r="E1643" s="16"/>
    </row>
    <row r="1644" spans="1:5" x14ac:dyDescent="0.2">
      <c r="A1644" s="28"/>
      <c r="B1644" s="28"/>
      <c r="C1644" s="28"/>
      <c r="D1644" s="28"/>
      <c r="E1644" s="16"/>
    </row>
    <row r="1645" spans="1:5" x14ac:dyDescent="0.2">
      <c r="A1645" s="28"/>
      <c r="B1645" s="28"/>
      <c r="C1645" s="28"/>
      <c r="D1645" s="28"/>
      <c r="E1645" s="16"/>
    </row>
    <row r="1646" spans="1:5" x14ac:dyDescent="0.2">
      <c r="A1646" s="28"/>
      <c r="B1646" s="28"/>
      <c r="C1646" s="28"/>
      <c r="D1646" s="28"/>
      <c r="E1646" s="16"/>
    </row>
    <row r="1647" spans="1:5" x14ac:dyDescent="0.2">
      <c r="A1647" s="28"/>
      <c r="B1647" s="28"/>
      <c r="C1647" s="28"/>
      <c r="D1647" s="28"/>
      <c r="E1647" s="16"/>
    </row>
    <row r="1648" spans="1:5" x14ac:dyDescent="0.2">
      <c r="A1648" s="28"/>
      <c r="B1648" s="28"/>
      <c r="C1648" s="28"/>
      <c r="D1648" s="28"/>
      <c r="E1648" s="16"/>
    </row>
    <row r="1649" spans="1:5" x14ac:dyDescent="0.2">
      <c r="A1649" s="28"/>
      <c r="B1649" s="28"/>
      <c r="C1649" s="28"/>
      <c r="D1649" s="28"/>
      <c r="E1649" s="16"/>
    </row>
    <row r="1650" spans="1:5" x14ac:dyDescent="0.2">
      <c r="A1650" s="28"/>
      <c r="B1650" s="28"/>
      <c r="C1650" s="28"/>
      <c r="D1650" s="28"/>
      <c r="E1650" s="16"/>
    </row>
    <row r="1651" spans="1:5" x14ac:dyDescent="0.2">
      <c r="A1651" s="28"/>
      <c r="B1651" s="28"/>
      <c r="C1651" s="28"/>
      <c r="D1651" s="28"/>
      <c r="E1651" s="16"/>
    </row>
    <row r="1652" spans="1:5" x14ac:dyDescent="0.2">
      <c r="A1652" s="28"/>
      <c r="B1652" s="28"/>
      <c r="C1652" s="28"/>
      <c r="D1652" s="28"/>
      <c r="E1652" s="16"/>
    </row>
    <row r="1653" spans="1:5" x14ac:dyDescent="0.2">
      <c r="A1653" s="28"/>
      <c r="B1653" s="28"/>
      <c r="C1653" s="28"/>
      <c r="D1653" s="28"/>
      <c r="E1653" s="16"/>
    </row>
    <row r="1654" spans="1:5" x14ac:dyDescent="0.2">
      <c r="A1654" s="28"/>
      <c r="B1654" s="28"/>
      <c r="C1654" s="28"/>
      <c r="D1654" s="28"/>
      <c r="E1654" s="16"/>
    </row>
    <row r="1655" spans="1:5" x14ac:dyDescent="0.2">
      <c r="A1655" s="28"/>
      <c r="B1655" s="28"/>
      <c r="C1655" s="28"/>
      <c r="D1655" s="28"/>
      <c r="E1655" s="16"/>
    </row>
    <row r="1656" spans="1:5" x14ac:dyDescent="0.2">
      <c r="A1656" s="28"/>
      <c r="B1656" s="28"/>
      <c r="C1656" s="28"/>
      <c r="D1656" s="28"/>
      <c r="E1656" s="16"/>
    </row>
    <row r="1657" spans="1:5" x14ac:dyDescent="0.2">
      <c r="A1657" s="28"/>
      <c r="B1657" s="28"/>
      <c r="C1657" s="28"/>
      <c r="D1657" s="28"/>
      <c r="E1657" s="16"/>
    </row>
    <row r="1658" spans="1:5" x14ac:dyDescent="0.2">
      <c r="A1658" s="28"/>
      <c r="B1658" s="28"/>
      <c r="C1658" s="28"/>
      <c r="D1658" s="28"/>
      <c r="E1658" s="16"/>
    </row>
    <row r="1659" spans="1:5" x14ac:dyDescent="0.2">
      <c r="A1659" s="28"/>
      <c r="B1659" s="28"/>
      <c r="C1659" s="28"/>
      <c r="D1659" s="28"/>
      <c r="E1659" s="16"/>
    </row>
    <row r="1660" spans="1:5" x14ac:dyDescent="0.2">
      <c r="A1660" s="28"/>
      <c r="B1660" s="28"/>
      <c r="C1660" s="28"/>
      <c r="D1660" s="28"/>
      <c r="E1660" s="16"/>
    </row>
    <row r="1661" spans="1:5" x14ac:dyDescent="0.2">
      <c r="A1661" s="28"/>
      <c r="B1661" s="28"/>
      <c r="C1661" s="28"/>
      <c r="D1661" s="28"/>
      <c r="E1661" s="16"/>
    </row>
    <row r="1662" spans="1:5" x14ac:dyDescent="0.2">
      <c r="A1662" s="28"/>
      <c r="B1662" s="28"/>
      <c r="C1662" s="28"/>
      <c r="D1662" s="28"/>
      <c r="E1662" s="16"/>
    </row>
    <row r="1663" spans="1:5" x14ac:dyDescent="0.2">
      <c r="A1663" s="28"/>
      <c r="B1663" s="28"/>
      <c r="C1663" s="28"/>
      <c r="D1663" s="28"/>
      <c r="E1663" s="16"/>
    </row>
    <row r="1664" spans="1:5" x14ac:dyDescent="0.2">
      <c r="A1664" s="28"/>
      <c r="B1664" s="28"/>
      <c r="C1664" s="28"/>
      <c r="D1664" s="28"/>
      <c r="E1664" s="16"/>
    </row>
    <row r="1665" spans="1:5" x14ac:dyDescent="0.2">
      <c r="A1665" s="28"/>
      <c r="B1665" s="28"/>
      <c r="C1665" s="28"/>
      <c r="D1665" s="28"/>
      <c r="E1665" s="16"/>
    </row>
    <row r="1666" spans="1:5" x14ac:dyDescent="0.2">
      <c r="A1666" s="28"/>
      <c r="B1666" s="28"/>
      <c r="C1666" s="28"/>
      <c r="D1666" s="28"/>
      <c r="E1666" s="16"/>
    </row>
    <row r="1667" spans="1:5" x14ac:dyDescent="0.2">
      <c r="A1667" s="28"/>
      <c r="B1667" s="28"/>
      <c r="C1667" s="28"/>
      <c r="D1667" s="28"/>
      <c r="E1667" s="16"/>
    </row>
    <row r="1668" spans="1:5" x14ac:dyDescent="0.2">
      <c r="A1668" s="28"/>
      <c r="B1668" s="28"/>
      <c r="C1668" s="28"/>
      <c r="D1668" s="28"/>
      <c r="E1668" s="16"/>
    </row>
    <row r="1669" spans="1:5" x14ac:dyDescent="0.2">
      <c r="A1669" s="28"/>
      <c r="B1669" s="28"/>
      <c r="C1669" s="28"/>
      <c r="D1669" s="28"/>
      <c r="E1669" s="16"/>
    </row>
    <row r="1670" spans="1:5" x14ac:dyDescent="0.2">
      <c r="A1670" s="28"/>
      <c r="B1670" s="28"/>
      <c r="C1670" s="28"/>
      <c r="D1670" s="28"/>
      <c r="E1670" s="16"/>
    </row>
    <row r="1671" spans="1:5" x14ac:dyDescent="0.2">
      <c r="A1671" s="28"/>
      <c r="B1671" s="28"/>
      <c r="C1671" s="28"/>
      <c r="D1671" s="28"/>
      <c r="E1671" s="16"/>
    </row>
    <row r="1672" spans="1:5" x14ac:dyDescent="0.2">
      <c r="A1672" s="28"/>
      <c r="B1672" s="28"/>
      <c r="C1672" s="28"/>
      <c r="D1672" s="28"/>
      <c r="E1672" s="16"/>
    </row>
    <row r="1673" spans="1:5" x14ac:dyDescent="0.2">
      <c r="A1673" s="28"/>
      <c r="B1673" s="28"/>
      <c r="C1673" s="28"/>
      <c r="D1673" s="28"/>
      <c r="E1673" s="16"/>
    </row>
    <row r="1674" spans="1:5" x14ac:dyDescent="0.2">
      <c r="A1674" s="28"/>
      <c r="B1674" s="28"/>
      <c r="C1674" s="28"/>
      <c r="D1674" s="28"/>
      <c r="E1674" s="16"/>
    </row>
    <row r="1675" spans="1:5" x14ac:dyDescent="0.2">
      <c r="A1675" s="28"/>
      <c r="B1675" s="28"/>
      <c r="C1675" s="28"/>
      <c r="D1675" s="28"/>
      <c r="E1675" s="16"/>
    </row>
    <row r="1676" spans="1:5" x14ac:dyDescent="0.2">
      <c r="A1676" s="28"/>
      <c r="B1676" s="28"/>
      <c r="C1676" s="28"/>
      <c r="D1676" s="28"/>
      <c r="E1676" s="16"/>
    </row>
    <row r="1677" spans="1:5" x14ac:dyDescent="0.2">
      <c r="A1677" s="28"/>
      <c r="B1677" s="28"/>
      <c r="C1677" s="28"/>
      <c r="D1677" s="28"/>
      <c r="E1677" s="16"/>
    </row>
    <row r="1678" spans="1:5" x14ac:dyDescent="0.2">
      <c r="A1678" s="28"/>
      <c r="B1678" s="28"/>
      <c r="C1678" s="28"/>
      <c r="D1678" s="28"/>
      <c r="E1678" s="16"/>
    </row>
    <row r="1679" spans="1:5" x14ac:dyDescent="0.2">
      <c r="A1679" s="28"/>
      <c r="B1679" s="28"/>
      <c r="C1679" s="28"/>
      <c r="D1679" s="28"/>
      <c r="E1679" s="16"/>
    </row>
    <row r="1680" spans="1:5" x14ac:dyDescent="0.2">
      <c r="A1680" s="28"/>
      <c r="B1680" s="28"/>
      <c r="C1680" s="28"/>
      <c r="D1680" s="28"/>
      <c r="E1680" s="16"/>
    </row>
    <row r="1681" spans="1:5" x14ac:dyDescent="0.2">
      <c r="A1681" s="28"/>
      <c r="B1681" s="28"/>
      <c r="C1681" s="28"/>
      <c r="D1681" s="28"/>
      <c r="E1681" s="16"/>
    </row>
    <row r="1682" spans="1:5" x14ac:dyDescent="0.2">
      <c r="A1682" s="28"/>
      <c r="B1682" s="28"/>
      <c r="C1682" s="28"/>
      <c r="D1682" s="28"/>
      <c r="E1682" s="16"/>
    </row>
    <row r="1683" spans="1:5" x14ac:dyDescent="0.2">
      <c r="A1683" s="28"/>
      <c r="B1683" s="28"/>
      <c r="C1683" s="28"/>
      <c r="D1683" s="28"/>
      <c r="E1683" s="16"/>
    </row>
    <row r="1684" spans="1:5" x14ac:dyDescent="0.2">
      <c r="A1684" s="28"/>
      <c r="B1684" s="28"/>
      <c r="C1684" s="28"/>
      <c r="D1684" s="28"/>
      <c r="E1684" s="16"/>
    </row>
    <row r="1685" spans="1:5" x14ac:dyDescent="0.2">
      <c r="A1685" s="28"/>
      <c r="B1685" s="28"/>
      <c r="C1685" s="28"/>
      <c r="D1685" s="28"/>
      <c r="E1685" s="16"/>
    </row>
    <row r="1686" spans="1:5" x14ac:dyDescent="0.2">
      <c r="A1686" s="28"/>
      <c r="B1686" s="28"/>
      <c r="C1686" s="28"/>
      <c r="D1686" s="28"/>
      <c r="E1686" s="16"/>
    </row>
    <row r="1687" spans="1:5" x14ac:dyDescent="0.2">
      <c r="A1687" s="28"/>
      <c r="B1687" s="28"/>
      <c r="C1687" s="28"/>
      <c r="D1687" s="28"/>
      <c r="E1687" s="16"/>
    </row>
    <row r="1688" spans="1:5" x14ac:dyDescent="0.2">
      <c r="A1688" s="28"/>
      <c r="B1688" s="28"/>
      <c r="C1688" s="28"/>
      <c r="D1688" s="28"/>
      <c r="E1688" s="16"/>
    </row>
    <row r="1689" spans="1:5" x14ac:dyDescent="0.2">
      <c r="A1689" s="28"/>
      <c r="B1689" s="28"/>
      <c r="C1689" s="28"/>
      <c r="D1689" s="28"/>
      <c r="E1689" s="16"/>
    </row>
    <row r="1690" spans="1:5" x14ac:dyDescent="0.2">
      <c r="A1690" s="28"/>
      <c r="B1690" s="28"/>
      <c r="C1690" s="28"/>
      <c r="D1690" s="28"/>
      <c r="E1690" s="16"/>
    </row>
    <row r="1691" spans="1:5" x14ac:dyDescent="0.2">
      <c r="A1691" s="28"/>
      <c r="B1691" s="28"/>
      <c r="C1691" s="28"/>
      <c r="D1691" s="28"/>
      <c r="E1691" s="16"/>
    </row>
    <row r="1692" spans="1:5" x14ac:dyDescent="0.2">
      <c r="A1692" s="28"/>
      <c r="B1692" s="28"/>
      <c r="C1692" s="28"/>
      <c r="D1692" s="28"/>
      <c r="E1692" s="16"/>
    </row>
    <row r="1693" spans="1:5" x14ac:dyDescent="0.2">
      <c r="A1693" s="28"/>
      <c r="B1693" s="28"/>
      <c r="C1693" s="28"/>
      <c r="D1693" s="28"/>
      <c r="E1693" s="16"/>
    </row>
    <row r="1694" spans="1:5" x14ac:dyDescent="0.2">
      <c r="A1694" s="28"/>
      <c r="B1694" s="28"/>
      <c r="C1694" s="28"/>
      <c r="D1694" s="28"/>
      <c r="E1694" s="16"/>
    </row>
    <row r="1695" spans="1:5" x14ac:dyDescent="0.2">
      <c r="A1695" s="28"/>
      <c r="B1695" s="28"/>
      <c r="C1695" s="28"/>
      <c r="D1695" s="28"/>
      <c r="E1695" s="16"/>
    </row>
    <row r="1696" spans="1:5" x14ac:dyDescent="0.2">
      <c r="A1696" s="28"/>
      <c r="B1696" s="28"/>
      <c r="C1696" s="28"/>
      <c r="D1696" s="28"/>
      <c r="E1696" s="16"/>
    </row>
    <row r="1697" spans="1:5" x14ac:dyDescent="0.2">
      <c r="A1697" s="28"/>
      <c r="B1697" s="28"/>
      <c r="C1697" s="28"/>
      <c r="D1697" s="28"/>
      <c r="E1697" s="16"/>
    </row>
    <row r="1698" spans="1:5" x14ac:dyDescent="0.2">
      <c r="A1698" s="28"/>
      <c r="B1698" s="28"/>
      <c r="C1698" s="28"/>
      <c r="D1698" s="28"/>
      <c r="E1698" s="16"/>
    </row>
    <row r="1699" spans="1:5" x14ac:dyDescent="0.2">
      <c r="A1699" s="28"/>
      <c r="B1699" s="28"/>
      <c r="C1699" s="28"/>
      <c r="D1699" s="28"/>
      <c r="E1699" s="16"/>
    </row>
    <row r="1700" spans="1:5" x14ac:dyDescent="0.2">
      <c r="A1700" s="28"/>
      <c r="B1700" s="28"/>
      <c r="C1700" s="28"/>
      <c r="D1700" s="28"/>
      <c r="E1700" s="16"/>
    </row>
    <row r="1701" spans="1:5" x14ac:dyDescent="0.2">
      <c r="A1701" s="28"/>
      <c r="B1701" s="28"/>
      <c r="C1701" s="28"/>
      <c r="D1701" s="28"/>
      <c r="E1701" s="16"/>
    </row>
    <row r="1702" spans="1:5" x14ac:dyDescent="0.2">
      <c r="A1702" s="28"/>
      <c r="B1702" s="28"/>
      <c r="C1702" s="28"/>
      <c r="D1702" s="28"/>
      <c r="E1702" s="16"/>
    </row>
    <row r="1703" spans="1:5" x14ac:dyDescent="0.2">
      <c r="A1703" s="28"/>
      <c r="B1703" s="28"/>
      <c r="C1703" s="28"/>
      <c r="D1703" s="28"/>
      <c r="E1703" s="16"/>
    </row>
    <row r="1704" spans="1:5" x14ac:dyDescent="0.2">
      <c r="A1704" s="28"/>
      <c r="B1704" s="28"/>
      <c r="C1704" s="28"/>
      <c r="D1704" s="28"/>
      <c r="E1704" s="16"/>
    </row>
    <row r="1705" spans="1:5" x14ac:dyDescent="0.2">
      <c r="A1705" s="28"/>
      <c r="B1705" s="28"/>
      <c r="C1705" s="28"/>
      <c r="D1705" s="28"/>
      <c r="E1705" s="16"/>
    </row>
    <row r="1706" spans="1:5" x14ac:dyDescent="0.2">
      <c r="A1706" s="28"/>
      <c r="B1706" s="28"/>
      <c r="C1706" s="28"/>
      <c r="D1706" s="28"/>
      <c r="E1706" s="16"/>
    </row>
    <row r="1707" spans="1:5" x14ac:dyDescent="0.2">
      <c r="A1707" s="28"/>
      <c r="B1707" s="28"/>
      <c r="C1707" s="28"/>
      <c r="D1707" s="28"/>
      <c r="E1707" s="16"/>
    </row>
    <row r="1708" spans="1:5" x14ac:dyDescent="0.2">
      <c r="A1708" s="28"/>
      <c r="B1708" s="28"/>
      <c r="C1708" s="28"/>
      <c r="D1708" s="28"/>
      <c r="E1708" s="16"/>
    </row>
    <row r="1709" spans="1:5" x14ac:dyDescent="0.2">
      <c r="A1709" s="28"/>
      <c r="B1709" s="28"/>
      <c r="C1709" s="28"/>
      <c r="D1709" s="28"/>
      <c r="E1709" s="16"/>
    </row>
    <row r="1710" spans="1:5" x14ac:dyDescent="0.2">
      <c r="A1710" s="28"/>
      <c r="B1710" s="28"/>
      <c r="C1710" s="28"/>
      <c r="D1710" s="28"/>
      <c r="E1710" s="16"/>
    </row>
    <row r="1711" spans="1:5" x14ac:dyDescent="0.2">
      <c r="A1711" s="28"/>
      <c r="B1711" s="28"/>
      <c r="C1711" s="28"/>
      <c r="D1711" s="28"/>
      <c r="E1711" s="16"/>
    </row>
    <row r="1712" spans="1:5" x14ac:dyDescent="0.2">
      <c r="A1712" s="28"/>
      <c r="B1712" s="28"/>
      <c r="C1712" s="28"/>
      <c r="D1712" s="28"/>
      <c r="E1712" s="16"/>
    </row>
    <row r="1713" spans="1:5" x14ac:dyDescent="0.2">
      <c r="A1713" s="28"/>
      <c r="B1713" s="28"/>
      <c r="C1713" s="28"/>
      <c r="D1713" s="28"/>
      <c r="E1713" s="16"/>
    </row>
    <row r="1714" spans="1:5" x14ac:dyDescent="0.2">
      <c r="A1714" s="28"/>
      <c r="B1714" s="28"/>
      <c r="C1714" s="28"/>
      <c r="D1714" s="28"/>
      <c r="E1714" s="16"/>
    </row>
    <row r="1715" spans="1:5" x14ac:dyDescent="0.2">
      <c r="A1715" s="28"/>
      <c r="B1715" s="28"/>
      <c r="C1715" s="28"/>
      <c r="D1715" s="28"/>
      <c r="E1715" s="16"/>
    </row>
    <row r="1716" spans="1:5" x14ac:dyDescent="0.2">
      <c r="A1716" s="28"/>
      <c r="B1716" s="28"/>
      <c r="C1716" s="28"/>
      <c r="D1716" s="28"/>
      <c r="E1716" s="16"/>
    </row>
    <row r="1717" spans="1:5" x14ac:dyDescent="0.2">
      <c r="A1717" s="28"/>
      <c r="B1717" s="28"/>
      <c r="C1717" s="28"/>
      <c r="D1717" s="28"/>
      <c r="E1717" s="16"/>
    </row>
    <row r="1718" spans="1:5" x14ac:dyDescent="0.2">
      <c r="A1718" s="28"/>
      <c r="B1718" s="28"/>
      <c r="C1718" s="28"/>
      <c r="D1718" s="28"/>
      <c r="E1718" s="16"/>
    </row>
    <row r="1719" spans="1:5" x14ac:dyDescent="0.2">
      <c r="A1719" s="28"/>
      <c r="B1719" s="28"/>
      <c r="C1719" s="28"/>
      <c r="D1719" s="28"/>
      <c r="E1719" s="16"/>
    </row>
    <row r="1720" spans="1:5" x14ac:dyDescent="0.2">
      <c r="A1720" s="28"/>
      <c r="B1720" s="28"/>
      <c r="C1720" s="28"/>
      <c r="D1720" s="28"/>
      <c r="E1720" s="16"/>
    </row>
    <row r="1721" spans="1:5" x14ac:dyDescent="0.2">
      <c r="A1721" s="28"/>
      <c r="B1721" s="28"/>
      <c r="C1721" s="28"/>
      <c r="D1721" s="28"/>
      <c r="E1721" s="16"/>
    </row>
    <row r="1722" spans="1:5" x14ac:dyDescent="0.2">
      <c r="A1722" s="28"/>
      <c r="B1722" s="28"/>
      <c r="C1722" s="28"/>
      <c r="D1722" s="28"/>
      <c r="E1722" s="16"/>
    </row>
    <row r="1723" spans="1:5" x14ac:dyDescent="0.2">
      <c r="A1723" s="28"/>
      <c r="B1723" s="28"/>
      <c r="C1723" s="28"/>
      <c r="D1723" s="28"/>
      <c r="E1723" s="16"/>
    </row>
    <row r="1724" spans="1:5" x14ac:dyDescent="0.2">
      <c r="A1724" s="28"/>
      <c r="B1724" s="28"/>
      <c r="C1724" s="28"/>
      <c r="D1724" s="28"/>
      <c r="E1724" s="16"/>
    </row>
    <row r="1725" spans="1:5" x14ac:dyDescent="0.2">
      <c r="A1725" s="28"/>
      <c r="B1725" s="28"/>
      <c r="C1725" s="28"/>
      <c r="D1725" s="28"/>
      <c r="E1725" s="16"/>
    </row>
    <row r="1726" spans="1:5" x14ac:dyDescent="0.2">
      <c r="A1726" s="28"/>
      <c r="B1726" s="28"/>
      <c r="C1726" s="28"/>
      <c r="D1726" s="28"/>
      <c r="E1726" s="16"/>
    </row>
    <row r="1727" spans="1:5" x14ac:dyDescent="0.2">
      <c r="A1727" s="28"/>
      <c r="B1727" s="28"/>
      <c r="C1727" s="28"/>
      <c r="D1727" s="28"/>
      <c r="E1727" s="16"/>
    </row>
    <row r="1728" spans="1:5" x14ac:dyDescent="0.2">
      <c r="A1728" s="28"/>
      <c r="B1728" s="28"/>
      <c r="C1728" s="28"/>
      <c r="D1728" s="28"/>
      <c r="E1728" s="16"/>
    </row>
    <row r="1729" spans="1:5" x14ac:dyDescent="0.2">
      <c r="A1729" s="28"/>
      <c r="B1729" s="28"/>
      <c r="C1729" s="28"/>
      <c r="D1729" s="28"/>
      <c r="E1729" s="16"/>
    </row>
    <row r="1730" spans="1:5" x14ac:dyDescent="0.2">
      <c r="A1730" s="28"/>
      <c r="B1730" s="28"/>
      <c r="C1730" s="28"/>
      <c r="D1730" s="28"/>
      <c r="E1730" s="16"/>
    </row>
    <row r="1731" spans="1:5" x14ac:dyDescent="0.2">
      <c r="A1731" s="28"/>
      <c r="B1731" s="28"/>
      <c r="C1731" s="28"/>
      <c r="D1731" s="28"/>
      <c r="E1731" s="16"/>
    </row>
    <row r="1732" spans="1:5" x14ac:dyDescent="0.2">
      <c r="A1732" s="28"/>
      <c r="B1732" s="28"/>
      <c r="C1732" s="28"/>
      <c r="D1732" s="28"/>
      <c r="E1732" s="16"/>
    </row>
    <row r="1733" spans="1:5" x14ac:dyDescent="0.2">
      <c r="A1733" s="28"/>
      <c r="B1733" s="28"/>
      <c r="C1733" s="28"/>
      <c r="D1733" s="28"/>
      <c r="E1733" s="16"/>
    </row>
    <row r="1734" spans="1:5" x14ac:dyDescent="0.2">
      <c r="A1734" s="28"/>
      <c r="B1734" s="28"/>
      <c r="C1734" s="28"/>
      <c r="D1734" s="28"/>
      <c r="E1734" s="16"/>
    </row>
    <row r="1735" spans="1:5" x14ac:dyDescent="0.2">
      <c r="A1735" s="28"/>
      <c r="B1735" s="28"/>
      <c r="C1735" s="28"/>
      <c r="D1735" s="28"/>
      <c r="E1735" s="16"/>
    </row>
    <row r="1736" spans="1:5" x14ac:dyDescent="0.2">
      <c r="A1736" s="28"/>
      <c r="B1736" s="28"/>
      <c r="C1736" s="28"/>
      <c r="D1736" s="28"/>
      <c r="E1736" s="16"/>
    </row>
    <row r="1737" spans="1:5" x14ac:dyDescent="0.2">
      <c r="A1737" s="28"/>
      <c r="B1737" s="28"/>
      <c r="C1737" s="28"/>
      <c r="D1737" s="28"/>
      <c r="E1737" s="16"/>
    </row>
    <row r="1738" spans="1:5" x14ac:dyDescent="0.2">
      <c r="A1738" s="28"/>
      <c r="B1738" s="28"/>
      <c r="C1738" s="28"/>
      <c r="D1738" s="28"/>
      <c r="E1738" s="16"/>
    </row>
    <row r="1739" spans="1:5" x14ac:dyDescent="0.2">
      <c r="A1739" s="28"/>
      <c r="B1739" s="28"/>
      <c r="C1739" s="28"/>
      <c r="D1739" s="28"/>
      <c r="E1739" s="16"/>
    </row>
    <row r="1740" spans="1:5" x14ac:dyDescent="0.2">
      <c r="A1740" s="28"/>
      <c r="B1740" s="28"/>
      <c r="C1740" s="28"/>
      <c r="D1740" s="28"/>
      <c r="E1740" s="16"/>
    </row>
    <row r="1741" spans="1:5" x14ac:dyDescent="0.2">
      <c r="A1741" s="28"/>
      <c r="B1741" s="28"/>
      <c r="C1741" s="28"/>
      <c r="D1741" s="28"/>
      <c r="E1741" s="16"/>
    </row>
    <row r="1742" spans="1:5" x14ac:dyDescent="0.2">
      <c r="A1742" s="28"/>
      <c r="B1742" s="28"/>
      <c r="C1742" s="28"/>
      <c r="D1742" s="28"/>
      <c r="E1742" s="16"/>
    </row>
    <row r="1743" spans="1:5" x14ac:dyDescent="0.2">
      <c r="A1743" s="28"/>
      <c r="B1743" s="28"/>
      <c r="C1743" s="28"/>
      <c r="D1743" s="28"/>
      <c r="E1743" s="16"/>
    </row>
    <row r="1744" spans="1:5" x14ac:dyDescent="0.2">
      <c r="A1744" s="28"/>
      <c r="B1744" s="28"/>
      <c r="C1744" s="28"/>
      <c r="D1744" s="28"/>
      <c r="E1744" s="16"/>
    </row>
    <row r="1745" spans="1:5" x14ac:dyDescent="0.2">
      <c r="A1745" s="28"/>
      <c r="B1745" s="28"/>
      <c r="C1745" s="28"/>
      <c r="D1745" s="28"/>
      <c r="E1745" s="16"/>
    </row>
    <row r="1746" spans="1:5" x14ac:dyDescent="0.2">
      <c r="A1746" s="28"/>
      <c r="B1746" s="28"/>
      <c r="C1746" s="28"/>
      <c r="D1746" s="28"/>
      <c r="E1746" s="16"/>
    </row>
    <row r="1747" spans="1:5" x14ac:dyDescent="0.2">
      <c r="A1747" s="28"/>
      <c r="B1747" s="28"/>
      <c r="C1747" s="28"/>
      <c r="D1747" s="28"/>
      <c r="E1747" s="16"/>
    </row>
    <row r="1748" spans="1:5" x14ac:dyDescent="0.2">
      <c r="A1748" s="28"/>
      <c r="B1748" s="28"/>
      <c r="C1748" s="28"/>
      <c r="D1748" s="28"/>
      <c r="E1748" s="16"/>
    </row>
    <row r="1749" spans="1:5" x14ac:dyDescent="0.2">
      <c r="A1749" s="28"/>
      <c r="B1749" s="28"/>
      <c r="C1749" s="28"/>
      <c r="D1749" s="28"/>
      <c r="E1749" s="16"/>
    </row>
    <row r="1750" spans="1:5" x14ac:dyDescent="0.2">
      <c r="A1750" s="28"/>
      <c r="B1750" s="28"/>
      <c r="C1750" s="28"/>
      <c r="D1750" s="28"/>
      <c r="E1750" s="16"/>
    </row>
    <row r="1751" spans="1:5" x14ac:dyDescent="0.2">
      <c r="A1751" s="28"/>
      <c r="B1751" s="28"/>
      <c r="C1751" s="28"/>
      <c r="D1751" s="28"/>
      <c r="E1751" s="16"/>
    </row>
    <row r="1752" spans="1:5" x14ac:dyDescent="0.2">
      <c r="A1752" s="28"/>
      <c r="B1752" s="28"/>
      <c r="C1752" s="28"/>
      <c r="D1752" s="28"/>
      <c r="E1752" s="16"/>
    </row>
    <row r="1753" spans="1:5" x14ac:dyDescent="0.2">
      <c r="A1753" s="28"/>
      <c r="B1753" s="28"/>
      <c r="C1753" s="28"/>
      <c r="D1753" s="28"/>
      <c r="E1753" s="16"/>
    </row>
    <row r="1754" spans="1:5" x14ac:dyDescent="0.2">
      <c r="A1754" s="28"/>
      <c r="B1754" s="28"/>
      <c r="C1754" s="28"/>
      <c r="D1754" s="28"/>
      <c r="E1754" s="16"/>
    </row>
    <row r="1755" spans="1:5" x14ac:dyDescent="0.2">
      <c r="A1755" s="28"/>
      <c r="B1755" s="28"/>
      <c r="C1755" s="28"/>
      <c r="D1755" s="28"/>
      <c r="E1755" s="16"/>
    </row>
    <row r="1756" spans="1:5" x14ac:dyDescent="0.2">
      <c r="A1756" s="28"/>
      <c r="B1756" s="28"/>
      <c r="C1756" s="28"/>
      <c r="D1756" s="28"/>
      <c r="E1756" s="16"/>
    </row>
    <row r="1757" spans="1:5" x14ac:dyDescent="0.2">
      <c r="A1757" s="28"/>
      <c r="B1757" s="28"/>
      <c r="C1757" s="28"/>
      <c r="D1757" s="28"/>
      <c r="E1757" s="16"/>
    </row>
    <row r="1758" spans="1:5" x14ac:dyDescent="0.2">
      <c r="A1758" s="28"/>
      <c r="B1758" s="28"/>
      <c r="C1758" s="28"/>
      <c r="D1758" s="28"/>
      <c r="E1758" s="16"/>
    </row>
    <row r="1759" spans="1:5" x14ac:dyDescent="0.2">
      <c r="A1759" s="28"/>
      <c r="B1759" s="28"/>
      <c r="C1759" s="28"/>
      <c r="D1759" s="28"/>
      <c r="E1759" s="16"/>
    </row>
    <row r="1760" spans="1:5" x14ac:dyDescent="0.2">
      <c r="A1760" s="28"/>
      <c r="B1760" s="28"/>
      <c r="C1760" s="28"/>
      <c r="D1760" s="28"/>
      <c r="E1760" s="16"/>
    </row>
    <row r="1761" spans="1:5" x14ac:dyDescent="0.2">
      <c r="A1761" s="28"/>
      <c r="B1761" s="28"/>
      <c r="C1761" s="28"/>
      <c r="D1761" s="28"/>
      <c r="E1761" s="16"/>
    </row>
    <row r="1762" spans="1:5" x14ac:dyDescent="0.2">
      <c r="A1762" s="28"/>
      <c r="B1762" s="28"/>
      <c r="C1762" s="28"/>
      <c r="D1762" s="28"/>
      <c r="E1762" s="16"/>
    </row>
    <row r="1763" spans="1:5" x14ac:dyDescent="0.2">
      <c r="A1763" s="28"/>
      <c r="B1763" s="28"/>
      <c r="C1763" s="28"/>
      <c r="D1763" s="28"/>
      <c r="E1763" s="16"/>
    </row>
    <row r="1764" spans="1:5" x14ac:dyDescent="0.2">
      <c r="A1764" s="28"/>
      <c r="B1764" s="28"/>
      <c r="C1764" s="28"/>
      <c r="D1764" s="28"/>
      <c r="E1764" s="16"/>
    </row>
    <row r="1765" spans="1:5" x14ac:dyDescent="0.2">
      <c r="A1765" s="28"/>
      <c r="B1765" s="28"/>
      <c r="C1765" s="28"/>
      <c r="D1765" s="28"/>
      <c r="E1765" s="16"/>
    </row>
    <row r="1766" spans="1:5" x14ac:dyDescent="0.2">
      <c r="A1766" s="28"/>
      <c r="B1766" s="28"/>
      <c r="C1766" s="28"/>
      <c r="D1766" s="28"/>
      <c r="E1766" s="16"/>
    </row>
    <row r="1767" spans="1:5" x14ac:dyDescent="0.2">
      <c r="A1767" s="28"/>
      <c r="B1767" s="28"/>
      <c r="C1767" s="28"/>
      <c r="D1767" s="28"/>
      <c r="E1767" s="16"/>
    </row>
    <row r="1768" spans="1:5" x14ac:dyDescent="0.2">
      <c r="A1768" s="28"/>
      <c r="B1768" s="28"/>
      <c r="C1768" s="28"/>
      <c r="D1768" s="28"/>
      <c r="E1768" s="16"/>
    </row>
    <row r="1769" spans="1:5" x14ac:dyDescent="0.2">
      <c r="A1769" s="28"/>
      <c r="B1769" s="28"/>
      <c r="C1769" s="28"/>
      <c r="D1769" s="28"/>
      <c r="E1769" s="16"/>
    </row>
    <row r="1770" spans="1:5" x14ac:dyDescent="0.2">
      <c r="A1770" s="28"/>
      <c r="B1770" s="28"/>
      <c r="C1770" s="28"/>
      <c r="D1770" s="28"/>
      <c r="E1770" s="16"/>
    </row>
    <row r="1771" spans="1:5" x14ac:dyDescent="0.2">
      <c r="A1771" s="28"/>
      <c r="B1771" s="28"/>
      <c r="C1771" s="28"/>
      <c r="D1771" s="28"/>
      <c r="E1771" s="16"/>
    </row>
    <row r="1772" spans="1:5" x14ac:dyDescent="0.2">
      <c r="A1772" s="28"/>
      <c r="B1772" s="28"/>
      <c r="C1772" s="28"/>
      <c r="D1772" s="28"/>
      <c r="E1772" s="16"/>
    </row>
    <row r="1773" spans="1:5" x14ac:dyDescent="0.2">
      <c r="A1773" s="28"/>
      <c r="B1773" s="28"/>
      <c r="C1773" s="28"/>
      <c r="D1773" s="28"/>
      <c r="E1773" s="16"/>
    </row>
    <row r="1774" spans="1:5" x14ac:dyDescent="0.2">
      <c r="A1774" s="28"/>
      <c r="B1774" s="28"/>
      <c r="C1774" s="28"/>
      <c r="D1774" s="28"/>
      <c r="E1774" s="16"/>
    </row>
    <row r="1775" spans="1:5" x14ac:dyDescent="0.2">
      <c r="A1775" s="28"/>
      <c r="B1775" s="28"/>
      <c r="C1775" s="28"/>
      <c r="D1775" s="28"/>
      <c r="E1775" s="16"/>
    </row>
    <row r="1776" spans="1:5" x14ac:dyDescent="0.2">
      <c r="A1776" s="28"/>
      <c r="B1776" s="28"/>
      <c r="C1776" s="28"/>
      <c r="D1776" s="28"/>
      <c r="E1776" s="16"/>
    </row>
    <row r="1777" spans="1:5" x14ac:dyDescent="0.2">
      <c r="A1777" s="28"/>
      <c r="B1777" s="28"/>
      <c r="C1777" s="28"/>
      <c r="D1777" s="28"/>
      <c r="E1777" s="16"/>
    </row>
    <row r="1778" spans="1:5" x14ac:dyDescent="0.2">
      <c r="A1778" s="28"/>
      <c r="B1778" s="28"/>
      <c r="C1778" s="28"/>
      <c r="D1778" s="28"/>
      <c r="E1778" s="16"/>
    </row>
    <row r="1779" spans="1:5" x14ac:dyDescent="0.2">
      <c r="A1779" s="28"/>
      <c r="B1779" s="28"/>
      <c r="C1779" s="28"/>
      <c r="D1779" s="28"/>
      <c r="E1779" s="16"/>
    </row>
    <row r="1780" spans="1:5" x14ac:dyDescent="0.2">
      <c r="A1780" s="28"/>
      <c r="B1780" s="28"/>
      <c r="C1780" s="28"/>
      <c r="D1780" s="28"/>
      <c r="E1780" s="16"/>
    </row>
    <row r="1781" spans="1:5" x14ac:dyDescent="0.2">
      <c r="A1781" s="28"/>
      <c r="B1781" s="28"/>
      <c r="C1781" s="28"/>
      <c r="D1781" s="28"/>
      <c r="E1781" s="16"/>
    </row>
    <row r="1782" spans="1:5" x14ac:dyDescent="0.2">
      <c r="A1782" s="28"/>
      <c r="B1782" s="28"/>
      <c r="C1782" s="28"/>
      <c r="D1782" s="28"/>
      <c r="E1782" s="16"/>
    </row>
    <row r="1783" spans="1:5" x14ac:dyDescent="0.2">
      <c r="A1783" s="28"/>
      <c r="B1783" s="28"/>
      <c r="C1783" s="28"/>
      <c r="D1783" s="28"/>
      <c r="E1783" s="16"/>
    </row>
    <row r="1784" spans="1:5" x14ac:dyDescent="0.2">
      <c r="A1784" s="28"/>
      <c r="B1784" s="28"/>
      <c r="C1784" s="28"/>
      <c r="D1784" s="28"/>
      <c r="E1784" s="16"/>
    </row>
    <row r="1785" spans="1:5" x14ac:dyDescent="0.2">
      <c r="A1785" s="28"/>
      <c r="B1785" s="28"/>
      <c r="C1785" s="28"/>
      <c r="D1785" s="28"/>
      <c r="E1785" s="16"/>
    </row>
    <row r="1786" spans="1:5" x14ac:dyDescent="0.2">
      <c r="A1786" s="28"/>
      <c r="B1786" s="28"/>
      <c r="C1786" s="28"/>
      <c r="D1786" s="28"/>
      <c r="E1786" s="16"/>
    </row>
    <row r="1787" spans="1:5" x14ac:dyDescent="0.2">
      <c r="A1787" s="28"/>
      <c r="B1787" s="28"/>
      <c r="C1787" s="28"/>
      <c r="D1787" s="28"/>
      <c r="E1787" s="16"/>
    </row>
    <row r="1788" spans="1:5" x14ac:dyDescent="0.2">
      <c r="A1788" s="28"/>
      <c r="B1788" s="28"/>
      <c r="C1788" s="28"/>
      <c r="D1788" s="28"/>
      <c r="E1788" s="16"/>
    </row>
    <row r="1789" spans="1:5" x14ac:dyDescent="0.2">
      <c r="A1789" s="28"/>
      <c r="B1789" s="28"/>
      <c r="C1789" s="28"/>
      <c r="D1789" s="28"/>
      <c r="E1789" s="16"/>
    </row>
    <row r="1790" spans="1:5" x14ac:dyDescent="0.2">
      <c r="A1790" s="28"/>
      <c r="B1790" s="28"/>
      <c r="C1790" s="28"/>
      <c r="D1790" s="28"/>
      <c r="E1790" s="16"/>
    </row>
    <row r="1791" spans="1:5" x14ac:dyDescent="0.2">
      <c r="A1791" s="28"/>
      <c r="B1791" s="28"/>
      <c r="C1791" s="28"/>
      <c r="D1791" s="28"/>
      <c r="E1791" s="16"/>
    </row>
    <row r="1792" spans="1:5" x14ac:dyDescent="0.2">
      <c r="A1792" s="28"/>
      <c r="B1792" s="28"/>
      <c r="C1792" s="28"/>
      <c r="D1792" s="28"/>
      <c r="E1792" s="16"/>
    </row>
    <row r="1793" spans="1:5" x14ac:dyDescent="0.2">
      <c r="A1793" s="28"/>
      <c r="B1793" s="28"/>
      <c r="C1793" s="28"/>
      <c r="D1793" s="28"/>
      <c r="E1793" s="16"/>
    </row>
    <row r="1794" spans="1:5" x14ac:dyDescent="0.2">
      <c r="A1794" s="28"/>
      <c r="B1794" s="28"/>
      <c r="C1794" s="28"/>
      <c r="D1794" s="28"/>
      <c r="E1794" s="16"/>
    </row>
    <row r="1795" spans="1:5" x14ac:dyDescent="0.2">
      <c r="A1795" s="28"/>
      <c r="B1795" s="28"/>
      <c r="C1795" s="28"/>
      <c r="D1795" s="28"/>
      <c r="E1795" s="16"/>
    </row>
    <row r="1796" spans="1:5" x14ac:dyDescent="0.2">
      <c r="A1796" s="28"/>
      <c r="B1796" s="28"/>
      <c r="C1796" s="28"/>
      <c r="D1796" s="28"/>
      <c r="E1796" s="16"/>
    </row>
    <row r="1797" spans="1:5" x14ac:dyDescent="0.2">
      <c r="A1797" s="28"/>
      <c r="B1797" s="28"/>
      <c r="C1797" s="28"/>
      <c r="D1797" s="28"/>
      <c r="E1797" s="16"/>
    </row>
    <row r="1798" spans="1:5" x14ac:dyDescent="0.2">
      <c r="A1798" s="28"/>
      <c r="B1798" s="28"/>
      <c r="C1798" s="28"/>
      <c r="D1798" s="28"/>
      <c r="E1798" s="16"/>
    </row>
    <row r="1799" spans="1:5" x14ac:dyDescent="0.2">
      <c r="A1799" s="28"/>
      <c r="B1799" s="28"/>
      <c r="C1799" s="28"/>
      <c r="D1799" s="28"/>
      <c r="E1799" s="16"/>
    </row>
    <row r="1800" spans="1:5" x14ac:dyDescent="0.2">
      <c r="A1800" s="28"/>
      <c r="B1800" s="28"/>
      <c r="C1800" s="28"/>
      <c r="D1800" s="28"/>
      <c r="E1800" s="16"/>
    </row>
    <row r="1801" spans="1:5" x14ac:dyDescent="0.2">
      <c r="A1801" s="28"/>
      <c r="B1801" s="28"/>
      <c r="C1801" s="28"/>
      <c r="D1801" s="28"/>
      <c r="E1801" s="16"/>
    </row>
    <row r="1802" spans="1:5" x14ac:dyDescent="0.2">
      <c r="A1802" s="28"/>
      <c r="B1802" s="28"/>
      <c r="C1802" s="28"/>
      <c r="D1802" s="28"/>
      <c r="E1802" s="16"/>
    </row>
    <row r="1803" spans="1:5" x14ac:dyDescent="0.2">
      <c r="A1803" s="28"/>
      <c r="B1803" s="28"/>
      <c r="C1803" s="28"/>
      <c r="D1803" s="28"/>
      <c r="E1803" s="16"/>
    </row>
    <row r="1804" spans="1:5" x14ac:dyDescent="0.2">
      <c r="A1804" s="28"/>
      <c r="B1804" s="28"/>
      <c r="C1804" s="28"/>
      <c r="D1804" s="28"/>
      <c r="E1804" s="16"/>
    </row>
    <row r="1805" spans="1:5" x14ac:dyDescent="0.2">
      <c r="A1805" s="28"/>
      <c r="B1805" s="28"/>
      <c r="C1805" s="28"/>
      <c r="D1805" s="28"/>
      <c r="E1805" s="16"/>
    </row>
    <row r="1806" spans="1:5" x14ac:dyDescent="0.2">
      <c r="A1806" s="28"/>
      <c r="B1806" s="28"/>
      <c r="C1806" s="28"/>
      <c r="D1806" s="28"/>
      <c r="E1806" s="16"/>
    </row>
    <row r="1807" spans="1:5" x14ac:dyDescent="0.2">
      <c r="A1807" s="28"/>
      <c r="B1807" s="28"/>
      <c r="C1807" s="28"/>
      <c r="D1807" s="28"/>
      <c r="E1807" s="16"/>
    </row>
    <row r="1808" spans="1:5" x14ac:dyDescent="0.2">
      <c r="A1808" s="28"/>
      <c r="B1808" s="28"/>
      <c r="C1808" s="28"/>
      <c r="D1808" s="28"/>
      <c r="E1808" s="16"/>
    </row>
    <row r="1809" spans="1:5" x14ac:dyDescent="0.2">
      <c r="A1809" s="28"/>
      <c r="B1809" s="28"/>
      <c r="C1809" s="28"/>
      <c r="D1809" s="28"/>
      <c r="E1809" s="16"/>
    </row>
    <row r="1810" spans="1:5" x14ac:dyDescent="0.2">
      <c r="A1810" s="28"/>
      <c r="B1810" s="28"/>
      <c r="C1810" s="28"/>
      <c r="D1810" s="28"/>
      <c r="E1810" s="16"/>
    </row>
    <row r="1811" spans="1:5" x14ac:dyDescent="0.2">
      <c r="A1811" s="28"/>
      <c r="B1811" s="28"/>
      <c r="C1811" s="28"/>
      <c r="D1811" s="28"/>
      <c r="E1811" s="16"/>
    </row>
    <row r="1812" spans="1:5" x14ac:dyDescent="0.2">
      <c r="A1812" s="28"/>
      <c r="B1812" s="28"/>
      <c r="C1812" s="28"/>
      <c r="D1812" s="28"/>
      <c r="E1812" s="16"/>
    </row>
    <row r="1813" spans="1:5" x14ac:dyDescent="0.2">
      <c r="A1813" s="28"/>
      <c r="B1813" s="28"/>
      <c r="C1813" s="28"/>
      <c r="D1813" s="28"/>
      <c r="E1813" s="16"/>
    </row>
    <row r="1814" spans="1:5" x14ac:dyDescent="0.2">
      <c r="A1814" s="28"/>
      <c r="B1814" s="28"/>
      <c r="C1814" s="28"/>
      <c r="D1814" s="28"/>
      <c r="E1814" s="16"/>
    </row>
    <row r="1815" spans="1:5" x14ac:dyDescent="0.2">
      <c r="A1815" s="28"/>
      <c r="B1815" s="28"/>
      <c r="C1815" s="28"/>
      <c r="D1815" s="28"/>
      <c r="E1815" s="16"/>
    </row>
    <row r="1816" spans="1:5" x14ac:dyDescent="0.2">
      <c r="A1816" s="28"/>
      <c r="B1816" s="28"/>
      <c r="C1816" s="28"/>
      <c r="D1816" s="28"/>
      <c r="E1816" s="16"/>
    </row>
    <row r="1817" spans="1:5" x14ac:dyDescent="0.2">
      <c r="A1817" s="28"/>
      <c r="B1817" s="28"/>
      <c r="C1817" s="28"/>
      <c r="D1817" s="28"/>
      <c r="E1817" s="16"/>
    </row>
    <row r="1818" spans="1:5" x14ac:dyDescent="0.2">
      <c r="A1818" s="28"/>
      <c r="B1818" s="28"/>
      <c r="C1818" s="28"/>
      <c r="D1818" s="28"/>
      <c r="E1818" s="16"/>
    </row>
    <row r="1819" spans="1:5" x14ac:dyDescent="0.2">
      <c r="A1819" s="28"/>
      <c r="B1819" s="28"/>
      <c r="C1819" s="28"/>
      <c r="D1819" s="28"/>
      <c r="E1819" s="16"/>
    </row>
    <row r="1820" spans="1:5" x14ac:dyDescent="0.2">
      <c r="A1820" s="28"/>
      <c r="B1820" s="28"/>
      <c r="C1820" s="28"/>
      <c r="D1820" s="28"/>
      <c r="E1820" s="16"/>
    </row>
    <row r="1821" spans="1:5" x14ac:dyDescent="0.2">
      <c r="A1821" s="28"/>
      <c r="B1821" s="28"/>
      <c r="C1821" s="28"/>
      <c r="D1821" s="28"/>
      <c r="E1821" s="16"/>
    </row>
    <row r="1822" spans="1:5" x14ac:dyDescent="0.2">
      <c r="A1822" s="28"/>
      <c r="B1822" s="28"/>
      <c r="C1822" s="28"/>
      <c r="D1822" s="28"/>
      <c r="E1822" s="16"/>
    </row>
    <row r="1823" spans="1:5" x14ac:dyDescent="0.2">
      <c r="A1823" s="28"/>
      <c r="B1823" s="28"/>
      <c r="C1823" s="28"/>
      <c r="D1823" s="28"/>
      <c r="E1823" s="16"/>
    </row>
    <row r="1824" spans="1:5" x14ac:dyDescent="0.2">
      <c r="A1824" s="28"/>
      <c r="B1824" s="28"/>
      <c r="C1824" s="28"/>
      <c r="D1824" s="28"/>
      <c r="E1824" s="16"/>
    </row>
    <row r="1825" spans="1:5" x14ac:dyDescent="0.2">
      <c r="A1825" s="28"/>
      <c r="B1825" s="28"/>
      <c r="C1825" s="28"/>
      <c r="D1825" s="28"/>
      <c r="E1825" s="16"/>
    </row>
    <row r="1826" spans="1:5" x14ac:dyDescent="0.2">
      <c r="A1826" s="28"/>
      <c r="B1826" s="28"/>
      <c r="C1826" s="28"/>
      <c r="D1826" s="28"/>
      <c r="E1826" s="16"/>
    </row>
    <row r="1827" spans="1:5" x14ac:dyDescent="0.2">
      <c r="A1827" s="28"/>
      <c r="B1827" s="28"/>
      <c r="C1827" s="28"/>
      <c r="D1827" s="28"/>
      <c r="E1827" s="16"/>
    </row>
    <row r="1828" spans="1:5" x14ac:dyDescent="0.2">
      <c r="A1828" s="28"/>
      <c r="B1828" s="28"/>
      <c r="C1828" s="28"/>
      <c r="D1828" s="28"/>
      <c r="E1828" s="16"/>
    </row>
    <row r="1829" spans="1:5" x14ac:dyDescent="0.2">
      <c r="A1829" s="28"/>
      <c r="B1829" s="28"/>
      <c r="C1829" s="28"/>
      <c r="D1829" s="28"/>
      <c r="E1829" s="16"/>
    </row>
    <row r="1830" spans="1:5" x14ac:dyDescent="0.2">
      <c r="A1830" s="28"/>
      <c r="B1830" s="28"/>
      <c r="C1830" s="28"/>
      <c r="D1830" s="28"/>
      <c r="E1830" s="16"/>
    </row>
    <row r="1831" spans="1:5" x14ac:dyDescent="0.2">
      <c r="A1831" s="28"/>
      <c r="B1831" s="28"/>
      <c r="C1831" s="28"/>
      <c r="D1831" s="28"/>
      <c r="E1831" s="16"/>
    </row>
    <row r="1832" spans="1:5" x14ac:dyDescent="0.2">
      <c r="A1832" s="28"/>
      <c r="B1832" s="28"/>
      <c r="C1832" s="28"/>
      <c r="D1832" s="28"/>
      <c r="E1832" s="16"/>
    </row>
    <row r="1833" spans="1:5" x14ac:dyDescent="0.2">
      <c r="A1833" s="28"/>
      <c r="B1833" s="28"/>
      <c r="C1833" s="28"/>
      <c r="D1833" s="28"/>
      <c r="E1833" s="16"/>
    </row>
    <row r="1834" spans="1:5" x14ac:dyDescent="0.2">
      <c r="A1834" s="28"/>
      <c r="B1834" s="28"/>
      <c r="C1834" s="28"/>
      <c r="D1834" s="28"/>
      <c r="E1834" s="16"/>
    </row>
    <row r="1835" spans="1:5" x14ac:dyDescent="0.2">
      <c r="A1835" s="28"/>
      <c r="B1835" s="28"/>
      <c r="C1835" s="28"/>
      <c r="D1835" s="28"/>
      <c r="E1835" s="16"/>
    </row>
    <row r="1836" spans="1:5" x14ac:dyDescent="0.2">
      <c r="A1836" s="28"/>
      <c r="B1836" s="28"/>
      <c r="C1836" s="28"/>
      <c r="D1836" s="28"/>
      <c r="E1836" s="16"/>
    </row>
    <row r="1837" spans="1:5" x14ac:dyDescent="0.2">
      <c r="A1837" s="28"/>
      <c r="B1837" s="28"/>
      <c r="C1837" s="28"/>
      <c r="D1837" s="28"/>
      <c r="E1837" s="16"/>
    </row>
    <row r="1838" spans="1:5" x14ac:dyDescent="0.2">
      <c r="A1838" s="28"/>
      <c r="B1838" s="28"/>
      <c r="C1838" s="28"/>
      <c r="D1838" s="28"/>
      <c r="E1838" s="16"/>
    </row>
    <row r="1839" spans="1:5" x14ac:dyDescent="0.2">
      <c r="A1839" s="28"/>
      <c r="B1839" s="28"/>
      <c r="C1839" s="28"/>
      <c r="D1839" s="28"/>
      <c r="E1839" s="16"/>
    </row>
    <row r="1840" spans="1:5" x14ac:dyDescent="0.2">
      <c r="A1840" s="28"/>
      <c r="B1840" s="28"/>
      <c r="C1840" s="28"/>
      <c r="D1840" s="28"/>
      <c r="E1840" s="16"/>
    </row>
    <row r="1841" spans="1:5" x14ac:dyDescent="0.2">
      <c r="A1841" s="28"/>
      <c r="B1841" s="28"/>
      <c r="C1841" s="28"/>
      <c r="D1841" s="28"/>
      <c r="E1841" s="16"/>
    </row>
    <row r="1842" spans="1:5" x14ac:dyDescent="0.2">
      <c r="A1842" s="28"/>
      <c r="B1842" s="28"/>
      <c r="C1842" s="28"/>
      <c r="D1842" s="28"/>
      <c r="E1842" s="16"/>
    </row>
    <row r="1843" spans="1:5" x14ac:dyDescent="0.2">
      <c r="A1843" s="28"/>
      <c r="B1843" s="28"/>
      <c r="C1843" s="28"/>
      <c r="D1843" s="28"/>
      <c r="E1843" s="16"/>
    </row>
    <row r="1844" spans="1:5" x14ac:dyDescent="0.2">
      <c r="A1844" s="28"/>
      <c r="B1844" s="28"/>
      <c r="C1844" s="28"/>
      <c r="D1844" s="28"/>
      <c r="E1844" s="16"/>
    </row>
    <row r="1845" spans="1:5" x14ac:dyDescent="0.2">
      <c r="A1845" s="28"/>
      <c r="B1845" s="28"/>
      <c r="C1845" s="28"/>
      <c r="D1845" s="28"/>
      <c r="E1845" s="16"/>
    </row>
    <row r="1846" spans="1:5" x14ac:dyDescent="0.2">
      <c r="A1846" s="28"/>
      <c r="B1846" s="28"/>
      <c r="C1846" s="28"/>
      <c r="D1846" s="28"/>
      <c r="E1846" s="16"/>
    </row>
    <row r="1847" spans="1:5" x14ac:dyDescent="0.2">
      <c r="A1847" s="28"/>
      <c r="B1847" s="28"/>
      <c r="C1847" s="28"/>
      <c r="D1847" s="28"/>
      <c r="E1847" s="16"/>
    </row>
    <row r="1848" spans="1:5" x14ac:dyDescent="0.2">
      <c r="A1848" s="28"/>
      <c r="B1848" s="28"/>
      <c r="C1848" s="28"/>
      <c r="D1848" s="28"/>
      <c r="E1848" s="16"/>
    </row>
    <row r="1849" spans="1:5" x14ac:dyDescent="0.2">
      <c r="A1849" s="28"/>
      <c r="B1849" s="28"/>
      <c r="C1849" s="28"/>
      <c r="D1849" s="28"/>
      <c r="E1849" s="16"/>
    </row>
    <row r="1850" spans="1:5" x14ac:dyDescent="0.2">
      <c r="A1850" s="28"/>
      <c r="B1850" s="28"/>
      <c r="C1850" s="28"/>
      <c r="D1850" s="28"/>
      <c r="E1850" s="16"/>
    </row>
    <row r="1851" spans="1:5" x14ac:dyDescent="0.2">
      <c r="A1851" s="28"/>
      <c r="B1851" s="28"/>
      <c r="C1851" s="28"/>
      <c r="D1851" s="28"/>
      <c r="E1851" s="16"/>
    </row>
    <row r="1852" spans="1:5" x14ac:dyDescent="0.2">
      <c r="A1852" s="28"/>
      <c r="B1852" s="28"/>
      <c r="C1852" s="28"/>
      <c r="D1852" s="28"/>
      <c r="E1852" s="16"/>
    </row>
    <row r="1853" spans="1:5" x14ac:dyDescent="0.2">
      <c r="A1853" s="28"/>
      <c r="B1853" s="28"/>
      <c r="C1853" s="28"/>
      <c r="D1853" s="28"/>
      <c r="E1853" s="16"/>
    </row>
    <row r="1854" spans="1:5" x14ac:dyDescent="0.2">
      <c r="A1854" s="28"/>
      <c r="B1854" s="28"/>
      <c r="C1854" s="28"/>
      <c r="D1854" s="28"/>
      <c r="E1854" s="16"/>
    </row>
    <row r="1855" spans="1:5" x14ac:dyDescent="0.2">
      <c r="A1855" s="28"/>
      <c r="B1855" s="28"/>
      <c r="C1855" s="28"/>
      <c r="D1855" s="28"/>
      <c r="E1855" s="16"/>
    </row>
    <row r="1856" spans="1:5" x14ac:dyDescent="0.2">
      <c r="A1856" s="28"/>
      <c r="B1856" s="28"/>
      <c r="C1856" s="28"/>
      <c r="D1856" s="28"/>
      <c r="E1856" s="16"/>
    </row>
    <row r="1857" spans="1:5" x14ac:dyDescent="0.2">
      <c r="A1857" s="28"/>
      <c r="B1857" s="28"/>
      <c r="C1857" s="28"/>
      <c r="D1857" s="28"/>
      <c r="E1857" s="16"/>
    </row>
    <row r="1858" spans="1:5" x14ac:dyDescent="0.2">
      <c r="A1858" s="28"/>
      <c r="B1858" s="28"/>
      <c r="C1858" s="28"/>
      <c r="D1858" s="28"/>
      <c r="E1858" s="16"/>
    </row>
    <row r="1859" spans="1:5" x14ac:dyDescent="0.2">
      <c r="A1859" s="28"/>
      <c r="B1859" s="28"/>
      <c r="C1859" s="28"/>
      <c r="D1859" s="28"/>
      <c r="E1859" s="16"/>
    </row>
    <row r="1860" spans="1:5" x14ac:dyDescent="0.2">
      <c r="A1860" s="28"/>
      <c r="B1860" s="28"/>
      <c r="C1860" s="28"/>
      <c r="D1860" s="28"/>
      <c r="E1860" s="16"/>
    </row>
    <row r="1861" spans="1:5" x14ac:dyDescent="0.2">
      <c r="A1861" s="28"/>
      <c r="B1861" s="28"/>
      <c r="C1861" s="28"/>
      <c r="D1861" s="28"/>
      <c r="E1861" s="16"/>
    </row>
    <row r="1862" spans="1:5" x14ac:dyDescent="0.2">
      <c r="A1862" s="28"/>
      <c r="B1862" s="28"/>
      <c r="C1862" s="28"/>
      <c r="D1862" s="28"/>
      <c r="E1862" s="16"/>
    </row>
    <row r="1863" spans="1:5" x14ac:dyDescent="0.2">
      <c r="A1863" s="28"/>
      <c r="B1863" s="28"/>
      <c r="C1863" s="28"/>
      <c r="D1863" s="28"/>
      <c r="E1863" s="16"/>
    </row>
    <row r="1864" spans="1:5" x14ac:dyDescent="0.2">
      <c r="A1864" s="28"/>
      <c r="B1864" s="28"/>
      <c r="C1864" s="28"/>
      <c r="D1864" s="28"/>
      <c r="E1864" s="16"/>
    </row>
    <row r="1865" spans="1:5" x14ac:dyDescent="0.2">
      <c r="A1865" s="28"/>
      <c r="B1865" s="28"/>
      <c r="C1865" s="28"/>
      <c r="D1865" s="28"/>
      <c r="E1865" s="16"/>
    </row>
    <row r="1866" spans="1:5" x14ac:dyDescent="0.2">
      <c r="A1866" s="28"/>
      <c r="B1866" s="28"/>
      <c r="C1866" s="28"/>
      <c r="D1866" s="28"/>
      <c r="E1866" s="16"/>
    </row>
    <row r="1867" spans="1:5" x14ac:dyDescent="0.2">
      <c r="A1867" s="28"/>
      <c r="B1867" s="28"/>
      <c r="C1867" s="28"/>
      <c r="D1867" s="28"/>
      <c r="E1867" s="16"/>
    </row>
    <row r="1868" spans="1:5" x14ac:dyDescent="0.2">
      <c r="A1868" s="28"/>
      <c r="B1868" s="28"/>
      <c r="C1868" s="28"/>
      <c r="D1868" s="28"/>
      <c r="E1868" s="16"/>
    </row>
    <row r="1869" spans="1:5" x14ac:dyDescent="0.2">
      <c r="A1869" s="28"/>
      <c r="B1869" s="28"/>
      <c r="C1869" s="28"/>
      <c r="D1869" s="28"/>
      <c r="E1869" s="16"/>
    </row>
    <row r="1870" spans="1:5" x14ac:dyDescent="0.2">
      <c r="A1870" s="28"/>
      <c r="B1870" s="28"/>
      <c r="C1870" s="28"/>
      <c r="D1870" s="28"/>
      <c r="E1870" s="16"/>
    </row>
    <row r="1871" spans="1:5" x14ac:dyDescent="0.2">
      <c r="A1871" s="28"/>
      <c r="B1871" s="28"/>
      <c r="C1871" s="28"/>
      <c r="D1871" s="28"/>
      <c r="E1871" s="16"/>
    </row>
    <row r="1872" spans="1:5" x14ac:dyDescent="0.2">
      <c r="A1872" s="28"/>
      <c r="B1872" s="28"/>
      <c r="C1872" s="28"/>
      <c r="D1872" s="28"/>
      <c r="E1872" s="16"/>
    </row>
    <row r="1873" spans="1:5" x14ac:dyDescent="0.2">
      <c r="A1873" s="28"/>
      <c r="B1873" s="28"/>
      <c r="C1873" s="28"/>
      <c r="D1873" s="28"/>
      <c r="E1873" s="16"/>
    </row>
    <row r="1874" spans="1:5" x14ac:dyDescent="0.2">
      <c r="A1874" s="28"/>
      <c r="B1874" s="28"/>
      <c r="C1874" s="28"/>
      <c r="D1874" s="28"/>
      <c r="E1874" s="16"/>
    </row>
    <row r="1875" spans="1:5" x14ac:dyDescent="0.2">
      <c r="A1875" s="28"/>
      <c r="B1875" s="28"/>
      <c r="C1875" s="28"/>
      <c r="D1875" s="28"/>
      <c r="E1875" s="16"/>
    </row>
    <row r="1876" spans="1:5" x14ac:dyDescent="0.2">
      <c r="A1876" s="28"/>
      <c r="B1876" s="28"/>
      <c r="C1876" s="28"/>
      <c r="D1876" s="28"/>
      <c r="E1876" s="16"/>
    </row>
    <row r="1877" spans="1:5" x14ac:dyDescent="0.2">
      <c r="A1877" s="28"/>
      <c r="B1877" s="28"/>
      <c r="C1877" s="28"/>
      <c r="D1877" s="28"/>
      <c r="E1877" s="16"/>
    </row>
    <row r="1878" spans="1:5" x14ac:dyDescent="0.2">
      <c r="A1878" s="28"/>
      <c r="B1878" s="28"/>
      <c r="C1878" s="28"/>
      <c r="D1878" s="28"/>
      <c r="E1878" s="16"/>
    </row>
    <row r="1879" spans="1:5" x14ac:dyDescent="0.2">
      <c r="A1879" s="28"/>
      <c r="B1879" s="28"/>
      <c r="C1879" s="28"/>
      <c r="D1879" s="28"/>
      <c r="E1879" s="16"/>
    </row>
    <row r="1880" spans="1:5" x14ac:dyDescent="0.2">
      <c r="A1880" s="28"/>
      <c r="B1880" s="28"/>
      <c r="C1880" s="28"/>
      <c r="D1880" s="28"/>
      <c r="E1880" s="16"/>
    </row>
    <row r="1881" spans="1:5" x14ac:dyDescent="0.2">
      <c r="A1881" s="28"/>
      <c r="B1881" s="28"/>
      <c r="C1881" s="28"/>
      <c r="D1881" s="28"/>
      <c r="E1881" s="16"/>
    </row>
    <row r="1882" spans="1:5" x14ac:dyDescent="0.2">
      <c r="A1882" s="28"/>
      <c r="B1882" s="28"/>
      <c r="C1882" s="28"/>
      <c r="D1882" s="28"/>
      <c r="E1882" s="16"/>
    </row>
    <row r="1883" spans="1:5" x14ac:dyDescent="0.2">
      <c r="A1883" s="28"/>
      <c r="B1883" s="28"/>
      <c r="C1883" s="28"/>
      <c r="D1883" s="28"/>
      <c r="E1883" s="16"/>
    </row>
    <row r="1884" spans="1:5" x14ac:dyDescent="0.2">
      <c r="A1884" s="28"/>
      <c r="B1884" s="28"/>
      <c r="C1884" s="28"/>
      <c r="D1884" s="28"/>
      <c r="E1884" s="16"/>
    </row>
    <row r="1885" spans="1:5" x14ac:dyDescent="0.2">
      <c r="A1885" s="28"/>
      <c r="B1885" s="28"/>
      <c r="C1885" s="28"/>
      <c r="D1885" s="28"/>
      <c r="E1885" s="16"/>
    </row>
    <row r="1886" spans="1:5" x14ac:dyDescent="0.2">
      <c r="A1886" s="28"/>
      <c r="B1886" s="28"/>
      <c r="C1886" s="28"/>
      <c r="D1886" s="28"/>
      <c r="E1886" s="16"/>
    </row>
    <row r="1887" spans="1:5" x14ac:dyDescent="0.2">
      <c r="A1887" s="28"/>
      <c r="B1887" s="28"/>
      <c r="C1887" s="28"/>
      <c r="D1887" s="28"/>
      <c r="E1887" s="16"/>
    </row>
    <row r="1888" spans="1:5" x14ac:dyDescent="0.2">
      <c r="A1888" s="28"/>
      <c r="B1888" s="28"/>
      <c r="C1888" s="28"/>
      <c r="D1888" s="28"/>
      <c r="E1888" s="16"/>
    </row>
    <row r="1889" spans="1:5" x14ac:dyDescent="0.2">
      <c r="A1889" s="28"/>
      <c r="B1889" s="28"/>
      <c r="C1889" s="28"/>
      <c r="D1889" s="28"/>
      <c r="E1889" s="16"/>
    </row>
    <row r="1890" spans="1:5" x14ac:dyDescent="0.2">
      <c r="A1890" s="28"/>
      <c r="B1890" s="28"/>
      <c r="C1890" s="28"/>
      <c r="D1890" s="28"/>
      <c r="E1890" s="16"/>
    </row>
    <row r="1891" spans="1:5" x14ac:dyDescent="0.2">
      <c r="A1891" s="28"/>
      <c r="B1891" s="28"/>
      <c r="C1891" s="28"/>
      <c r="D1891" s="28"/>
      <c r="E1891" s="16"/>
    </row>
    <row r="1892" spans="1:5" x14ac:dyDescent="0.2">
      <c r="A1892" s="28"/>
      <c r="B1892" s="28"/>
      <c r="C1892" s="28"/>
      <c r="D1892" s="28"/>
      <c r="E1892" s="16"/>
    </row>
    <row r="1893" spans="1:5" x14ac:dyDescent="0.2">
      <c r="A1893" s="28"/>
      <c r="B1893" s="28"/>
      <c r="C1893" s="28"/>
      <c r="D1893" s="28"/>
      <c r="E1893" s="16"/>
    </row>
    <row r="1894" spans="1:5" x14ac:dyDescent="0.2">
      <c r="A1894" s="28"/>
      <c r="B1894" s="28"/>
      <c r="C1894" s="28"/>
      <c r="D1894" s="28"/>
      <c r="E1894" s="16"/>
    </row>
    <row r="1895" spans="1:5" x14ac:dyDescent="0.2">
      <c r="A1895" s="28"/>
      <c r="B1895" s="28"/>
      <c r="C1895" s="28"/>
      <c r="D1895" s="28"/>
      <c r="E1895" s="16"/>
    </row>
    <row r="1896" spans="1:5" x14ac:dyDescent="0.2">
      <c r="A1896" s="28"/>
      <c r="B1896" s="28"/>
      <c r="C1896" s="28"/>
      <c r="D1896" s="28"/>
      <c r="E1896" s="16"/>
    </row>
    <row r="1897" spans="1:5" x14ac:dyDescent="0.2">
      <c r="A1897" s="28"/>
      <c r="B1897" s="28"/>
      <c r="C1897" s="28"/>
      <c r="D1897" s="28"/>
      <c r="E1897" s="16"/>
    </row>
    <row r="1898" spans="1:5" x14ac:dyDescent="0.2">
      <c r="A1898" s="28"/>
      <c r="B1898" s="28"/>
      <c r="C1898" s="28"/>
      <c r="D1898" s="28"/>
      <c r="E1898" s="16"/>
    </row>
    <row r="1899" spans="1:5" x14ac:dyDescent="0.2">
      <c r="A1899" s="28"/>
      <c r="B1899" s="28"/>
      <c r="C1899" s="28"/>
      <c r="D1899" s="28"/>
      <c r="E1899" s="16"/>
    </row>
    <row r="1900" spans="1:5" x14ac:dyDescent="0.2">
      <c r="A1900" s="28"/>
      <c r="B1900" s="28"/>
      <c r="C1900" s="28"/>
      <c r="D1900" s="28"/>
      <c r="E1900" s="16"/>
    </row>
    <row r="1901" spans="1:5" x14ac:dyDescent="0.2">
      <c r="A1901" s="28"/>
      <c r="B1901" s="28"/>
      <c r="C1901" s="28"/>
      <c r="D1901" s="28"/>
      <c r="E1901" s="16"/>
    </row>
    <row r="1902" spans="1:5" x14ac:dyDescent="0.2">
      <c r="A1902" s="28"/>
      <c r="B1902" s="28"/>
      <c r="C1902" s="28"/>
      <c r="D1902" s="28"/>
      <c r="E1902" s="16"/>
    </row>
    <row r="1903" spans="1:5" x14ac:dyDescent="0.2">
      <c r="A1903" s="28"/>
      <c r="B1903" s="28"/>
      <c r="C1903" s="28"/>
      <c r="D1903" s="28"/>
      <c r="E1903" s="16"/>
    </row>
    <row r="1904" spans="1:5" x14ac:dyDescent="0.2">
      <c r="A1904" s="28"/>
      <c r="B1904" s="28"/>
      <c r="C1904" s="28"/>
      <c r="D1904" s="28"/>
      <c r="E1904" s="16"/>
    </row>
    <row r="1905" spans="1:5" x14ac:dyDescent="0.2">
      <c r="A1905" s="28"/>
      <c r="B1905" s="28"/>
      <c r="C1905" s="28"/>
      <c r="D1905" s="28"/>
      <c r="E1905" s="16"/>
    </row>
    <row r="1906" spans="1:5" x14ac:dyDescent="0.2">
      <c r="A1906" s="28"/>
      <c r="B1906" s="28"/>
      <c r="C1906" s="28"/>
      <c r="D1906" s="28"/>
      <c r="E1906" s="16"/>
    </row>
    <row r="1907" spans="1:5" x14ac:dyDescent="0.2">
      <c r="A1907" s="28"/>
      <c r="B1907" s="28"/>
      <c r="C1907" s="28"/>
      <c r="D1907" s="28"/>
      <c r="E1907" s="16"/>
    </row>
    <row r="1908" spans="1:5" x14ac:dyDescent="0.2">
      <c r="A1908" s="28"/>
      <c r="B1908" s="28"/>
      <c r="C1908" s="28"/>
      <c r="D1908" s="28"/>
      <c r="E1908" s="16"/>
    </row>
    <row r="1909" spans="1:5" x14ac:dyDescent="0.2">
      <c r="A1909" s="28"/>
      <c r="B1909" s="28"/>
      <c r="C1909" s="28"/>
      <c r="D1909" s="28"/>
      <c r="E1909" s="16"/>
    </row>
    <row r="1910" spans="1:5" x14ac:dyDescent="0.2">
      <c r="A1910" s="28"/>
      <c r="B1910" s="28"/>
      <c r="C1910" s="28"/>
      <c r="D1910" s="28"/>
      <c r="E1910" s="16"/>
    </row>
    <row r="1911" spans="1:5" x14ac:dyDescent="0.2">
      <c r="A1911" s="28"/>
      <c r="B1911" s="28"/>
      <c r="C1911" s="28"/>
      <c r="D1911" s="28"/>
      <c r="E1911" s="16"/>
    </row>
    <row r="1912" spans="1:5" x14ac:dyDescent="0.2">
      <c r="A1912" s="28"/>
      <c r="B1912" s="28"/>
      <c r="C1912" s="28"/>
      <c r="D1912" s="28"/>
      <c r="E1912" s="16"/>
    </row>
    <row r="1913" spans="1:5" x14ac:dyDescent="0.2">
      <c r="A1913" s="28"/>
      <c r="B1913" s="28"/>
      <c r="C1913" s="28"/>
      <c r="D1913" s="28"/>
      <c r="E1913" s="16"/>
    </row>
    <row r="1914" spans="1:5" x14ac:dyDescent="0.2">
      <c r="A1914" s="28"/>
      <c r="B1914" s="28"/>
      <c r="C1914" s="28"/>
      <c r="D1914" s="28"/>
      <c r="E1914" s="16"/>
    </row>
    <row r="1915" spans="1:5" x14ac:dyDescent="0.2">
      <c r="A1915" s="28"/>
      <c r="B1915" s="28"/>
      <c r="C1915" s="28"/>
      <c r="D1915" s="28"/>
      <c r="E1915" s="16"/>
    </row>
    <row r="1916" spans="1:5" x14ac:dyDescent="0.2">
      <c r="A1916" s="28"/>
      <c r="B1916" s="28"/>
      <c r="C1916" s="28"/>
      <c r="D1916" s="28"/>
      <c r="E1916" s="16"/>
    </row>
    <row r="1917" spans="1:5" x14ac:dyDescent="0.2">
      <c r="A1917" s="28"/>
      <c r="B1917" s="28"/>
      <c r="C1917" s="28"/>
      <c r="D1917" s="28"/>
      <c r="E1917" s="16"/>
    </row>
    <row r="1918" spans="1:5" x14ac:dyDescent="0.2">
      <c r="A1918" s="28"/>
      <c r="B1918" s="28"/>
      <c r="C1918" s="28"/>
      <c r="D1918" s="28"/>
      <c r="E1918" s="16"/>
    </row>
    <row r="1919" spans="1:5" x14ac:dyDescent="0.2">
      <c r="A1919" s="28"/>
      <c r="B1919" s="28"/>
      <c r="C1919" s="28"/>
      <c r="D1919" s="28"/>
      <c r="E1919" s="16"/>
    </row>
    <row r="1920" spans="1:5" x14ac:dyDescent="0.2">
      <c r="A1920" s="28"/>
      <c r="B1920" s="28"/>
      <c r="C1920" s="28"/>
      <c r="D1920" s="28"/>
      <c r="E1920" s="16"/>
    </row>
    <row r="1921" spans="1:5" x14ac:dyDescent="0.2">
      <c r="A1921" s="28"/>
      <c r="B1921" s="28"/>
      <c r="C1921" s="28"/>
      <c r="D1921" s="28"/>
      <c r="E1921" s="16"/>
    </row>
    <row r="1922" spans="1:5" x14ac:dyDescent="0.2">
      <c r="A1922" s="28"/>
      <c r="B1922" s="28"/>
      <c r="C1922" s="28"/>
      <c r="D1922" s="28"/>
      <c r="E1922" s="16"/>
    </row>
    <row r="1923" spans="1:5" x14ac:dyDescent="0.2">
      <c r="A1923" s="28"/>
      <c r="B1923" s="28"/>
      <c r="C1923" s="28"/>
      <c r="D1923" s="28"/>
      <c r="E1923" s="16"/>
    </row>
    <row r="1924" spans="1:5" x14ac:dyDescent="0.2">
      <c r="A1924" s="28"/>
      <c r="B1924" s="28"/>
      <c r="C1924" s="28"/>
      <c r="D1924" s="28"/>
      <c r="E1924" s="16"/>
    </row>
    <row r="1925" spans="1:5" x14ac:dyDescent="0.2">
      <c r="A1925" s="28"/>
      <c r="B1925" s="28"/>
      <c r="C1925" s="28"/>
      <c r="D1925" s="28"/>
      <c r="E1925" s="16"/>
    </row>
    <row r="1926" spans="1:5" x14ac:dyDescent="0.2">
      <c r="A1926" s="28"/>
      <c r="B1926" s="28"/>
      <c r="C1926" s="28"/>
      <c r="D1926" s="28"/>
      <c r="E1926" s="16"/>
    </row>
    <row r="1927" spans="1:5" x14ac:dyDescent="0.2">
      <c r="A1927" s="28"/>
      <c r="B1927" s="28"/>
      <c r="C1927" s="28"/>
      <c r="D1927" s="28"/>
      <c r="E1927" s="16"/>
    </row>
    <row r="1928" spans="1:5" x14ac:dyDescent="0.2">
      <c r="A1928" s="28"/>
      <c r="B1928" s="28"/>
      <c r="C1928" s="28"/>
      <c r="D1928" s="28"/>
      <c r="E1928" s="16"/>
    </row>
    <row r="1929" spans="1:5" x14ac:dyDescent="0.2">
      <c r="A1929" s="28"/>
      <c r="B1929" s="28"/>
      <c r="C1929" s="28"/>
      <c r="D1929" s="28"/>
      <c r="E1929" s="16"/>
    </row>
    <row r="1930" spans="1:5" x14ac:dyDescent="0.2">
      <c r="A1930" s="28"/>
      <c r="B1930" s="28"/>
      <c r="C1930" s="28"/>
      <c r="D1930" s="28"/>
      <c r="E1930" s="16"/>
    </row>
    <row r="1931" spans="1:5" x14ac:dyDescent="0.2">
      <c r="A1931" s="28"/>
      <c r="B1931" s="28"/>
      <c r="C1931" s="28"/>
      <c r="D1931" s="28"/>
      <c r="E1931" s="16"/>
    </row>
    <row r="1932" spans="1:5" x14ac:dyDescent="0.2">
      <c r="A1932" s="28"/>
      <c r="B1932" s="28"/>
      <c r="C1932" s="28"/>
      <c r="D1932" s="28"/>
      <c r="E1932" s="16"/>
    </row>
    <row r="1933" spans="1:5" x14ac:dyDescent="0.2">
      <c r="A1933" s="28"/>
      <c r="B1933" s="28"/>
      <c r="C1933" s="28"/>
      <c r="D1933" s="28"/>
      <c r="E1933" s="16"/>
    </row>
    <row r="1934" spans="1:5" x14ac:dyDescent="0.2">
      <c r="A1934" s="28"/>
      <c r="B1934" s="28"/>
      <c r="C1934" s="28"/>
      <c r="D1934" s="28"/>
      <c r="E1934" s="16"/>
    </row>
    <row r="1935" spans="1:5" x14ac:dyDescent="0.2">
      <c r="A1935" s="28"/>
      <c r="B1935" s="28"/>
      <c r="C1935" s="28"/>
      <c r="D1935" s="28"/>
      <c r="E1935" s="16"/>
    </row>
    <row r="1936" spans="1:5" x14ac:dyDescent="0.2">
      <c r="A1936" s="28"/>
      <c r="B1936" s="28"/>
      <c r="C1936" s="28"/>
      <c r="D1936" s="28"/>
      <c r="E1936" s="16"/>
    </row>
    <row r="1937" spans="1:5" x14ac:dyDescent="0.2">
      <c r="A1937" s="28"/>
      <c r="B1937" s="28"/>
      <c r="C1937" s="28"/>
      <c r="D1937" s="28"/>
      <c r="E1937" s="16"/>
    </row>
    <row r="1938" spans="1:5" x14ac:dyDescent="0.2">
      <c r="A1938" s="28"/>
      <c r="B1938" s="28"/>
      <c r="C1938" s="28"/>
      <c r="D1938" s="28"/>
      <c r="E1938" s="16"/>
    </row>
    <row r="1939" spans="1:5" x14ac:dyDescent="0.2">
      <c r="A1939" s="28"/>
      <c r="B1939" s="28"/>
      <c r="C1939" s="28"/>
      <c r="D1939" s="28"/>
      <c r="E1939" s="16"/>
    </row>
    <row r="1940" spans="1:5" x14ac:dyDescent="0.2">
      <c r="A1940" s="28"/>
      <c r="B1940" s="28"/>
      <c r="C1940" s="28"/>
      <c r="D1940" s="28"/>
      <c r="E1940" s="16"/>
    </row>
    <row r="1941" spans="1:5" x14ac:dyDescent="0.2">
      <c r="A1941" s="28"/>
      <c r="B1941" s="28"/>
      <c r="C1941" s="28"/>
      <c r="D1941" s="28"/>
      <c r="E1941" s="16"/>
    </row>
    <row r="1942" spans="1:5" x14ac:dyDescent="0.2">
      <c r="A1942" s="28"/>
      <c r="B1942" s="28"/>
      <c r="C1942" s="28"/>
      <c r="D1942" s="28"/>
      <c r="E1942" s="16"/>
    </row>
    <row r="1943" spans="1:5" x14ac:dyDescent="0.2">
      <c r="A1943" s="28"/>
      <c r="B1943" s="28"/>
      <c r="C1943" s="28"/>
      <c r="D1943" s="28"/>
      <c r="E1943" s="16"/>
    </row>
    <row r="1944" spans="1:5" x14ac:dyDescent="0.2">
      <c r="A1944" s="28"/>
      <c r="B1944" s="28"/>
      <c r="C1944" s="28"/>
      <c r="D1944" s="28"/>
      <c r="E1944" s="16"/>
    </row>
    <row r="1945" spans="1:5" x14ac:dyDescent="0.2">
      <c r="A1945" s="28"/>
      <c r="B1945" s="28"/>
      <c r="C1945" s="28"/>
      <c r="D1945" s="28"/>
      <c r="E1945" s="16"/>
    </row>
    <row r="1946" spans="1:5" x14ac:dyDescent="0.2">
      <c r="A1946" s="28"/>
      <c r="B1946" s="28"/>
      <c r="C1946" s="28"/>
      <c r="D1946" s="28"/>
      <c r="E1946" s="16"/>
    </row>
    <row r="1947" spans="1:5" x14ac:dyDescent="0.2">
      <c r="A1947" s="28"/>
      <c r="B1947" s="28"/>
      <c r="C1947" s="28"/>
      <c r="D1947" s="28"/>
      <c r="E1947" s="16"/>
    </row>
    <row r="1948" spans="1:5" x14ac:dyDescent="0.2">
      <c r="A1948" s="28"/>
      <c r="B1948" s="28"/>
      <c r="C1948" s="28"/>
      <c r="D1948" s="28"/>
      <c r="E1948" s="16"/>
    </row>
    <row r="1949" spans="1:5" x14ac:dyDescent="0.2">
      <c r="A1949" s="28"/>
      <c r="B1949" s="28"/>
      <c r="C1949" s="28"/>
      <c r="D1949" s="28"/>
      <c r="E1949" s="16"/>
    </row>
    <row r="1950" spans="1:5" x14ac:dyDescent="0.2">
      <c r="A1950" s="28"/>
      <c r="B1950" s="28"/>
      <c r="C1950" s="28"/>
      <c r="D1950" s="28"/>
      <c r="E1950" s="16"/>
    </row>
    <row r="1951" spans="1:5" x14ac:dyDescent="0.2">
      <c r="A1951" s="28"/>
      <c r="B1951" s="28"/>
      <c r="C1951" s="28"/>
      <c r="D1951" s="28"/>
      <c r="E1951" s="16"/>
    </row>
    <row r="1952" spans="1:5" x14ac:dyDescent="0.2">
      <c r="A1952" s="28"/>
      <c r="B1952" s="28"/>
      <c r="C1952" s="28"/>
      <c r="D1952" s="28"/>
      <c r="E1952" s="16"/>
    </row>
    <row r="1953" spans="1:5" x14ac:dyDescent="0.2">
      <c r="A1953" s="28"/>
      <c r="B1953" s="28"/>
      <c r="C1953" s="28"/>
      <c r="D1953" s="28"/>
      <c r="E1953" s="16"/>
    </row>
    <row r="1954" spans="1:5" x14ac:dyDescent="0.2">
      <c r="A1954" s="28"/>
      <c r="B1954" s="28"/>
      <c r="C1954" s="28"/>
      <c r="D1954" s="28"/>
      <c r="E1954" s="16"/>
    </row>
    <row r="1955" spans="1:5" x14ac:dyDescent="0.2">
      <c r="A1955" s="28"/>
      <c r="B1955" s="28"/>
      <c r="C1955" s="28"/>
      <c r="D1955" s="28"/>
      <c r="E1955" s="16"/>
    </row>
    <row r="1956" spans="1:5" x14ac:dyDescent="0.2">
      <c r="A1956" s="28"/>
      <c r="B1956" s="28"/>
      <c r="C1956" s="28"/>
      <c r="D1956" s="28"/>
      <c r="E1956" s="16"/>
    </row>
    <row r="1957" spans="1:5" x14ac:dyDescent="0.2">
      <c r="A1957" s="28"/>
      <c r="B1957" s="28"/>
      <c r="C1957" s="28"/>
      <c r="D1957" s="28"/>
      <c r="E1957" s="16"/>
    </row>
    <row r="1958" spans="1:5" x14ac:dyDescent="0.2">
      <c r="A1958" s="28"/>
      <c r="B1958" s="28"/>
      <c r="C1958" s="28"/>
      <c r="D1958" s="28"/>
      <c r="E1958" s="16"/>
    </row>
    <row r="1959" spans="1:5" x14ac:dyDescent="0.2">
      <c r="A1959" s="28"/>
      <c r="B1959" s="28"/>
      <c r="C1959" s="28"/>
      <c r="D1959" s="28"/>
      <c r="E1959" s="16"/>
    </row>
    <row r="1960" spans="1:5" x14ac:dyDescent="0.2">
      <c r="A1960" s="28"/>
      <c r="B1960" s="28"/>
      <c r="C1960" s="28"/>
      <c r="D1960" s="28"/>
      <c r="E1960" s="16"/>
    </row>
    <row r="1961" spans="1:5" x14ac:dyDescent="0.2">
      <c r="A1961" s="28"/>
      <c r="B1961" s="28"/>
      <c r="C1961" s="28"/>
      <c r="D1961" s="28"/>
      <c r="E1961" s="16"/>
    </row>
    <row r="1962" spans="1:5" x14ac:dyDescent="0.2">
      <c r="A1962" s="28"/>
      <c r="B1962" s="28"/>
      <c r="C1962" s="28"/>
      <c r="D1962" s="28"/>
      <c r="E1962" s="16"/>
    </row>
    <row r="1963" spans="1:5" x14ac:dyDescent="0.2">
      <c r="A1963" s="28"/>
      <c r="B1963" s="28"/>
      <c r="C1963" s="28"/>
      <c r="D1963" s="28"/>
      <c r="E1963" s="16"/>
    </row>
    <row r="1964" spans="1:5" x14ac:dyDescent="0.2">
      <c r="A1964" s="28"/>
      <c r="B1964" s="28"/>
      <c r="C1964" s="28"/>
      <c r="D1964" s="28"/>
      <c r="E1964" s="16"/>
    </row>
    <row r="1965" spans="1:5" x14ac:dyDescent="0.2">
      <c r="A1965" s="28"/>
      <c r="B1965" s="28"/>
      <c r="C1965" s="28"/>
      <c r="D1965" s="28"/>
      <c r="E1965" s="16"/>
    </row>
    <row r="1966" spans="1:5" x14ac:dyDescent="0.2">
      <c r="A1966" s="28"/>
      <c r="B1966" s="28"/>
      <c r="C1966" s="28"/>
      <c r="D1966" s="28"/>
      <c r="E1966" s="16"/>
    </row>
    <row r="1967" spans="1:5" x14ac:dyDescent="0.2">
      <c r="A1967" s="28"/>
      <c r="B1967" s="28"/>
      <c r="C1967" s="28"/>
      <c r="D1967" s="28"/>
      <c r="E1967" s="16"/>
    </row>
    <row r="1968" spans="1:5" x14ac:dyDescent="0.2">
      <c r="A1968" s="28"/>
      <c r="B1968" s="28"/>
      <c r="C1968" s="28"/>
      <c r="D1968" s="28"/>
      <c r="E1968" s="16"/>
    </row>
    <row r="1969" spans="1:5" x14ac:dyDescent="0.2">
      <c r="A1969" s="28"/>
      <c r="B1969" s="28"/>
      <c r="C1969" s="28"/>
      <c r="D1969" s="28"/>
      <c r="E1969" s="16"/>
    </row>
    <row r="1970" spans="1:5" x14ac:dyDescent="0.2">
      <c r="A1970" s="28"/>
      <c r="B1970" s="28"/>
      <c r="C1970" s="28"/>
      <c r="D1970" s="28"/>
      <c r="E1970" s="16"/>
    </row>
    <row r="1971" spans="1:5" x14ac:dyDescent="0.2">
      <c r="A1971" s="28"/>
      <c r="B1971" s="28"/>
      <c r="C1971" s="28"/>
      <c r="D1971" s="28"/>
      <c r="E1971" s="16"/>
    </row>
    <row r="1972" spans="1:5" x14ac:dyDescent="0.2">
      <c r="A1972" s="28"/>
      <c r="B1972" s="28"/>
      <c r="C1972" s="28"/>
      <c r="D1972" s="28"/>
      <c r="E1972" s="16"/>
    </row>
    <row r="1973" spans="1:5" x14ac:dyDescent="0.2">
      <c r="A1973" s="28"/>
      <c r="B1973" s="28"/>
      <c r="C1973" s="28"/>
      <c r="D1973" s="28"/>
      <c r="E1973" s="16"/>
    </row>
    <row r="1974" spans="1:5" x14ac:dyDescent="0.2">
      <c r="A1974" s="28"/>
      <c r="B1974" s="28"/>
      <c r="C1974" s="28"/>
      <c r="D1974" s="28"/>
      <c r="E1974" s="16"/>
    </row>
    <row r="1975" spans="1:5" x14ac:dyDescent="0.2">
      <c r="A1975" s="28"/>
      <c r="B1975" s="28"/>
      <c r="C1975" s="28"/>
      <c r="D1975" s="28"/>
      <c r="E1975" s="16"/>
    </row>
    <row r="1976" spans="1:5" x14ac:dyDescent="0.2">
      <c r="A1976" s="28"/>
      <c r="B1976" s="28"/>
      <c r="C1976" s="28"/>
      <c r="D1976" s="28"/>
      <c r="E1976" s="16"/>
    </row>
    <row r="1977" spans="1:5" x14ac:dyDescent="0.2">
      <c r="A1977" s="28"/>
      <c r="B1977" s="28"/>
      <c r="C1977" s="28"/>
      <c r="D1977" s="28"/>
      <c r="E1977" s="16"/>
    </row>
    <row r="1978" spans="1:5" x14ac:dyDescent="0.2">
      <c r="A1978" s="28"/>
      <c r="B1978" s="28"/>
      <c r="C1978" s="28"/>
      <c r="D1978" s="28"/>
      <c r="E1978" s="16"/>
    </row>
    <row r="1979" spans="1:5" x14ac:dyDescent="0.2">
      <c r="A1979" s="28"/>
      <c r="B1979" s="28"/>
      <c r="C1979" s="28"/>
      <c r="D1979" s="28"/>
      <c r="E1979" s="16"/>
    </row>
    <row r="1980" spans="1:5" x14ac:dyDescent="0.2">
      <c r="A1980" s="28"/>
      <c r="B1980" s="28"/>
      <c r="C1980" s="28"/>
      <c r="D1980" s="28"/>
      <c r="E1980" s="16"/>
    </row>
    <row r="1981" spans="1:5" x14ac:dyDescent="0.2">
      <c r="A1981" s="28"/>
      <c r="B1981" s="28"/>
      <c r="C1981" s="28"/>
      <c r="D1981" s="28"/>
      <c r="E1981" s="16"/>
    </row>
    <row r="1982" spans="1:5" x14ac:dyDescent="0.2">
      <c r="A1982" s="28"/>
      <c r="B1982" s="28"/>
      <c r="C1982" s="28"/>
      <c r="D1982" s="28"/>
      <c r="E1982" s="16"/>
    </row>
    <row r="1983" spans="1:5" x14ac:dyDescent="0.2">
      <c r="A1983" s="28"/>
      <c r="B1983" s="28"/>
      <c r="C1983" s="28"/>
      <c r="D1983" s="28"/>
      <c r="E1983" s="16"/>
    </row>
    <row r="1984" spans="1:5" x14ac:dyDescent="0.2">
      <c r="A1984" s="28"/>
      <c r="B1984" s="28"/>
      <c r="C1984" s="28"/>
      <c r="D1984" s="28"/>
      <c r="E1984" s="16"/>
    </row>
    <row r="1985" spans="1:5" x14ac:dyDescent="0.2">
      <c r="A1985" s="28"/>
      <c r="B1985" s="28"/>
      <c r="C1985" s="28"/>
      <c r="D1985" s="28"/>
      <c r="E1985" s="16"/>
    </row>
    <row r="1986" spans="1:5" x14ac:dyDescent="0.2">
      <c r="A1986" s="28"/>
      <c r="B1986" s="28"/>
      <c r="C1986" s="28"/>
      <c r="D1986" s="28"/>
      <c r="E1986" s="16"/>
    </row>
    <row r="1987" spans="1:5" x14ac:dyDescent="0.2">
      <c r="A1987" s="28"/>
      <c r="B1987" s="28"/>
      <c r="C1987" s="28"/>
      <c r="D1987" s="28"/>
      <c r="E1987" s="16"/>
    </row>
    <row r="1988" spans="1:5" x14ac:dyDescent="0.2">
      <c r="A1988" s="28"/>
      <c r="B1988" s="28"/>
      <c r="C1988" s="28"/>
      <c r="D1988" s="28"/>
      <c r="E1988" s="16"/>
    </row>
    <row r="1989" spans="1:5" x14ac:dyDescent="0.2">
      <c r="A1989" s="28"/>
      <c r="B1989" s="28"/>
      <c r="C1989" s="28"/>
      <c r="D1989" s="28"/>
      <c r="E1989" s="16"/>
    </row>
    <row r="1990" spans="1:5" x14ac:dyDescent="0.2">
      <c r="A1990" s="28"/>
      <c r="B1990" s="28"/>
      <c r="C1990" s="28"/>
      <c r="D1990" s="28"/>
      <c r="E1990" s="16"/>
    </row>
    <row r="1991" spans="1:5" x14ac:dyDescent="0.2">
      <c r="A1991" s="28"/>
      <c r="B1991" s="28"/>
      <c r="C1991" s="28"/>
      <c r="D1991" s="28"/>
      <c r="E1991" s="16"/>
    </row>
    <row r="1992" spans="1:5" x14ac:dyDescent="0.2">
      <c r="A1992" s="28"/>
      <c r="B1992" s="28"/>
      <c r="C1992" s="28"/>
      <c r="D1992" s="28"/>
      <c r="E1992" s="16"/>
    </row>
    <row r="1993" spans="1:5" x14ac:dyDescent="0.2">
      <c r="A1993" s="28"/>
      <c r="B1993" s="28"/>
      <c r="C1993" s="28"/>
      <c r="D1993" s="28"/>
      <c r="E1993" s="16"/>
    </row>
    <row r="1994" spans="1:5" x14ac:dyDescent="0.2">
      <c r="A1994" s="28"/>
      <c r="B1994" s="28"/>
      <c r="C1994" s="28"/>
      <c r="D1994" s="28"/>
      <c r="E1994" s="16"/>
    </row>
    <row r="1995" spans="1:5" x14ac:dyDescent="0.2">
      <c r="A1995" s="28"/>
      <c r="B1995" s="28"/>
      <c r="C1995" s="28"/>
      <c r="D1995" s="28"/>
      <c r="E1995" s="16"/>
    </row>
    <row r="1996" spans="1:5" x14ac:dyDescent="0.2">
      <c r="A1996" s="28"/>
      <c r="B1996" s="28"/>
      <c r="C1996" s="28"/>
      <c r="D1996" s="28"/>
      <c r="E1996" s="16"/>
    </row>
    <row r="1997" spans="1:5" x14ac:dyDescent="0.2">
      <c r="A1997" s="28"/>
      <c r="B1997" s="28"/>
      <c r="C1997" s="28"/>
      <c r="D1997" s="28"/>
      <c r="E1997" s="16"/>
    </row>
    <row r="1998" spans="1:5" x14ac:dyDescent="0.2">
      <c r="A1998" s="28"/>
      <c r="B1998" s="28"/>
      <c r="C1998" s="28"/>
      <c r="D1998" s="28"/>
      <c r="E1998" s="16"/>
    </row>
    <row r="1999" spans="1:5" x14ac:dyDescent="0.2">
      <c r="A1999" s="28"/>
      <c r="B1999" s="28"/>
      <c r="C1999" s="28"/>
      <c r="D1999" s="28"/>
      <c r="E1999" s="16"/>
    </row>
    <row r="2000" spans="1:5" x14ac:dyDescent="0.2">
      <c r="A2000" s="28"/>
      <c r="B2000" s="28"/>
      <c r="C2000" s="28"/>
      <c r="D2000" s="28"/>
      <c r="E2000" s="16"/>
    </row>
    <row r="2001" spans="1:5" x14ac:dyDescent="0.2">
      <c r="A2001" s="28"/>
      <c r="B2001" s="28"/>
      <c r="C2001" s="28"/>
      <c r="D2001" s="28"/>
      <c r="E2001" s="16"/>
    </row>
    <row r="2002" spans="1:5" x14ac:dyDescent="0.2">
      <c r="A2002" s="28"/>
      <c r="B2002" s="28"/>
      <c r="C2002" s="28"/>
      <c r="D2002" s="28"/>
      <c r="E2002" s="16"/>
    </row>
    <row r="2003" spans="1:5" x14ac:dyDescent="0.2">
      <c r="A2003" s="28"/>
      <c r="B2003" s="28"/>
      <c r="C2003" s="28"/>
      <c r="D2003" s="28"/>
      <c r="E2003" s="16"/>
    </row>
    <row r="2004" spans="1:5" x14ac:dyDescent="0.2">
      <c r="A2004" s="28"/>
      <c r="B2004" s="28"/>
      <c r="C2004" s="28"/>
      <c r="D2004" s="28"/>
      <c r="E2004" s="16"/>
    </row>
    <row r="2005" spans="1:5" x14ac:dyDescent="0.2">
      <c r="A2005" s="28"/>
      <c r="B2005" s="28"/>
      <c r="C2005" s="28"/>
      <c r="D2005" s="28"/>
      <c r="E2005" s="16"/>
    </row>
    <row r="2006" spans="1:5" x14ac:dyDescent="0.2">
      <c r="A2006" s="28"/>
      <c r="B2006" s="28"/>
      <c r="C2006" s="28"/>
      <c r="D2006" s="28"/>
      <c r="E2006" s="16"/>
    </row>
    <row r="2007" spans="1:5" x14ac:dyDescent="0.2">
      <c r="A2007" s="28"/>
      <c r="B2007" s="28"/>
      <c r="C2007" s="28"/>
      <c r="D2007" s="28"/>
      <c r="E2007" s="16"/>
    </row>
    <row r="2008" spans="1:5" x14ac:dyDescent="0.2">
      <c r="A2008" s="28"/>
      <c r="B2008" s="28"/>
      <c r="C2008" s="28"/>
      <c r="D2008" s="28"/>
      <c r="E2008" s="16"/>
    </row>
    <row r="2009" spans="1:5" x14ac:dyDescent="0.2">
      <c r="A2009" s="28"/>
      <c r="B2009" s="28"/>
      <c r="C2009" s="28"/>
      <c r="D2009" s="28"/>
      <c r="E2009" s="16"/>
    </row>
    <row r="2010" spans="1:5" x14ac:dyDescent="0.2">
      <c r="A2010" s="28"/>
      <c r="B2010" s="28"/>
      <c r="C2010" s="28"/>
      <c r="D2010" s="28"/>
      <c r="E2010" s="16"/>
    </row>
    <row r="2011" spans="1:5" x14ac:dyDescent="0.2">
      <c r="A2011" s="28"/>
      <c r="B2011" s="28"/>
      <c r="C2011" s="28"/>
      <c r="D2011" s="28"/>
      <c r="E2011" s="16"/>
    </row>
    <row r="2012" spans="1:5" x14ac:dyDescent="0.2">
      <c r="A2012" s="28"/>
      <c r="B2012" s="28"/>
      <c r="C2012" s="28"/>
      <c r="D2012" s="28"/>
      <c r="E2012" s="16"/>
    </row>
    <row r="2013" spans="1:5" x14ac:dyDescent="0.2">
      <c r="A2013" s="28"/>
      <c r="B2013" s="28"/>
      <c r="C2013" s="28"/>
      <c r="D2013" s="28"/>
      <c r="E2013" s="16"/>
    </row>
    <row r="2014" spans="1:5" x14ac:dyDescent="0.2">
      <c r="A2014" s="28"/>
      <c r="B2014" s="28"/>
      <c r="C2014" s="28"/>
      <c r="D2014" s="28"/>
      <c r="E2014" s="16"/>
    </row>
    <row r="2015" spans="1:5" x14ac:dyDescent="0.2">
      <c r="A2015" s="28"/>
      <c r="B2015" s="28"/>
      <c r="C2015" s="28"/>
      <c r="D2015" s="28"/>
      <c r="E2015" s="16"/>
    </row>
    <row r="2016" spans="1:5" x14ac:dyDescent="0.2">
      <c r="A2016" s="28"/>
      <c r="B2016" s="28"/>
      <c r="C2016" s="28"/>
      <c r="D2016" s="28"/>
      <c r="E2016" s="16"/>
    </row>
    <row r="2017" spans="1:5" x14ac:dyDescent="0.2">
      <c r="A2017" s="28"/>
      <c r="B2017" s="28"/>
      <c r="C2017" s="28"/>
      <c r="D2017" s="28"/>
      <c r="E2017" s="16"/>
    </row>
    <row r="2018" spans="1:5" x14ac:dyDescent="0.2">
      <c r="A2018" s="28"/>
      <c r="B2018" s="28"/>
      <c r="C2018" s="28"/>
      <c r="D2018" s="28"/>
      <c r="E2018" s="16"/>
    </row>
    <row r="2019" spans="1:5" x14ac:dyDescent="0.2">
      <c r="A2019" s="28"/>
      <c r="B2019" s="28"/>
      <c r="C2019" s="28"/>
      <c r="D2019" s="28"/>
      <c r="E2019" s="16"/>
    </row>
    <row r="2020" spans="1:5" x14ac:dyDescent="0.2">
      <c r="A2020" s="28"/>
      <c r="B2020" s="28"/>
      <c r="C2020" s="28"/>
      <c r="D2020" s="28"/>
      <c r="E2020" s="16"/>
    </row>
    <row r="2021" spans="1:5" x14ac:dyDescent="0.2">
      <c r="A2021" s="28"/>
      <c r="B2021" s="28"/>
      <c r="C2021" s="28"/>
      <c r="D2021" s="28"/>
      <c r="E2021" s="16"/>
    </row>
    <row r="2022" spans="1:5" x14ac:dyDescent="0.2">
      <c r="A2022" s="28"/>
      <c r="B2022" s="28"/>
      <c r="C2022" s="28"/>
      <c r="D2022" s="28"/>
      <c r="E2022" s="16"/>
    </row>
    <row r="2023" spans="1:5" x14ac:dyDescent="0.2">
      <c r="A2023" s="28"/>
      <c r="B2023" s="28"/>
      <c r="C2023" s="28"/>
      <c r="D2023" s="28"/>
      <c r="E2023" s="16"/>
    </row>
    <row r="2024" spans="1:5" x14ac:dyDescent="0.2">
      <c r="A2024" s="28"/>
      <c r="B2024" s="28"/>
      <c r="C2024" s="28"/>
      <c r="D2024" s="28"/>
      <c r="E2024" s="16"/>
    </row>
    <row r="2025" spans="1:5" x14ac:dyDescent="0.2">
      <c r="A2025" s="28"/>
      <c r="B2025" s="28"/>
      <c r="C2025" s="28"/>
      <c r="D2025" s="28"/>
      <c r="E2025" s="16"/>
    </row>
    <row r="2026" spans="1:5" x14ac:dyDescent="0.2">
      <c r="A2026" s="28"/>
      <c r="B2026" s="28"/>
      <c r="C2026" s="28"/>
      <c r="D2026" s="28"/>
      <c r="E2026" s="16"/>
    </row>
    <row r="2027" spans="1:5" x14ac:dyDescent="0.2">
      <c r="A2027" s="28"/>
      <c r="B2027" s="28"/>
      <c r="C2027" s="28"/>
      <c r="D2027" s="28"/>
      <c r="E2027" s="16"/>
    </row>
    <row r="2028" spans="1:5" x14ac:dyDescent="0.2">
      <c r="A2028" s="28"/>
      <c r="B2028" s="28"/>
      <c r="C2028" s="28"/>
      <c r="D2028" s="28"/>
      <c r="E2028" s="16"/>
    </row>
    <row r="2029" spans="1:5" x14ac:dyDescent="0.2">
      <c r="A2029" s="28"/>
      <c r="B2029" s="28"/>
      <c r="C2029" s="28"/>
      <c r="D2029" s="28"/>
      <c r="E2029" s="16"/>
    </row>
    <row r="2030" spans="1:5" x14ac:dyDescent="0.2">
      <c r="A2030" s="28"/>
      <c r="B2030" s="28"/>
      <c r="C2030" s="28"/>
      <c r="D2030" s="28"/>
      <c r="E2030" s="16"/>
    </row>
    <row r="2031" spans="1:5" x14ac:dyDescent="0.2">
      <c r="A2031" s="28"/>
      <c r="B2031" s="28"/>
      <c r="C2031" s="28"/>
      <c r="D2031" s="28"/>
      <c r="E2031" s="16"/>
    </row>
    <row r="2032" spans="1:5" x14ac:dyDescent="0.2">
      <c r="A2032" s="28"/>
      <c r="B2032" s="28"/>
      <c r="C2032" s="28"/>
      <c r="D2032" s="28"/>
      <c r="E2032" s="16"/>
    </row>
    <row r="2033" spans="1:5" x14ac:dyDescent="0.2">
      <c r="A2033" s="28"/>
      <c r="B2033" s="28"/>
      <c r="C2033" s="28"/>
      <c r="D2033" s="28"/>
      <c r="E2033" s="16"/>
    </row>
    <row r="2034" spans="1:5" x14ac:dyDescent="0.2">
      <c r="A2034" s="28"/>
      <c r="B2034" s="28"/>
      <c r="C2034" s="28"/>
      <c r="D2034" s="28"/>
      <c r="E2034" s="16"/>
    </row>
    <row r="2035" spans="1:5" x14ac:dyDescent="0.2">
      <c r="A2035" s="28"/>
      <c r="B2035" s="28"/>
      <c r="C2035" s="28"/>
      <c r="D2035" s="28"/>
      <c r="E2035" s="16"/>
    </row>
    <row r="2036" spans="1:5" x14ac:dyDescent="0.2">
      <c r="A2036" s="28"/>
      <c r="B2036" s="28"/>
      <c r="C2036" s="28"/>
      <c r="D2036" s="28"/>
      <c r="E2036" s="16"/>
    </row>
    <row r="2037" spans="1:5" x14ac:dyDescent="0.2">
      <c r="A2037" s="28"/>
      <c r="B2037" s="28"/>
      <c r="C2037" s="28"/>
      <c r="D2037" s="28"/>
      <c r="E2037" s="16"/>
    </row>
    <row r="2038" spans="1:5" x14ac:dyDescent="0.2">
      <c r="A2038" s="28"/>
      <c r="B2038" s="28"/>
      <c r="C2038" s="28"/>
      <c r="D2038" s="28"/>
      <c r="E2038" s="16"/>
    </row>
    <row r="2039" spans="1:5" x14ac:dyDescent="0.2">
      <c r="A2039" s="28"/>
      <c r="B2039" s="28"/>
      <c r="C2039" s="28"/>
      <c r="D2039" s="28"/>
      <c r="E2039" s="16"/>
    </row>
    <row r="2040" spans="1:5" x14ac:dyDescent="0.2">
      <c r="A2040" s="28"/>
      <c r="B2040" s="28"/>
      <c r="C2040" s="28"/>
      <c r="D2040" s="28"/>
      <c r="E2040" s="16"/>
    </row>
    <row r="2041" spans="1:5" x14ac:dyDescent="0.2">
      <c r="A2041" s="28"/>
      <c r="B2041" s="28"/>
      <c r="C2041" s="28"/>
      <c r="D2041" s="28"/>
      <c r="E2041" s="16"/>
    </row>
    <row r="2042" spans="1:5" x14ac:dyDescent="0.2">
      <c r="A2042" s="28"/>
      <c r="B2042" s="28"/>
      <c r="C2042" s="28"/>
      <c r="D2042" s="28"/>
      <c r="E2042" s="16"/>
    </row>
    <row r="2043" spans="1:5" x14ac:dyDescent="0.2">
      <c r="A2043" s="28"/>
      <c r="B2043" s="28"/>
      <c r="C2043" s="28"/>
      <c r="D2043" s="28"/>
      <c r="E2043" s="16"/>
    </row>
    <row r="2044" spans="1:5" x14ac:dyDescent="0.2">
      <c r="A2044" s="28"/>
      <c r="B2044" s="28"/>
      <c r="C2044" s="28"/>
      <c r="D2044" s="28"/>
      <c r="E2044" s="16"/>
    </row>
    <row r="2045" spans="1:5" x14ac:dyDescent="0.2">
      <c r="A2045" s="28"/>
      <c r="B2045" s="28"/>
      <c r="C2045" s="28"/>
      <c r="D2045" s="28"/>
      <c r="E2045" s="16"/>
    </row>
    <row r="2046" spans="1:5" x14ac:dyDescent="0.2">
      <c r="A2046" s="28"/>
      <c r="B2046" s="28"/>
      <c r="C2046" s="28"/>
      <c r="D2046" s="28"/>
      <c r="E2046" s="16"/>
    </row>
    <row r="2047" spans="1:5" x14ac:dyDescent="0.2">
      <c r="A2047" s="28"/>
      <c r="B2047" s="28"/>
      <c r="C2047" s="28"/>
      <c r="D2047" s="28"/>
      <c r="E2047" s="16"/>
    </row>
    <row r="2048" spans="1:5" x14ac:dyDescent="0.2">
      <c r="A2048" s="28"/>
      <c r="B2048" s="28"/>
      <c r="C2048" s="28"/>
      <c r="D2048" s="28"/>
      <c r="E2048" s="16"/>
    </row>
    <row r="2049" spans="1:5" x14ac:dyDescent="0.2">
      <c r="A2049" s="28"/>
      <c r="B2049" s="28"/>
      <c r="C2049" s="28"/>
      <c r="D2049" s="28"/>
      <c r="E2049" s="16"/>
    </row>
    <row r="2050" spans="1:5" x14ac:dyDescent="0.2">
      <c r="A2050" s="28"/>
      <c r="B2050" s="28"/>
      <c r="C2050" s="28"/>
      <c r="D2050" s="28"/>
      <c r="E2050" s="16"/>
    </row>
    <row r="2051" spans="1:5" x14ac:dyDescent="0.2">
      <c r="A2051" s="28"/>
      <c r="B2051" s="28"/>
      <c r="C2051" s="28"/>
      <c r="D2051" s="28"/>
      <c r="E2051" s="16"/>
    </row>
    <row r="2052" spans="1:5" x14ac:dyDescent="0.2">
      <c r="A2052" s="28"/>
      <c r="B2052" s="28"/>
      <c r="C2052" s="28"/>
      <c r="D2052" s="28"/>
      <c r="E2052" s="16"/>
    </row>
    <row r="2053" spans="1:5" x14ac:dyDescent="0.2">
      <c r="A2053" s="28"/>
      <c r="B2053" s="28"/>
      <c r="C2053" s="28"/>
      <c r="D2053" s="28"/>
      <c r="E2053" s="16"/>
    </row>
    <row r="2054" spans="1:5" x14ac:dyDescent="0.2">
      <c r="A2054" s="28"/>
      <c r="B2054" s="28"/>
      <c r="C2054" s="28"/>
      <c r="D2054" s="28"/>
      <c r="E2054" s="16"/>
    </row>
    <row r="2055" spans="1:5" x14ac:dyDescent="0.2">
      <c r="A2055" s="28"/>
      <c r="B2055" s="28"/>
      <c r="C2055" s="28"/>
      <c r="D2055" s="28"/>
      <c r="E2055" s="16"/>
    </row>
    <row r="2056" spans="1:5" x14ac:dyDescent="0.2">
      <c r="A2056" s="28"/>
      <c r="B2056" s="28"/>
      <c r="C2056" s="28"/>
      <c r="D2056" s="28"/>
      <c r="E2056" s="16"/>
    </row>
    <row r="2057" spans="1:5" x14ac:dyDescent="0.2">
      <c r="A2057" s="28"/>
      <c r="B2057" s="28"/>
      <c r="C2057" s="28"/>
      <c r="D2057" s="28"/>
      <c r="E2057" s="16"/>
    </row>
    <row r="2058" spans="1:5" x14ac:dyDescent="0.2">
      <c r="A2058" s="28"/>
      <c r="B2058" s="28"/>
      <c r="C2058" s="28"/>
      <c r="D2058" s="28"/>
      <c r="E2058" s="16"/>
    </row>
    <row r="2059" spans="1:5" x14ac:dyDescent="0.2">
      <c r="A2059" s="28"/>
      <c r="B2059" s="28"/>
      <c r="C2059" s="28"/>
      <c r="D2059" s="28"/>
      <c r="E2059" s="16"/>
    </row>
    <row r="2060" spans="1:5" x14ac:dyDescent="0.2">
      <c r="A2060" s="28"/>
      <c r="B2060" s="28"/>
      <c r="C2060" s="28"/>
      <c r="D2060" s="28"/>
      <c r="E2060" s="16"/>
    </row>
    <row r="2061" spans="1:5" x14ac:dyDescent="0.2">
      <c r="A2061" s="28"/>
      <c r="B2061" s="28"/>
      <c r="C2061" s="28"/>
      <c r="D2061" s="28"/>
      <c r="E2061" s="16"/>
    </row>
    <row r="2062" spans="1:5" x14ac:dyDescent="0.2">
      <c r="A2062" s="28"/>
      <c r="B2062" s="28"/>
      <c r="C2062" s="28"/>
      <c r="D2062" s="28"/>
      <c r="E2062" s="16"/>
    </row>
    <row r="2063" spans="1:5" x14ac:dyDescent="0.2">
      <c r="A2063" s="28"/>
      <c r="B2063" s="28"/>
      <c r="C2063" s="28"/>
      <c r="D2063" s="28"/>
      <c r="E2063" s="16"/>
    </row>
    <row r="2064" spans="1:5" x14ac:dyDescent="0.2">
      <c r="A2064" s="28"/>
      <c r="B2064" s="28"/>
      <c r="C2064" s="28"/>
      <c r="D2064" s="28"/>
      <c r="E2064" s="16"/>
    </row>
    <row r="2065" spans="1:5" x14ac:dyDescent="0.2">
      <c r="A2065" s="28"/>
      <c r="B2065" s="28"/>
      <c r="C2065" s="28"/>
      <c r="D2065" s="28"/>
      <c r="E2065" s="16"/>
    </row>
    <row r="2066" spans="1:5" x14ac:dyDescent="0.2">
      <c r="A2066" s="28"/>
      <c r="B2066" s="28"/>
      <c r="C2066" s="28"/>
      <c r="D2066" s="28"/>
      <c r="E2066" s="16"/>
    </row>
    <row r="2067" spans="1:5" x14ac:dyDescent="0.2">
      <c r="A2067" s="28"/>
      <c r="B2067" s="28"/>
      <c r="C2067" s="28"/>
      <c r="D2067" s="28"/>
      <c r="E2067" s="16"/>
    </row>
    <row r="2068" spans="1:5" x14ac:dyDescent="0.2">
      <c r="A2068" s="28"/>
      <c r="B2068" s="28"/>
      <c r="C2068" s="28"/>
      <c r="D2068" s="28"/>
      <c r="E2068" s="16"/>
    </row>
    <row r="2069" spans="1:5" x14ac:dyDescent="0.2">
      <c r="A2069" s="28"/>
      <c r="B2069" s="28"/>
      <c r="C2069" s="28"/>
      <c r="D2069" s="28"/>
      <c r="E2069" s="16"/>
    </row>
    <row r="2070" spans="1:5" x14ac:dyDescent="0.2">
      <c r="A2070" s="28"/>
      <c r="B2070" s="28"/>
      <c r="C2070" s="28"/>
      <c r="D2070" s="28"/>
      <c r="E2070" s="16"/>
    </row>
    <row r="2071" spans="1:5" x14ac:dyDescent="0.2">
      <c r="A2071" s="28"/>
      <c r="B2071" s="28"/>
      <c r="C2071" s="28"/>
      <c r="D2071" s="28"/>
      <c r="E2071" s="16"/>
    </row>
    <row r="2072" spans="1:5" x14ac:dyDescent="0.2">
      <c r="A2072" s="28"/>
      <c r="B2072" s="28"/>
      <c r="C2072" s="28"/>
      <c r="D2072" s="28"/>
      <c r="E2072" s="16"/>
    </row>
    <row r="2073" spans="1:5" x14ac:dyDescent="0.2">
      <c r="A2073" s="28"/>
      <c r="B2073" s="28"/>
      <c r="C2073" s="28"/>
      <c r="D2073" s="28"/>
      <c r="E2073" s="16"/>
    </row>
    <row r="2074" spans="1:5" x14ac:dyDescent="0.2">
      <c r="A2074" s="28"/>
      <c r="B2074" s="28"/>
      <c r="C2074" s="28"/>
      <c r="D2074" s="28"/>
      <c r="E2074" s="16"/>
    </row>
    <row r="2075" spans="1:5" x14ac:dyDescent="0.2">
      <c r="A2075" s="28"/>
      <c r="B2075" s="28"/>
      <c r="C2075" s="28"/>
      <c r="D2075" s="28"/>
      <c r="E2075" s="16"/>
    </row>
    <row r="2076" spans="1:5" x14ac:dyDescent="0.2">
      <c r="A2076" s="28"/>
      <c r="B2076" s="28"/>
      <c r="C2076" s="28"/>
      <c r="D2076" s="28"/>
      <c r="E2076" s="16"/>
    </row>
    <row r="2077" spans="1:5" x14ac:dyDescent="0.2">
      <c r="A2077" s="28"/>
      <c r="B2077" s="28"/>
      <c r="C2077" s="28"/>
      <c r="D2077" s="28"/>
      <c r="E2077" s="16"/>
    </row>
    <row r="2078" spans="1:5" x14ac:dyDescent="0.2">
      <c r="A2078" s="28"/>
      <c r="B2078" s="28"/>
      <c r="C2078" s="28"/>
      <c r="D2078" s="28"/>
      <c r="E2078" s="16"/>
    </row>
    <row r="2079" spans="1:5" x14ac:dyDescent="0.2">
      <c r="A2079" s="28"/>
      <c r="B2079" s="28"/>
      <c r="C2079" s="28"/>
      <c r="D2079" s="28"/>
      <c r="E2079" s="16"/>
    </row>
    <row r="2080" spans="1:5" x14ac:dyDescent="0.2">
      <c r="A2080" s="28"/>
      <c r="B2080" s="28"/>
      <c r="C2080" s="28"/>
      <c r="D2080" s="28"/>
      <c r="E2080" s="16"/>
    </row>
    <row r="2081" spans="1:5" x14ac:dyDescent="0.2">
      <c r="A2081" s="28"/>
      <c r="B2081" s="28"/>
      <c r="C2081" s="28"/>
      <c r="D2081" s="28"/>
      <c r="E2081" s="16"/>
    </row>
    <row r="2082" spans="1:5" x14ac:dyDescent="0.2">
      <c r="A2082" s="28"/>
      <c r="B2082" s="28"/>
      <c r="C2082" s="28"/>
      <c r="D2082" s="28"/>
      <c r="E2082" s="16"/>
    </row>
    <row r="2083" spans="1:5" x14ac:dyDescent="0.2">
      <c r="A2083" s="28"/>
      <c r="B2083" s="28"/>
      <c r="C2083" s="28"/>
      <c r="D2083" s="28"/>
      <c r="E2083" s="16"/>
    </row>
    <row r="2084" spans="1:5" x14ac:dyDescent="0.2">
      <c r="A2084" s="28"/>
      <c r="B2084" s="28"/>
      <c r="C2084" s="28"/>
      <c r="D2084" s="28"/>
      <c r="E2084" s="16"/>
    </row>
    <row r="2085" spans="1:5" x14ac:dyDescent="0.2">
      <c r="A2085" s="28"/>
      <c r="B2085" s="28"/>
      <c r="C2085" s="28"/>
      <c r="D2085" s="28"/>
      <c r="E2085" s="16"/>
    </row>
    <row r="2086" spans="1:5" x14ac:dyDescent="0.2">
      <c r="A2086" s="28"/>
      <c r="B2086" s="28"/>
      <c r="C2086" s="28"/>
      <c r="D2086" s="28"/>
      <c r="E2086" s="16"/>
    </row>
    <row r="2087" spans="1:5" x14ac:dyDescent="0.2">
      <c r="A2087" s="28"/>
      <c r="B2087" s="28"/>
      <c r="C2087" s="28"/>
      <c r="D2087" s="28"/>
      <c r="E2087" s="16"/>
    </row>
    <row r="2088" spans="1:5" x14ac:dyDescent="0.2">
      <c r="A2088" s="28"/>
      <c r="B2088" s="28"/>
      <c r="C2088" s="28"/>
      <c r="D2088" s="28"/>
      <c r="E2088" s="16"/>
    </row>
    <row r="2089" spans="1:5" x14ac:dyDescent="0.2">
      <c r="A2089" s="28"/>
      <c r="B2089" s="28"/>
      <c r="C2089" s="28"/>
      <c r="D2089" s="28"/>
      <c r="E2089" s="16"/>
    </row>
    <row r="2090" spans="1:5" x14ac:dyDescent="0.2">
      <c r="A2090" s="28"/>
      <c r="B2090" s="28"/>
      <c r="C2090" s="28"/>
      <c r="D2090" s="28"/>
      <c r="E2090" s="16"/>
    </row>
    <row r="2091" spans="1:5" x14ac:dyDescent="0.2">
      <c r="A2091" s="28"/>
      <c r="B2091" s="28"/>
      <c r="C2091" s="28"/>
      <c r="D2091" s="28"/>
      <c r="E2091" s="16"/>
    </row>
    <row r="2092" spans="1:5" x14ac:dyDescent="0.2">
      <c r="A2092" s="28"/>
      <c r="B2092" s="28"/>
      <c r="C2092" s="28"/>
      <c r="D2092" s="28"/>
      <c r="E2092" s="16"/>
    </row>
    <row r="2093" spans="1:5" x14ac:dyDescent="0.2">
      <c r="A2093" s="28"/>
      <c r="B2093" s="28"/>
      <c r="C2093" s="28"/>
      <c r="D2093" s="28"/>
      <c r="E2093" s="16"/>
    </row>
    <row r="2094" spans="1:5" x14ac:dyDescent="0.2">
      <c r="A2094" s="28"/>
      <c r="B2094" s="28"/>
      <c r="C2094" s="28"/>
      <c r="D2094" s="28"/>
      <c r="E2094" s="16"/>
    </row>
    <row r="2095" spans="1:5" x14ac:dyDescent="0.2">
      <c r="A2095" s="28"/>
      <c r="B2095" s="28"/>
      <c r="C2095" s="28"/>
      <c r="D2095" s="28"/>
      <c r="E2095" s="16"/>
    </row>
    <row r="2096" spans="1:5" x14ac:dyDescent="0.2">
      <c r="A2096" s="28"/>
      <c r="B2096" s="28"/>
      <c r="C2096" s="28"/>
      <c r="D2096" s="28"/>
      <c r="E2096" s="16"/>
    </row>
    <row r="2097" spans="1:5" x14ac:dyDescent="0.2">
      <c r="A2097" s="28"/>
      <c r="B2097" s="28"/>
      <c r="C2097" s="28"/>
      <c r="D2097" s="28"/>
      <c r="E2097" s="16"/>
    </row>
    <row r="2098" spans="1:5" x14ac:dyDescent="0.2">
      <c r="A2098" s="28"/>
      <c r="B2098" s="28"/>
      <c r="C2098" s="28"/>
      <c r="D2098" s="28"/>
      <c r="E2098" s="16"/>
    </row>
    <row r="2099" spans="1:5" x14ac:dyDescent="0.2">
      <c r="A2099" s="28"/>
      <c r="B2099" s="28"/>
      <c r="C2099" s="28"/>
      <c r="D2099" s="28"/>
      <c r="E2099" s="16"/>
    </row>
    <row r="2100" spans="1:5" x14ac:dyDescent="0.2">
      <c r="A2100" s="28"/>
      <c r="B2100" s="28"/>
      <c r="C2100" s="28"/>
      <c r="D2100" s="28"/>
      <c r="E2100" s="16"/>
    </row>
    <row r="2101" spans="1:5" x14ac:dyDescent="0.2">
      <c r="A2101" s="28"/>
      <c r="B2101" s="28"/>
      <c r="C2101" s="28"/>
      <c r="D2101" s="28"/>
      <c r="E2101" s="16"/>
    </row>
    <row r="2102" spans="1:5" x14ac:dyDescent="0.2">
      <c r="A2102" s="28"/>
      <c r="B2102" s="28"/>
      <c r="C2102" s="28"/>
      <c r="D2102" s="28"/>
      <c r="E2102" s="16"/>
    </row>
    <row r="2103" spans="1:5" x14ac:dyDescent="0.2">
      <c r="A2103" s="28"/>
      <c r="B2103" s="28"/>
      <c r="C2103" s="28"/>
      <c r="D2103" s="28"/>
      <c r="E2103" s="16"/>
    </row>
    <row r="2104" spans="1:5" x14ac:dyDescent="0.2">
      <c r="A2104" s="28"/>
      <c r="B2104" s="28"/>
      <c r="C2104" s="28"/>
      <c r="D2104" s="28"/>
      <c r="E2104" s="16"/>
    </row>
    <row r="2105" spans="1:5" x14ac:dyDescent="0.2">
      <c r="A2105" s="28"/>
      <c r="B2105" s="28"/>
      <c r="C2105" s="28"/>
      <c r="D2105" s="28"/>
      <c r="E2105" s="16"/>
    </row>
    <row r="2106" spans="1:5" x14ac:dyDescent="0.2">
      <c r="A2106" s="28"/>
      <c r="B2106" s="28"/>
      <c r="C2106" s="28"/>
      <c r="D2106" s="28"/>
      <c r="E2106" s="16"/>
    </row>
    <row r="2107" spans="1:5" x14ac:dyDescent="0.2">
      <c r="A2107" s="28"/>
      <c r="B2107" s="28"/>
      <c r="C2107" s="28"/>
      <c r="D2107" s="28"/>
      <c r="E2107" s="16"/>
    </row>
    <row r="2108" spans="1:5" x14ac:dyDescent="0.2">
      <c r="A2108" s="28"/>
      <c r="B2108" s="28"/>
      <c r="C2108" s="28"/>
      <c r="D2108" s="28"/>
      <c r="E2108" s="16"/>
    </row>
    <row r="2109" spans="1:5" x14ac:dyDescent="0.2">
      <c r="A2109" s="28"/>
      <c r="B2109" s="28"/>
      <c r="C2109" s="28"/>
      <c r="D2109" s="28"/>
      <c r="E2109" s="16"/>
    </row>
    <row r="2110" spans="1:5" x14ac:dyDescent="0.2">
      <c r="A2110" s="28"/>
      <c r="B2110" s="28"/>
      <c r="C2110" s="28"/>
      <c r="D2110" s="28"/>
      <c r="E2110" s="16"/>
    </row>
    <row r="2111" spans="1:5" x14ac:dyDescent="0.2">
      <c r="A2111" s="28"/>
      <c r="B2111" s="28"/>
      <c r="C2111" s="28"/>
      <c r="D2111" s="28"/>
      <c r="E2111" s="16"/>
    </row>
    <row r="2112" spans="1:5" x14ac:dyDescent="0.2">
      <c r="A2112" s="28"/>
      <c r="B2112" s="28"/>
      <c r="C2112" s="28"/>
      <c r="D2112" s="28"/>
      <c r="E2112" s="16"/>
    </row>
    <row r="2113" spans="1:5" x14ac:dyDescent="0.2">
      <c r="A2113" s="28"/>
      <c r="B2113" s="28"/>
      <c r="C2113" s="28"/>
      <c r="D2113" s="28"/>
      <c r="E2113" s="16"/>
    </row>
    <row r="2114" spans="1:5" x14ac:dyDescent="0.2">
      <c r="A2114" s="28"/>
      <c r="B2114" s="28"/>
      <c r="C2114" s="28"/>
      <c r="D2114" s="28"/>
      <c r="E2114" s="16"/>
    </row>
    <row r="2115" spans="1:5" x14ac:dyDescent="0.2">
      <c r="A2115" s="28"/>
      <c r="B2115" s="28"/>
      <c r="C2115" s="28"/>
      <c r="D2115" s="28"/>
      <c r="E2115" s="16"/>
    </row>
    <row r="2116" spans="1:5" x14ac:dyDescent="0.2">
      <c r="A2116" s="28"/>
      <c r="B2116" s="28"/>
      <c r="C2116" s="28"/>
      <c r="D2116" s="28"/>
      <c r="E2116" s="16"/>
    </row>
    <row r="2117" spans="1:5" x14ac:dyDescent="0.2">
      <c r="A2117" s="28"/>
      <c r="B2117" s="28"/>
      <c r="C2117" s="28"/>
      <c r="D2117" s="28"/>
      <c r="E2117" s="16"/>
    </row>
    <row r="2118" spans="1:5" x14ac:dyDescent="0.2">
      <c r="A2118" s="28"/>
      <c r="B2118" s="28"/>
      <c r="C2118" s="28"/>
      <c r="D2118" s="28"/>
      <c r="E2118" s="16"/>
    </row>
    <row r="2119" spans="1:5" x14ac:dyDescent="0.2">
      <c r="A2119" s="28"/>
      <c r="B2119" s="28"/>
      <c r="C2119" s="28"/>
      <c r="D2119" s="28"/>
      <c r="E2119" s="16"/>
    </row>
    <row r="2120" spans="1:5" x14ac:dyDescent="0.2">
      <c r="A2120" s="28"/>
      <c r="B2120" s="28"/>
      <c r="C2120" s="28"/>
      <c r="D2120" s="28"/>
      <c r="E2120" s="16"/>
    </row>
    <row r="2121" spans="1:5" x14ac:dyDescent="0.2">
      <c r="A2121" s="28"/>
      <c r="B2121" s="28"/>
      <c r="C2121" s="28"/>
      <c r="D2121" s="28"/>
      <c r="E2121" s="16"/>
    </row>
    <row r="2122" spans="1:5" x14ac:dyDescent="0.2">
      <c r="A2122" s="28"/>
      <c r="B2122" s="28"/>
      <c r="C2122" s="28"/>
      <c r="D2122" s="28"/>
      <c r="E2122" s="16"/>
    </row>
    <row r="2123" spans="1:5" x14ac:dyDescent="0.2">
      <c r="A2123" s="28"/>
      <c r="B2123" s="28"/>
      <c r="C2123" s="28"/>
      <c r="D2123" s="28"/>
      <c r="E2123" s="16"/>
    </row>
    <row r="2124" spans="1:5" x14ac:dyDescent="0.2">
      <c r="A2124" s="28"/>
      <c r="B2124" s="28"/>
      <c r="C2124" s="28"/>
      <c r="D2124" s="28"/>
      <c r="E2124" s="16"/>
    </row>
    <row r="2125" spans="1:5" x14ac:dyDescent="0.2">
      <c r="A2125" s="28"/>
      <c r="B2125" s="28"/>
      <c r="C2125" s="28"/>
      <c r="D2125" s="28"/>
      <c r="E2125" s="16"/>
    </row>
    <row r="2126" spans="1:5" x14ac:dyDescent="0.2">
      <c r="A2126" s="28"/>
      <c r="B2126" s="28"/>
      <c r="C2126" s="28"/>
      <c r="D2126" s="28"/>
      <c r="E2126" s="16"/>
    </row>
    <row r="2127" spans="1:5" x14ac:dyDescent="0.2">
      <c r="A2127" s="28"/>
      <c r="B2127" s="28"/>
      <c r="C2127" s="28"/>
      <c r="D2127" s="28"/>
      <c r="E2127" s="16"/>
    </row>
    <row r="2128" spans="1:5" x14ac:dyDescent="0.2">
      <c r="A2128" s="28"/>
      <c r="B2128" s="28"/>
      <c r="C2128" s="28"/>
      <c r="D2128" s="28"/>
      <c r="E2128" s="16"/>
    </row>
    <row r="2129" spans="1:5" x14ac:dyDescent="0.2">
      <c r="A2129" s="28"/>
      <c r="B2129" s="28"/>
      <c r="C2129" s="28"/>
      <c r="D2129" s="28"/>
      <c r="E2129" s="16"/>
    </row>
    <row r="2130" spans="1:5" x14ac:dyDescent="0.2">
      <c r="A2130" s="28"/>
      <c r="B2130" s="28"/>
      <c r="C2130" s="28"/>
      <c r="D2130" s="28"/>
      <c r="E2130" s="16"/>
    </row>
    <row r="2131" spans="1:5" x14ac:dyDescent="0.2">
      <c r="A2131" s="28"/>
      <c r="B2131" s="28"/>
      <c r="C2131" s="28"/>
      <c r="D2131" s="28"/>
      <c r="E2131" s="16"/>
    </row>
    <row r="2132" spans="1:5" x14ac:dyDescent="0.2">
      <c r="A2132" s="28"/>
      <c r="B2132" s="28"/>
      <c r="C2132" s="28"/>
      <c r="D2132" s="28"/>
      <c r="E2132" s="16"/>
    </row>
    <row r="2133" spans="1:5" x14ac:dyDescent="0.2">
      <c r="A2133" s="28"/>
      <c r="B2133" s="28"/>
      <c r="C2133" s="28"/>
      <c r="D2133" s="28"/>
      <c r="E2133" s="16"/>
    </row>
    <row r="2134" spans="1:5" x14ac:dyDescent="0.2">
      <c r="A2134" s="28"/>
      <c r="B2134" s="28"/>
      <c r="C2134" s="28"/>
      <c r="D2134" s="28"/>
      <c r="E2134" s="16"/>
    </row>
    <row r="2135" spans="1:5" x14ac:dyDescent="0.2">
      <c r="A2135" s="28"/>
      <c r="B2135" s="28"/>
      <c r="C2135" s="28"/>
      <c r="D2135" s="28"/>
      <c r="E2135" s="16"/>
    </row>
    <row r="2136" spans="1:5" x14ac:dyDescent="0.2">
      <c r="A2136" s="28"/>
      <c r="B2136" s="28"/>
      <c r="C2136" s="28"/>
      <c r="D2136" s="28"/>
      <c r="E2136" s="16"/>
    </row>
    <row r="2137" spans="1:5" x14ac:dyDescent="0.2">
      <c r="A2137" s="28"/>
      <c r="B2137" s="28"/>
      <c r="C2137" s="28"/>
      <c r="D2137" s="28"/>
      <c r="E2137" s="16"/>
    </row>
    <row r="2138" spans="1:5" x14ac:dyDescent="0.2">
      <c r="A2138" s="28"/>
      <c r="B2138" s="28"/>
      <c r="C2138" s="28"/>
      <c r="D2138" s="28"/>
      <c r="E2138" s="16"/>
    </row>
    <row r="2139" spans="1:5" x14ac:dyDescent="0.2">
      <c r="A2139" s="28"/>
      <c r="B2139" s="28"/>
      <c r="C2139" s="28"/>
      <c r="D2139" s="28"/>
      <c r="E2139" s="16"/>
    </row>
    <row r="2140" spans="1:5" x14ac:dyDescent="0.2">
      <c r="A2140" s="28"/>
      <c r="B2140" s="28"/>
      <c r="C2140" s="28"/>
      <c r="D2140" s="28"/>
      <c r="E2140" s="16"/>
    </row>
    <row r="2141" spans="1:5" x14ac:dyDescent="0.2">
      <c r="A2141" s="28"/>
      <c r="B2141" s="28"/>
      <c r="C2141" s="28"/>
      <c r="D2141" s="28"/>
      <c r="E2141" s="16"/>
    </row>
    <row r="2142" spans="1:5" x14ac:dyDescent="0.2">
      <c r="A2142" s="28"/>
      <c r="B2142" s="28"/>
      <c r="C2142" s="28"/>
      <c r="D2142" s="28"/>
      <c r="E2142" s="16"/>
    </row>
    <row r="2143" spans="1:5" x14ac:dyDescent="0.2">
      <c r="A2143" s="28"/>
      <c r="B2143" s="28"/>
      <c r="C2143" s="28"/>
      <c r="D2143" s="28"/>
      <c r="E2143" s="16"/>
    </row>
    <row r="2144" spans="1:5" x14ac:dyDescent="0.2">
      <c r="A2144" s="28"/>
      <c r="B2144" s="28"/>
      <c r="C2144" s="28"/>
      <c r="D2144" s="28"/>
      <c r="E2144" s="16"/>
    </row>
    <row r="2145" spans="1:5" x14ac:dyDescent="0.2">
      <c r="A2145" s="28"/>
      <c r="B2145" s="28"/>
      <c r="C2145" s="28"/>
      <c r="D2145" s="28"/>
      <c r="E2145" s="16"/>
    </row>
    <row r="2146" spans="1:5" x14ac:dyDescent="0.2">
      <c r="A2146" s="28"/>
      <c r="B2146" s="28"/>
      <c r="C2146" s="28"/>
      <c r="D2146" s="28"/>
      <c r="E2146" s="16"/>
    </row>
    <row r="2147" spans="1:5" x14ac:dyDescent="0.2">
      <c r="A2147" s="28"/>
      <c r="B2147" s="28"/>
      <c r="C2147" s="28"/>
      <c r="D2147" s="28"/>
      <c r="E2147" s="16"/>
    </row>
    <row r="2148" spans="1:5" x14ac:dyDescent="0.2">
      <c r="A2148" s="28"/>
      <c r="B2148" s="28"/>
      <c r="C2148" s="28"/>
      <c r="D2148" s="28"/>
      <c r="E2148" s="16"/>
    </row>
    <row r="2149" spans="1:5" x14ac:dyDescent="0.2">
      <c r="A2149" s="28"/>
      <c r="B2149" s="28"/>
      <c r="C2149" s="28"/>
      <c r="D2149" s="28"/>
      <c r="E2149" s="16"/>
    </row>
    <row r="2150" spans="1:5" x14ac:dyDescent="0.2">
      <c r="A2150" s="28"/>
      <c r="B2150" s="28"/>
      <c r="C2150" s="28"/>
      <c r="D2150" s="28"/>
      <c r="E2150" s="16"/>
    </row>
    <row r="2151" spans="1:5" x14ac:dyDescent="0.2">
      <c r="A2151" s="28"/>
      <c r="B2151" s="28"/>
      <c r="C2151" s="28"/>
      <c r="D2151" s="28"/>
      <c r="E2151" s="16"/>
    </row>
    <row r="2152" spans="1:5" x14ac:dyDescent="0.2">
      <c r="A2152" s="28"/>
      <c r="B2152" s="28"/>
      <c r="C2152" s="28"/>
      <c r="D2152" s="28"/>
      <c r="E2152" s="16"/>
    </row>
    <row r="2153" spans="1:5" x14ac:dyDescent="0.2">
      <c r="A2153" s="28"/>
      <c r="B2153" s="28"/>
      <c r="C2153" s="28"/>
      <c r="D2153" s="28"/>
      <c r="E2153" s="16"/>
    </row>
    <row r="2154" spans="1:5" x14ac:dyDescent="0.2">
      <c r="A2154" s="28"/>
      <c r="B2154" s="28"/>
      <c r="C2154" s="28"/>
      <c r="D2154" s="28"/>
      <c r="E2154" s="16"/>
    </row>
    <row r="2155" spans="1:5" x14ac:dyDescent="0.2">
      <c r="A2155" s="28"/>
      <c r="B2155" s="28"/>
      <c r="C2155" s="28"/>
      <c r="D2155" s="28"/>
      <c r="E2155" s="16"/>
    </row>
    <row r="2156" spans="1:5" x14ac:dyDescent="0.2">
      <c r="A2156" s="28"/>
      <c r="B2156" s="28"/>
      <c r="C2156" s="28"/>
      <c r="D2156" s="28"/>
      <c r="E2156" s="16"/>
    </row>
    <row r="2157" spans="1:5" x14ac:dyDescent="0.2">
      <c r="A2157" s="28"/>
      <c r="B2157" s="28"/>
      <c r="C2157" s="28"/>
      <c r="D2157" s="28"/>
      <c r="E2157" s="16"/>
    </row>
    <row r="2158" spans="1:5" x14ac:dyDescent="0.2">
      <c r="A2158" s="28"/>
      <c r="B2158" s="28"/>
      <c r="C2158" s="28"/>
      <c r="D2158" s="28"/>
      <c r="E2158" s="16"/>
    </row>
    <row r="2159" spans="1:5" x14ac:dyDescent="0.2">
      <c r="A2159" s="28"/>
      <c r="B2159" s="28"/>
      <c r="C2159" s="28"/>
      <c r="D2159" s="28"/>
      <c r="E2159" s="16"/>
    </row>
    <row r="2160" spans="1:5" x14ac:dyDescent="0.2">
      <c r="A2160" s="28"/>
      <c r="B2160" s="28"/>
      <c r="C2160" s="28"/>
      <c r="D2160" s="28"/>
      <c r="E2160" s="16"/>
    </row>
    <row r="2161" spans="1:5" x14ac:dyDescent="0.2">
      <c r="A2161" s="28"/>
      <c r="B2161" s="28"/>
      <c r="C2161" s="28"/>
      <c r="D2161" s="28"/>
      <c r="E2161" s="16"/>
    </row>
    <row r="2162" spans="1:5" x14ac:dyDescent="0.2">
      <c r="A2162" s="28"/>
      <c r="B2162" s="28"/>
      <c r="C2162" s="28"/>
      <c r="D2162" s="28"/>
      <c r="E2162" s="16"/>
    </row>
    <row r="2163" spans="1:5" x14ac:dyDescent="0.2">
      <c r="A2163" s="28"/>
      <c r="B2163" s="28"/>
      <c r="C2163" s="28"/>
      <c r="D2163" s="28"/>
      <c r="E2163" s="16"/>
    </row>
    <row r="2164" spans="1:5" x14ac:dyDescent="0.2">
      <c r="A2164" s="28"/>
      <c r="B2164" s="28"/>
      <c r="C2164" s="28"/>
      <c r="D2164" s="28"/>
      <c r="E2164" s="16"/>
    </row>
    <row r="2165" spans="1:5" x14ac:dyDescent="0.2">
      <c r="A2165" s="28"/>
      <c r="B2165" s="28"/>
      <c r="C2165" s="28"/>
      <c r="D2165" s="28"/>
      <c r="E2165" s="16"/>
    </row>
    <row r="2166" spans="1:5" x14ac:dyDescent="0.2">
      <c r="A2166" s="28"/>
      <c r="B2166" s="28"/>
      <c r="C2166" s="28"/>
      <c r="D2166" s="28"/>
      <c r="E2166" s="16"/>
    </row>
    <row r="2167" spans="1:5" x14ac:dyDescent="0.2">
      <c r="A2167" s="28"/>
      <c r="B2167" s="28"/>
      <c r="C2167" s="28"/>
      <c r="D2167" s="28"/>
      <c r="E2167" s="16"/>
    </row>
    <row r="2168" spans="1:5" x14ac:dyDescent="0.2">
      <c r="A2168" s="28"/>
      <c r="B2168" s="28"/>
      <c r="C2168" s="28"/>
      <c r="D2168" s="28"/>
      <c r="E2168" s="16"/>
    </row>
    <row r="2169" spans="1:5" x14ac:dyDescent="0.2">
      <c r="A2169" s="28"/>
      <c r="B2169" s="28"/>
      <c r="C2169" s="28"/>
      <c r="D2169" s="28"/>
      <c r="E2169" s="16"/>
    </row>
    <row r="2170" spans="1:5" x14ac:dyDescent="0.2">
      <c r="A2170" s="28"/>
      <c r="B2170" s="28"/>
      <c r="C2170" s="28"/>
      <c r="D2170" s="28"/>
      <c r="E2170" s="16"/>
    </row>
    <row r="2171" spans="1:5" x14ac:dyDescent="0.2">
      <c r="A2171" s="28"/>
      <c r="B2171" s="28"/>
      <c r="C2171" s="28"/>
      <c r="D2171" s="28"/>
      <c r="E2171" s="16"/>
    </row>
    <row r="2172" spans="1:5" x14ac:dyDescent="0.2">
      <c r="A2172" s="28"/>
      <c r="B2172" s="28"/>
      <c r="C2172" s="28"/>
      <c r="D2172" s="28"/>
      <c r="E2172" s="16"/>
    </row>
    <row r="2173" spans="1:5" x14ac:dyDescent="0.2">
      <c r="A2173" s="28"/>
      <c r="B2173" s="28"/>
      <c r="C2173" s="28"/>
      <c r="D2173" s="28"/>
      <c r="E2173" s="16"/>
    </row>
    <row r="2174" spans="1:5" x14ac:dyDescent="0.2">
      <c r="A2174" s="28"/>
      <c r="B2174" s="28"/>
      <c r="C2174" s="28"/>
      <c r="D2174" s="28"/>
      <c r="E2174" s="16"/>
    </row>
    <row r="2175" spans="1:5" x14ac:dyDescent="0.2">
      <c r="A2175" s="28"/>
      <c r="B2175" s="28"/>
      <c r="C2175" s="28"/>
      <c r="D2175" s="28"/>
      <c r="E2175" s="16"/>
    </row>
    <row r="2176" spans="1:5" x14ac:dyDescent="0.2">
      <c r="A2176" s="28"/>
      <c r="B2176" s="28"/>
      <c r="C2176" s="28"/>
      <c r="D2176" s="28"/>
      <c r="E2176" s="16"/>
    </row>
    <row r="2177" spans="1:5" x14ac:dyDescent="0.2">
      <c r="A2177" s="28"/>
      <c r="B2177" s="28"/>
      <c r="C2177" s="28"/>
      <c r="D2177" s="28"/>
      <c r="E2177" s="16"/>
    </row>
    <row r="2178" spans="1:5" x14ac:dyDescent="0.2">
      <c r="A2178" s="28"/>
      <c r="B2178" s="28"/>
      <c r="C2178" s="28"/>
      <c r="D2178" s="28"/>
      <c r="E2178" s="16"/>
    </row>
    <row r="2179" spans="1:5" x14ac:dyDescent="0.2">
      <c r="A2179" s="28"/>
      <c r="B2179" s="28"/>
      <c r="C2179" s="28"/>
      <c r="D2179" s="28"/>
      <c r="E2179" s="16"/>
    </row>
    <row r="2180" spans="1:5" x14ac:dyDescent="0.2">
      <c r="A2180" s="28"/>
      <c r="B2180" s="28"/>
      <c r="C2180" s="28"/>
      <c r="D2180" s="28"/>
      <c r="E2180" s="16"/>
    </row>
    <row r="2181" spans="1:5" x14ac:dyDescent="0.2">
      <c r="A2181" s="28"/>
      <c r="B2181" s="28"/>
      <c r="C2181" s="28"/>
      <c r="D2181" s="28"/>
      <c r="E2181" s="16"/>
    </row>
    <row r="2182" spans="1:5" x14ac:dyDescent="0.2">
      <c r="A2182" s="28"/>
      <c r="B2182" s="28"/>
      <c r="C2182" s="28"/>
      <c r="D2182" s="28"/>
      <c r="E2182" s="16"/>
    </row>
    <row r="2183" spans="1:5" x14ac:dyDescent="0.2">
      <c r="A2183" s="28"/>
      <c r="B2183" s="28"/>
      <c r="C2183" s="28"/>
      <c r="D2183" s="28"/>
      <c r="E2183" s="16"/>
    </row>
    <row r="2184" spans="1:5" x14ac:dyDescent="0.2">
      <c r="A2184" s="28"/>
      <c r="B2184" s="28"/>
      <c r="C2184" s="28"/>
      <c r="D2184" s="28"/>
      <c r="E2184" s="16"/>
    </row>
    <row r="2185" spans="1:5" x14ac:dyDescent="0.2">
      <c r="A2185" s="28"/>
      <c r="B2185" s="28"/>
      <c r="C2185" s="28"/>
      <c r="D2185" s="28"/>
      <c r="E2185" s="16"/>
    </row>
    <row r="2186" spans="1:5" x14ac:dyDescent="0.2">
      <c r="A2186" s="28"/>
      <c r="B2186" s="28"/>
      <c r="C2186" s="28"/>
      <c r="D2186" s="28"/>
      <c r="E2186" s="16"/>
    </row>
    <row r="2187" spans="1:5" x14ac:dyDescent="0.2">
      <c r="A2187" s="28"/>
      <c r="B2187" s="28"/>
      <c r="C2187" s="28"/>
      <c r="D2187" s="28"/>
      <c r="E2187" s="16"/>
    </row>
    <row r="2188" spans="1:5" x14ac:dyDescent="0.2">
      <c r="A2188" s="28"/>
      <c r="B2188" s="28"/>
      <c r="C2188" s="28"/>
      <c r="D2188" s="28"/>
      <c r="E2188" s="16"/>
    </row>
    <row r="2189" spans="1:5" x14ac:dyDescent="0.2">
      <c r="A2189" s="28"/>
      <c r="B2189" s="28"/>
      <c r="C2189" s="28"/>
      <c r="D2189" s="28"/>
      <c r="E2189" s="16"/>
    </row>
    <row r="2190" spans="1:5" x14ac:dyDescent="0.2">
      <c r="A2190" s="28"/>
      <c r="B2190" s="28"/>
      <c r="C2190" s="28"/>
      <c r="D2190" s="28"/>
      <c r="E2190" s="16"/>
    </row>
    <row r="2191" spans="1:5" x14ac:dyDescent="0.2">
      <c r="A2191" s="28"/>
      <c r="B2191" s="28"/>
      <c r="C2191" s="28"/>
      <c r="D2191" s="28"/>
      <c r="E2191" s="16"/>
    </row>
    <row r="2192" spans="1:5" x14ac:dyDescent="0.2">
      <c r="A2192" s="28"/>
      <c r="B2192" s="28"/>
      <c r="C2192" s="28"/>
      <c r="D2192" s="28"/>
      <c r="E2192" s="16"/>
    </row>
    <row r="2193" spans="1:5" x14ac:dyDescent="0.2">
      <c r="A2193" s="28"/>
      <c r="B2193" s="28"/>
      <c r="C2193" s="28"/>
      <c r="D2193" s="28"/>
      <c r="E2193" s="16"/>
    </row>
    <row r="2194" spans="1:5" x14ac:dyDescent="0.2">
      <c r="A2194" s="28"/>
      <c r="B2194" s="28"/>
      <c r="C2194" s="28"/>
      <c r="D2194" s="28"/>
      <c r="E2194" s="16"/>
    </row>
    <row r="2195" spans="1:5" x14ac:dyDescent="0.2">
      <c r="A2195" s="28"/>
      <c r="B2195" s="28"/>
      <c r="C2195" s="28"/>
      <c r="D2195" s="28"/>
      <c r="E2195" s="16"/>
    </row>
    <row r="2196" spans="1:5" x14ac:dyDescent="0.2">
      <c r="A2196" s="28"/>
      <c r="B2196" s="28"/>
      <c r="C2196" s="28"/>
      <c r="D2196" s="28"/>
      <c r="E2196" s="16"/>
    </row>
    <row r="2197" spans="1:5" x14ac:dyDescent="0.2">
      <c r="A2197" s="28"/>
      <c r="B2197" s="28"/>
      <c r="C2197" s="28"/>
      <c r="D2197" s="28"/>
      <c r="E2197" s="16"/>
    </row>
    <row r="2198" spans="1:5" x14ac:dyDescent="0.2">
      <c r="A2198" s="28"/>
      <c r="B2198" s="28"/>
      <c r="C2198" s="28"/>
      <c r="D2198" s="28"/>
      <c r="E2198" s="16"/>
    </row>
    <row r="2199" spans="1:5" x14ac:dyDescent="0.2">
      <c r="A2199" s="28"/>
      <c r="B2199" s="28"/>
      <c r="C2199" s="28"/>
      <c r="D2199" s="28"/>
      <c r="E2199" s="16"/>
    </row>
    <row r="2200" spans="1:5" x14ac:dyDescent="0.2">
      <c r="A2200" s="28"/>
      <c r="B2200" s="28"/>
      <c r="C2200" s="28"/>
      <c r="D2200" s="28"/>
      <c r="E2200" s="16"/>
    </row>
    <row r="2201" spans="1:5" x14ac:dyDescent="0.2">
      <c r="A2201" s="28"/>
      <c r="B2201" s="28"/>
      <c r="C2201" s="28"/>
      <c r="D2201" s="28"/>
      <c r="E2201" s="16"/>
    </row>
    <row r="2202" spans="1:5" x14ac:dyDescent="0.2">
      <c r="A2202" s="28"/>
      <c r="B2202" s="28"/>
      <c r="C2202" s="28"/>
      <c r="D2202" s="28"/>
      <c r="E2202" s="16"/>
    </row>
    <row r="2203" spans="1:5" x14ac:dyDescent="0.2">
      <c r="A2203" s="28"/>
      <c r="B2203" s="28"/>
      <c r="C2203" s="28"/>
      <c r="D2203" s="28"/>
      <c r="E2203" s="16"/>
    </row>
    <row r="2204" spans="1:5" x14ac:dyDescent="0.2">
      <c r="A2204" s="28"/>
      <c r="B2204" s="28"/>
      <c r="C2204" s="28"/>
      <c r="D2204" s="28"/>
      <c r="E2204" s="16"/>
    </row>
    <row r="2205" spans="1:5" x14ac:dyDescent="0.2">
      <c r="A2205" s="28"/>
      <c r="B2205" s="28"/>
      <c r="C2205" s="28"/>
      <c r="D2205" s="28"/>
      <c r="E2205" s="16"/>
    </row>
    <row r="2206" spans="1:5" x14ac:dyDescent="0.2">
      <c r="A2206" s="28"/>
      <c r="B2206" s="28"/>
      <c r="C2206" s="28"/>
      <c r="D2206" s="28"/>
      <c r="E2206" s="16"/>
    </row>
    <row r="2207" spans="1:5" x14ac:dyDescent="0.2">
      <c r="A2207" s="28"/>
      <c r="B2207" s="28"/>
      <c r="C2207" s="28"/>
      <c r="D2207" s="28"/>
      <c r="E2207" s="16"/>
    </row>
    <row r="2208" spans="1:5" x14ac:dyDescent="0.2">
      <c r="A2208" s="28"/>
      <c r="B2208" s="28"/>
      <c r="C2208" s="28"/>
      <c r="D2208" s="28"/>
      <c r="E2208" s="16"/>
    </row>
    <row r="2209" spans="1:5" x14ac:dyDescent="0.2">
      <c r="A2209" s="28"/>
      <c r="B2209" s="28"/>
      <c r="C2209" s="28"/>
      <c r="D2209" s="28"/>
      <c r="E2209" s="16"/>
    </row>
    <row r="2210" spans="1:5" x14ac:dyDescent="0.2">
      <c r="A2210" s="28"/>
      <c r="B2210" s="28"/>
      <c r="C2210" s="28"/>
      <c r="D2210" s="28"/>
      <c r="E2210" s="16"/>
    </row>
    <row r="2211" spans="1:5" x14ac:dyDescent="0.2">
      <c r="A2211" s="28"/>
      <c r="B2211" s="28"/>
      <c r="C2211" s="28"/>
      <c r="D2211" s="28"/>
      <c r="E2211" s="16"/>
    </row>
    <row r="2212" spans="1:5" x14ac:dyDescent="0.2">
      <c r="A2212" s="28"/>
      <c r="B2212" s="28"/>
      <c r="C2212" s="28"/>
      <c r="D2212" s="28"/>
      <c r="E2212" s="16"/>
    </row>
    <row r="2213" spans="1:5" x14ac:dyDescent="0.2">
      <c r="A2213" s="28"/>
      <c r="B2213" s="28"/>
      <c r="C2213" s="28"/>
      <c r="D2213" s="28"/>
      <c r="E2213" s="16"/>
    </row>
    <row r="2214" spans="1:5" x14ac:dyDescent="0.2">
      <c r="A2214" s="28"/>
      <c r="B2214" s="28"/>
      <c r="C2214" s="28"/>
      <c r="D2214" s="28"/>
      <c r="E2214" s="16"/>
    </row>
    <row r="2215" spans="1:5" x14ac:dyDescent="0.2">
      <c r="A2215" s="28"/>
      <c r="B2215" s="28"/>
      <c r="C2215" s="28"/>
      <c r="D2215" s="28"/>
      <c r="E2215" s="16"/>
    </row>
    <row r="2216" spans="1:5" x14ac:dyDescent="0.2">
      <c r="A2216" s="28"/>
      <c r="B2216" s="28"/>
      <c r="C2216" s="28"/>
      <c r="D2216" s="28"/>
      <c r="E2216" s="16"/>
    </row>
    <row r="2217" spans="1:5" x14ac:dyDescent="0.2">
      <c r="A2217" s="28"/>
      <c r="B2217" s="28"/>
      <c r="C2217" s="28"/>
      <c r="D2217" s="28"/>
      <c r="E2217" s="16"/>
    </row>
    <row r="2218" spans="1:5" x14ac:dyDescent="0.2">
      <c r="A2218" s="28"/>
      <c r="B2218" s="28"/>
      <c r="C2218" s="28"/>
      <c r="D2218" s="28"/>
      <c r="E2218" s="16"/>
    </row>
    <row r="2219" spans="1:5" x14ac:dyDescent="0.2">
      <c r="A2219" s="28"/>
      <c r="B2219" s="28"/>
      <c r="C2219" s="28"/>
      <c r="D2219" s="28"/>
      <c r="E2219" s="16"/>
    </row>
    <row r="2220" spans="1:5" x14ac:dyDescent="0.2">
      <c r="A2220" s="28"/>
      <c r="B2220" s="28"/>
      <c r="C2220" s="28"/>
      <c r="D2220" s="28"/>
      <c r="E2220" s="16"/>
    </row>
    <row r="2221" spans="1:5" x14ac:dyDescent="0.2">
      <c r="A2221" s="28"/>
      <c r="B2221" s="28"/>
      <c r="C2221" s="28"/>
      <c r="D2221" s="28"/>
      <c r="E2221" s="16"/>
    </row>
    <row r="2222" spans="1:5" x14ac:dyDescent="0.2">
      <c r="A2222" s="28"/>
      <c r="B2222" s="28"/>
      <c r="C2222" s="28"/>
      <c r="D2222" s="28"/>
      <c r="E2222" s="16"/>
    </row>
    <row r="2223" spans="1:5" x14ac:dyDescent="0.2">
      <c r="A2223" s="28"/>
      <c r="B2223" s="28"/>
      <c r="C2223" s="28"/>
      <c r="D2223" s="28"/>
      <c r="E2223" s="16"/>
    </row>
    <row r="2224" spans="1:5" x14ac:dyDescent="0.2">
      <c r="A2224" s="28"/>
      <c r="B2224" s="28"/>
      <c r="C2224" s="28"/>
      <c r="D2224" s="28"/>
      <c r="E2224" s="16"/>
    </row>
    <row r="2225" spans="1:5" x14ac:dyDescent="0.2">
      <c r="A2225" s="28"/>
      <c r="B2225" s="28"/>
      <c r="C2225" s="28"/>
      <c r="D2225" s="28"/>
      <c r="E2225" s="16"/>
    </row>
    <row r="2226" spans="1:5" x14ac:dyDescent="0.2">
      <c r="A2226" s="28"/>
      <c r="B2226" s="28"/>
      <c r="C2226" s="28"/>
      <c r="D2226" s="28"/>
      <c r="E2226" s="16"/>
    </row>
    <row r="2227" spans="1:5" x14ac:dyDescent="0.2">
      <c r="A2227" s="28"/>
      <c r="B2227" s="28"/>
      <c r="C2227" s="28"/>
      <c r="D2227" s="28"/>
      <c r="E2227" s="16"/>
    </row>
    <row r="2228" spans="1:5" x14ac:dyDescent="0.2">
      <c r="A2228" s="28"/>
      <c r="B2228" s="28"/>
      <c r="C2228" s="28"/>
      <c r="D2228" s="28"/>
      <c r="E2228" s="16"/>
    </row>
    <row r="2229" spans="1:5" x14ac:dyDescent="0.2">
      <c r="A2229" s="28"/>
      <c r="B2229" s="28"/>
      <c r="C2229" s="28"/>
      <c r="D2229" s="28"/>
      <c r="E2229" s="16"/>
    </row>
    <row r="2230" spans="1:5" x14ac:dyDescent="0.2">
      <c r="A2230" s="28"/>
      <c r="B2230" s="28"/>
      <c r="C2230" s="28"/>
      <c r="D2230" s="28"/>
      <c r="E2230" s="16"/>
    </row>
    <row r="2231" spans="1:5" x14ac:dyDescent="0.2">
      <c r="A2231" s="28"/>
      <c r="B2231" s="28"/>
      <c r="C2231" s="28"/>
      <c r="D2231" s="28"/>
      <c r="E2231" s="16"/>
    </row>
    <row r="2232" spans="1:5" x14ac:dyDescent="0.2">
      <c r="A2232" s="28"/>
      <c r="B2232" s="28"/>
      <c r="C2232" s="28"/>
      <c r="D2232" s="28"/>
      <c r="E2232" s="16"/>
    </row>
    <row r="2233" spans="1:5" x14ac:dyDescent="0.2">
      <c r="A2233" s="28"/>
      <c r="B2233" s="28"/>
      <c r="C2233" s="28"/>
      <c r="D2233" s="28"/>
      <c r="E2233" s="16"/>
    </row>
    <row r="2234" spans="1:5" x14ac:dyDescent="0.2">
      <c r="A2234" s="28"/>
      <c r="B2234" s="28"/>
      <c r="C2234" s="28"/>
      <c r="D2234" s="28"/>
      <c r="E2234" s="16"/>
    </row>
    <row r="2235" spans="1:5" x14ac:dyDescent="0.2">
      <c r="A2235" s="28"/>
      <c r="B2235" s="28"/>
      <c r="C2235" s="28"/>
      <c r="D2235" s="28"/>
      <c r="E2235" s="16"/>
    </row>
    <row r="2236" spans="1:5" x14ac:dyDescent="0.2">
      <c r="A2236" s="28"/>
      <c r="B2236" s="28"/>
      <c r="C2236" s="28"/>
      <c r="D2236" s="28"/>
      <c r="E2236" s="16"/>
    </row>
    <row r="2237" spans="1:5" x14ac:dyDescent="0.2">
      <c r="A2237" s="28"/>
      <c r="B2237" s="28"/>
      <c r="C2237" s="28"/>
      <c r="D2237" s="28"/>
      <c r="E2237" s="16"/>
    </row>
    <row r="2238" spans="1:5" x14ac:dyDescent="0.2">
      <c r="A2238" s="28"/>
      <c r="B2238" s="28"/>
      <c r="C2238" s="28"/>
      <c r="D2238" s="28"/>
      <c r="E2238" s="16"/>
    </row>
    <row r="2239" spans="1:5" x14ac:dyDescent="0.2">
      <c r="A2239" s="28"/>
      <c r="B2239" s="28"/>
      <c r="C2239" s="28"/>
      <c r="D2239" s="28"/>
      <c r="E2239" s="16"/>
    </row>
    <row r="2240" spans="1:5" x14ac:dyDescent="0.2">
      <c r="A2240" s="28"/>
      <c r="B2240" s="28"/>
      <c r="C2240" s="28"/>
      <c r="D2240" s="28"/>
      <c r="E2240" s="16"/>
    </row>
    <row r="2241" spans="1:5" x14ac:dyDescent="0.2">
      <c r="A2241" s="28"/>
      <c r="B2241" s="28"/>
      <c r="C2241" s="28"/>
      <c r="D2241" s="28"/>
      <c r="E2241" s="16"/>
    </row>
    <row r="2242" spans="1:5" x14ac:dyDescent="0.2">
      <c r="A2242" s="28"/>
      <c r="B2242" s="28"/>
      <c r="C2242" s="28"/>
      <c r="D2242" s="28"/>
      <c r="E2242" s="16"/>
    </row>
    <row r="2243" spans="1:5" x14ac:dyDescent="0.2">
      <c r="A2243" s="28"/>
      <c r="B2243" s="28"/>
      <c r="C2243" s="28"/>
      <c r="D2243" s="28"/>
      <c r="E2243" s="16"/>
    </row>
    <row r="2244" spans="1:5" x14ac:dyDescent="0.2">
      <c r="A2244" s="28"/>
      <c r="B2244" s="28"/>
      <c r="C2244" s="28"/>
      <c r="D2244" s="28"/>
      <c r="E2244" s="16"/>
    </row>
    <row r="2245" spans="1:5" x14ac:dyDescent="0.2">
      <c r="A2245" s="28"/>
      <c r="B2245" s="28"/>
      <c r="C2245" s="28"/>
      <c r="D2245" s="28"/>
      <c r="E2245" s="16"/>
    </row>
    <row r="2246" spans="1:5" x14ac:dyDescent="0.2">
      <c r="A2246" s="28"/>
      <c r="B2246" s="28"/>
      <c r="C2246" s="28"/>
      <c r="D2246" s="28"/>
      <c r="E2246" s="16"/>
    </row>
    <row r="2247" spans="1:5" x14ac:dyDescent="0.2">
      <c r="A2247" s="28"/>
      <c r="B2247" s="28"/>
      <c r="C2247" s="28"/>
      <c r="D2247" s="28"/>
      <c r="E2247" s="16"/>
    </row>
    <row r="2248" spans="1:5" x14ac:dyDescent="0.2">
      <c r="A2248" s="28"/>
      <c r="B2248" s="28"/>
      <c r="C2248" s="28"/>
      <c r="D2248" s="28"/>
      <c r="E2248" s="16"/>
    </row>
    <row r="2249" spans="1:5" x14ac:dyDescent="0.2">
      <c r="A2249" s="28"/>
      <c r="B2249" s="28"/>
      <c r="C2249" s="28"/>
      <c r="D2249" s="28"/>
      <c r="E2249" s="16"/>
    </row>
    <row r="2250" spans="1:5" x14ac:dyDescent="0.2">
      <c r="A2250" s="28"/>
      <c r="B2250" s="28"/>
      <c r="C2250" s="28"/>
      <c r="D2250" s="28"/>
      <c r="E2250" s="16"/>
    </row>
    <row r="2251" spans="1:5" x14ac:dyDescent="0.2">
      <c r="A2251" s="28"/>
      <c r="B2251" s="28"/>
      <c r="C2251" s="28"/>
      <c r="D2251" s="28"/>
      <c r="E2251" s="16"/>
    </row>
    <row r="2252" spans="1:5" x14ac:dyDescent="0.2">
      <c r="A2252" s="28"/>
      <c r="B2252" s="28"/>
      <c r="C2252" s="28"/>
      <c r="D2252" s="28"/>
      <c r="E2252" s="16"/>
    </row>
    <row r="2253" spans="1:5" x14ac:dyDescent="0.2">
      <c r="A2253" s="28"/>
      <c r="B2253" s="28"/>
      <c r="C2253" s="28"/>
      <c r="D2253" s="28"/>
      <c r="E2253" s="16"/>
    </row>
    <row r="2254" spans="1:5" x14ac:dyDescent="0.2">
      <c r="A2254" s="28"/>
      <c r="B2254" s="28"/>
      <c r="C2254" s="28"/>
      <c r="D2254" s="28"/>
      <c r="E2254" s="16"/>
    </row>
    <row r="2255" spans="1:5" x14ac:dyDescent="0.2">
      <c r="A2255" s="28"/>
      <c r="B2255" s="28"/>
      <c r="C2255" s="28"/>
      <c r="D2255" s="28"/>
      <c r="E2255" s="16"/>
    </row>
    <row r="2256" spans="1:5" x14ac:dyDescent="0.2">
      <c r="A2256" s="28"/>
      <c r="B2256" s="28"/>
      <c r="C2256" s="28"/>
      <c r="D2256" s="28"/>
      <c r="E2256" s="16"/>
    </row>
    <row r="2257" spans="1:5" x14ac:dyDescent="0.2">
      <c r="A2257" s="28"/>
      <c r="B2257" s="28"/>
      <c r="C2257" s="28"/>
      <c r="D2257" s="28"/>
      <c r="E2257" s="16"/>
    </row>
    <row r="2258" spans="1:5" x14ac:dyDescent="0.2">
      <c r="A2258" s="28"/>
      <c r="B2258" s="28"/>
      <c r="C2258" s="28"/>
      <c r="D2258" s="28"/>
      <c r="E2258" s="16"/>
    </row>
    <row r="2259" spans="1:5" x14ac:dyDescent="0.2">
      <c r="A2259" s="28"/>
      <c r="B2259" s="28"/>
      <c r="C2259" s="28"/>
      <c r="D2259" s="28"/>
      <c r="E2259" s="16"/>
    </row>
    <row r="2260" spans="1:5" x14ac:dyDescent="0.2">
      <c r="A2260" s="28"/>
      <c r="B2260" s="28"/>
      <c r="C2260" s="28"/>
      <c r="D2260" s="28"/>
      <c r="E2260" s="16"/>
    </row>
    <row r="2261" spans="1:5" x14ac:dyDescent="0.2">
      <c r="A2261" s="28"/>
      <c r="B2261" s="28"/>
      <c r="C2261" s="28"/>
      <c r="D2261" s="28"/>
      <c r="E2261" s="16"/>
    </row>
    <row r="2262" spans="1:5" x14ac:dyDescent="0.2">
      <c r="A2262" s="28"/>
      <c r="B2262" s="28"/>
      <c r="C2262" s="28"/>
      <c r="D2262" s="28"/>
      <c r="E2262" s="16"/>
    </row>
    <row r="2263" spans="1:5" x14ac:dyDescent="0.2">
      <c r="A2263" s="28"/>
      <c r="B2263" s="28"/>
      <c r="C2263" s="28"/>
      <c r="D2263" s="28"/>
      <c r="E2263" s="16"/>
    </row>
    <row r="2264" spans="1:5" x14ac:dyDescent="0.2">
      <c r="A2264" s="28"/>
      <c r="B2264" s="28"/>
      <c r="C2264" s="28"/>
      <c r="D2264" s="28"/>
      <c r="E2264" s="16"/>
    </row>
    <row r="2265" spans="1:5" x14ac:dyDescent="0.2">
      <c r="A2265" s="28"/>
      <c r="B2265" s="28"/>
      <c r="C2265" s="28"/>
      <c r="D2265" s="28"/>
      <c r="E2265" s="16"/>
    </row>
    <row r="2266" spans="1:5" x14ac:dyDescent="0.2">
      <c r="A2266" s="28"/>
      <c r="B2266" s="28"/>
      <c r="C2266" s="28"/>
      <c r="D2266" s="28"/>
      <c r="E2266" s="16"/>
    </row>
    <row r="2267" spans="1:5" x14ac:dyDescent="0.2">
      <c r="A2267" s="28"/>
      <c r="B2267" s="28"/>
      <c r="C2267" s="28"/>
      <c r="D2267" s="28"/>
      <c r="E2267" s="16"/>
    </row>
    <row r="2268" spans="1:5" x14ac:dyDescent="0.2">
      <c r="A2268" s="28"/>
      <c r="B2268" s="28"/>
      <c r="C2268" s="28"/>
      <c r="D2268" s="28"/>
      <c r="E2268" s="16"/>
    </row>
    <row r="2269" spans="1:5" x14ac:dyDescent="0.2">
      <c r="A2269" s="28"/>
      <c r="B2269" s="28"/>
      <c r="C2269" s="28"/>
      <c r="D2269" s="28"/>
      <c r="E2269" s="16"/>
    </row>
    <row r="2270" spans="1:5" x14ac:dyDescent="0.2">
      <c r="A2270" s="28"/>
      <c r="B2270" s="28"/>
      <c r="C2270" s="28"/>
      <c r="D2270" s="28"/>
      <c r="E2270" s="16"/>
    </row>
    <row r="2271" spans="1:5" x14ac:dyDescent="0.2">
      <c r="A2271" s="28"/>
      <c r="B2271" s="28"/>
      <c r="C2271" s="28"/>
      <c r="D2271" s="28"/>
      <c r="E2271" s="16"/>
    </row>
    <row r="2272" spans="1:5" x14ac:dyDescent="0.2">
      <c r="A2272" s="28"/>
      <c r="B2272" s="28"/>
      <c r="C2272" s="28"/>
      <c r="D2272" s="28"/>
      <c r="E2272" s="16"/>
    </row>
    <row r="2273" spans="1:5" x14ac:dyDescent="0.2">
      <c r="A2273" s="28"/>
      <c r="B2273" s="28"/>
      <c r="C2273" s="28"/>
      <c r="D2273" s="28"/>
      <c r="E2273" s="16"/>
    </row>
    <row r="2274" spans="1:5" x14ac:dyDescent="0.2">
      <c r="A2274" s="28"/>
      <c r="B2274" s="28"/>
      <c r="C2274" s="28"/>
      <c r="D2274" s="28"/>
      <c r="E2274" s="16"/>
    </row>
    <row r="2275" spans="1:5" x14ac:dyDescent="0.2">
      <c r="A2275" s="28"/>
      <c r="B2275" s="28"/>
      <c r="C2275" s="28"/>
      <c r="D2275" s="28"/>
      <c r="E2275" s="16"/>
    </row>
    <row r="2276" spans="1:5" x14ac:dyDescent="0.2">
      <c r="A2276" s="28"/>
      <c r="B2276" s="28"/>
      <c r="C2276" s="28"/>
      <c r="D2276" s="28"/>
      <c r="E2276" s="16"/>
    </row>
    <row r="2277" spans="1:5" x14ac:dyDescent="0.2">
      <c r="A2277" s="28"/>
      <c r="B2277" s="28"/>
      <c r="C2277" s="28"/>
      <c r="D2277" s="28"/>
      <c r="E2277" s="16"/>
    </row>
    <row r="2278" spans="1:5" x14ac:dyDescent="0.2">
      <c r="A2278" s="28"/>
      <c r="B2278" s="28"/>
      <c r="C2278" s="28"/>
      <c r="D2278" s="28"/>
      <c r="E2278" s="16"/>
    </row>
    <row r="2279" spans="1:5" x14ac:dyDescent="0.2">
      <c r="A2279" s="28"/>
      <c r="B2279" s="28"/>
      <c r="C2279" s="28"/>
      <c r="D2279" s="28"/>
      <c r="E2279" s="16"/>
    </row>
    <row r="2280" spans="1:5" x14ac:dyDescent="0.2">
      <c r="A2280" s="28"/>
      <c r="B2280" s="28"/>
      <c r="C2280" s="28"/>
      <c r="D2280" s="28"/>
      <c r="E2280" s="16"/>
    </row>
    <row r="2281" spans="1:5" x14ac:dyDescent="0.2">
      <c r="A2281" s="28"/>
      <c r="B2281" s="28"/>
      <c r="C2281" s="28"/>
      <c r="D2281" s="28"/>
      <c r="E2281" s="16"/>
    </row>
    <row r="2282" spans="1:5" x14ac:dyDescent="0.2">
      <c r="A2282" s="28"/>
      <c r="B2282" s="28"/>
      <c r="C2282" s="28"/>
      <c r="D2282" s="28"/>
      <c r="E2282" s="16"/>
    </row>
    <row r="2283" spans="1:5" x14ac:dyDescent="0.2">
      <c r="A2283" s="28"/>
      <c r="B2283" s="28"/>
      <c r="C2283" s="28"/>
      <c r="D2283" s="28"/>
      <c r="E2283" s="16"/>
    </row>
    <row r="2284" spans="1:5" x14ac:dyDescent="0.2">
      <c r="A2284" s="28"/>
      <c r="B2284" s="28"/>
      <c r="C2284" s="28"/>
      <c r="D2284" s="28"/>
      <c r="E2284" s="16"/>
    </row>
    <row r="2285" spans="1:5" x14ac:dyDescent="0.2">
      <c r="A2285" s="28"/>
      <c r="B2285" s="28"/>
      <c r="C2285" s="28"/>
      <c r="D2285" s="28"/>
      <c r="E2285" s="16"/>
    </row>
    <row r="2286" spans="1:5" x14ac:dyDescent="0.2">
      <c r="A2286" s="28"/>
      <c r="B2286" s="28"/>
      <c r="C2286" s="28"/>
      <c r="D2286" s="28"/>
      <c r="E2286" s="16"/>
    </row>
    <row r="2287" spans="1:5" x14ac:dyDescent="0.2">
      <c r="A2287" s="28"/>
      <c r="B2287" s="28"/>
      <c r="C2287" s="28"/>
      <c r="D2287" s="28"/>
      <c r="E2287" s="16"/>
    </row>
    <row r="2288" spans="1:5" x14ac:dyDescent="0.2">
      <c r="A2288" s="28"/>
      <c r="B2288" s="28"/>
      <c r="C2288" s="28"/>
      <c r="D2288" s="28"/>
      <c r="E2288" s="16"/>
    </row>
    <row r="2289" spans="1:5" x14ac:dyDescent="0.2">
      <c r="A2289" s="28"/>
      <c r="B2289" s="28"/>
      <c r="C2289" s="28"/>
      <c r="D2289" s="28"/>
      <c r="E2289" s="16"/>
    </row>
    <row r="2290" spans="1:5" x14ac:dyDescent="0.2">
      <c r="A2290" s="28"/>
      <c r="B2290" s="28"/>
      <c r="C2290" s="28"/>
      <c r="D2290" s="28"/>
      <c r="E2290" s="16"/>
    </row>
    <row r="2291" spans="1:5" x14ac:dyDescent="0.2">
      <c r="A2291" s="28"/>
      <c r="B2291" s="28"/>
      <c r="C2291" s="28"/>
      <c r="D2291" s="28"/>
      <c r="E2291" s="16"/>
    </row>
    <row r="2292" spans="1:5" x14ac:dyDescent="0.2">
      <c r="A2292" s="28"/>
      <c r="B2292" s="28"/>
      <c r="C2292" s="28"/>
      <c r="D2292" s="28"/>
      <c r="E2292" s="16"/>
    </row>
    <row r="2293" spans="1:5" x14ac:dyDescent="0.2">
      <c r="A2293" s="28"/>
      <c r="B2293" s="28"/>
      <c r="C2293" s="28"/>
      <c r="D2293" s="28"/>
      <c r="E2293" s="16"/>
    </row>
    <row r="2294" spans="1:5" x14ac:dyDescent="0.2">
      <c r="A2294" s="28"/>
      <c r="B2294" s="28"/>
      <c r="C2294" s="28"/>
      <c r="D2294" s="28"/>
      <c r="E2294" s="16"/>
    </row>
    <row r="2295" spans="1:5" x14ac:dyDescent="0.2">
      <c r="A2295" s="28"/>
      <c r="B2295" s="28"/>
      <c r="C2295" s="28"/>
      <c r="D2295" s="28"/>
      <c r="E2295" s="16"/>
    </row>
    <row r="2296" spans="1:5" x14ac:dyDescent="0.2">
      <c r="A2296" s="28"/>
      <c r="B2296" s="28"/>
      <c r="C2296" s="28"/>
      <c r="D2296" s="28"/>
      <c r="E2296" s="16"/>
    </row>
    <row r="2297" spans="1:5" x14ac:dyDescent="0.2">
      <c r="A2297" s="28"/>
      <c r="B2297" s="28"/>
      <c r="C2297" s="28"/>
      <c r="D2297" s="28"/>
      <c r="E2297" s="16"/>
    </row>
    <row r="2298" spans="1:5" x14ac:dyDescent="0.2">
      <c r="A2298" s="28"/>
      <c r="B2298" s="28"/>
      <c r="C2298" s="28"/>
      <c r="D2298" s="28"/>
      <c r="E2298" s="16"/>
    </row>
    <row r="2299" spans="1:5" x14ac:dyDescent="0.2">
      <c r="A2299" s="28"/>
      <c r="B2299" s="28"/>
      <c r="C2299" s="28"/>
      <c r="D2299" s="28"/>
      <c r="E2299" s="16"/>
    </row>
    <row r="2300" spans="1:5" x14ac:dyDescent="0.2">
      <c r="A2300" s="28"/>
      <c r="B2300" s="28"/>
      <c r="C2300" s="28"/>
      <c r="D2300" s="28"/>
      <c r="E2300" s="16"/>
    </row>
    <row r="2301" spans="1:5" x14ac:dyDescent="0.2">
      <c r="A2301" s="28"/>
      <c r="B2301" s="28"/>
      <c r="C2301" s="28"/>
      <c r="D2301" s="28"/>
      <c r="E2301" s="16"/>
    </row>
    <row r="2302" spans="1:5" x14ac:dyDescent="0.2">
      <c r="A2302" s="28"/>
      <c r="B2302" s="28"/>
      <c r="C2302" s="28"/>
      <c r="D2302" s="28"/>
      <c r="E2302" s="16"/>
    </row>
    <row r="2303" spans="1:5" x14ac:dyDescent="0.2">
      <c r="A2303" s="28"/>
      <c r="B2303" s="28"/>
      <c r="C2303" s="28"/>
      <c r="D2303" s="28"/>
      <c r="E2303" s="16"/>
    </row>
    <row r="2304" spans="1:5" x14ac:dyDescent="0.2">
      <c r="A2304" s="28"/>
      <c r="B2304" s="28"/>
      <c r="C2304" s="28"/>
      <c r="D2304" s="28"/>
      <c r="E2304" s="16"/>
    </row>
    <row r="2305" spans="1:5" x14ac:dyDescent="0.2">
      <c r="A2305" s="28"/>
      <c r="B2305" s="28"/>
      <c r="C2305" s="28"/>
      <c r="D2305" s="28"/>
      <c r="E2305" s="16"/>
    </row>
    <row r="2306" spans="1:5" x14ac:dyDescent="0.2">
      <c r="A2306" s="28"/>
      <c r="B2306" s="28"/>
      <c r="C2306" s="28"/>
      <c r="D2306" s="28"/>
      <c r="E2306" s="16"/>
    </row>
    <row r="2307" spans="1:5" x14ac:dyDescent="0.2">
      <c r="A2307" s="28"/>
      <c r="B2307" s="28"/>
      <c r="C2307" s="28"/>
      <c r="D2307" s="28"/>
      <c r="E2307" s="16"/>
    </row>
    <row r="2308" spans="1:5" x14ac:dyDescent="0.2">
      <c r="A2308" s="28"/>
      <c r="B2308" s="28"/>
      <c r="C2308" s="28"/>
      <c r="D2308" s="28"/>
      <c r="E2308" s="16"/>
    </row>
    <row r="2309" spans="1:5" x14ac:dyDescent="0.2">
      <c r="A2309" s="28"/>
      <c r="B2309" s="28"/>
      <c r="C2309" s="28"/>
      <c r="D2309" s="28"/>
      <c r="E2309" s="16"/>
    </row>
    <row r="2310" spans="1:5" x14ac:dyDescent="0.2">
      <c r="A2310" s="28"/>
      <c r="B2310" s="28"/>
      <c r="C2310" s="28"/>
      <c r="D2310" s="28"/>
      <c r="E2310" s="16"/>
    </row>
    <row r="2311" spans="1:5" x14ac:dyDescent="0.2">
      <c r="A2311" s="28"/>
      <c r="B2311" s="28"/>
      <c r="C2311" s="28"/>
      <c r="D2311" s="28"/>
      <c r="E2311" s="16"/>
    </row>
    <row r="2312" spans="1:5" x14ac:dyDescent="0.2">
      <c r="A2312" s="28"/>
      <c r="B2312" s="28"/>
      <c r="C2312" s="28"/>
      <c r="D2312" s="28"/>
      <c r="E2312" s="16"/>
    </row>
    <row r="2313" spans="1:5" x14ac:dyDescent="0.2">
      <c r="A2313" s="28"/>
      <c r="B2313" s="28"/>
      <c r="C2313" s="28"/>
      <c r="D2313" s="28"/>
      <c r="E2313" s="16"/>
    </row>
    <row r="2314" spans="1:5" x14ac:dyDescent="0.2">
      <c r="A2314" s="28"/>
      <c r="B2314" s="28"/>
      <c r="C2314" s="28"/>
      <c r="D2314" s="28"/>
      <c r="E2314" s="16"/>
    </row>
    <row r="2315" spans="1:5" x14ac:dyDescent="0.2">
      <c r="A2315" s="28"/>
      <c r="B2315" s="28"/>
      <c r="C2315" s="28"/>
      <c r="D2315" s="28"/>
      <c r="E2315" s="16"/>
    </row>
    <row r="2316" spans="1:5" x14ac:dyDescent="0.2">
      <c r="A2316" s="28"/>
      <c r="B2316" s="28"/>
      <c r="C2316" s="28"/>
      <c r="D2316" s="28"/>
      <c r="E2316" s="16"/>
    </row>
    <row r="2317" spans="1:5" x14ac:dyDescent="0.2">
      <c r="A2317" s="28"/>
      <c r="B2317" s="28"/>
      <c r="C2317" s="28"/>
      <c r="D2317" s="28"/>
      <c r="E2317" s="16"/>
    </row>
    <row r="2318" spans="1:5" x14ac:dyDescent="0.2">
      <c r="A2318" s="28"/>
      <c r="B2318" s="28"/>
      <c r="C2318" s="28"/>
      <c r="D2318" s="28"/>
      <c r="E2318" s="16"/>
    </row>
    <row r="2319" spans="1:5" x14ac:dyDescent="0.2">
      <c r="A2319" s="28"/>
      <c r="B2319" s="28"/>
      <c r="C2319" s="28"/>
      <c r="D2319" s="28"/>
      <c r="E2319" s="16"/>
    </row>
    <row r="2320" spans="1:5" x14ac:dyDescent="0.2">
      <c r="A2320" s="28"/>
      <c r="B2320" s="28"/>
      <c r="C2320" s="28"/>
      <c r="D2320" s="28"/>
      <c r="E2320" s="16"/>
    </row>
    <row r="2321" spans="1:5" x14ac:dyDescent="0.2">
      <c r="A2321" s="28"/>
      <c r="B2321" s="28"/>
      <c r="C2321" s="28"/>
      <c r="D2321" s="28"/>
      <c r="E2321" s="16"/>
    </row>
    <row r="2322" spans="1:5" x14ac:dyDescent="0.2">
      <c r="A2322" s="28"/>
      <c r="B2322" s="28"/>
      <c r="C2322" s="28"/>
      <c r="D2322" s="28"/>
      <c r="E2322" s="16"/>
    </row>
    <row r="2323" spans="1:5" x14ac:dyDescent="0.2">
      <c r="A2323" s="28"/>
      <c r="B2323" s="28"/>
      <c r="C2323" s="28"/>
      <c r="D2323" s="28"/>
      <c r="E2323" s="16"/>
    </row>
    <row r="2324" spans="1:5" x14ac:dyDescent="0.2">
      <c r="A2324" s="28"/>
      <c r="B2324" s="28"/>
      <c r="C2324" s="28"/>
      <c r="D2324" s="28"/>
      <c r="E2324" s="16"/>
    </row>
    <row r="2325" spans="1:5" x14ac:dyDescent="0.2">
      <c r="A2325" s="28"/>
      <c r="B2325" s="28"/>
      <c r="C2325" s="28"/>
      <c r="D2325" s="28"/>
      <c r="E2325" s="16"/>
    </row>
    <row r="2326" spans="1:5" x14ac:dyDescent="0.2">
      <c r="A2326" s="28"/>
      <c r="B2326" s="28"/>
      <c r="C2326" s="28"/>
      <c r="D2326" s="28"/>
      <c r="E2326" s="16"/>
    </row>
    <row r="2327" spans="1:5" x14ac:dyDescent="0.2">
      <c r="A2327" s="28"/>
      <c r="B2327" s="28"/>
      <c r="C2327" s="28"/>
      <c r="D2327" s="28"/>
      <c r="E2327" s="16"/>
    </row>
    <row r="2328" spans="1:5" x14ac:dyDescent="0.2">
      <c r="A2328" s="28"/>
      <c r="B2328" s="28"/>
      <c r="C2328" s="28"/>
      <c r="D2328" s="28"/>
      <c r="E2328" s="16"/>
    </row>
    <row r="2329" spans="1:5" x14ac:dyDescent="0.2">
      <c r="A2329" s="28"/>
      <c r="B2329" s="28"/>
      <c r="C2329" s="28"/>
      <c r="D2329" s="28"/>
      <c r="E2329" s="16"/>
    </row>
    <row r="2330" spans="1:5" x14ac:dyDescent="0.2">
      <c r="A2330" s="28"/>
      <c r="B2330" s="28"/>
      <c r="C2330" s="28"/>
      <c r="D2330" s="28"/>
      <c r="E2330" s="16"/>
    </row>
    <row r="2331" spans="1:5" x14ac:dyDescent="0.2">
      <c r="A2331" s="28"/>
      <c r="B2331" s="28"/>
      <c r="C2331" s="28"/>
      <c r="D2331" s="28"/>
      <c r="E2331" s="16"/>
    </row>
    <row r="2332" spans="1:5" x14ac:dyDescent="0.2">
      <c r="A2332" s="28"/>
      <c r="B2332" s="28"/>
      <c r="C2332" s="28"/>
      <c r="D2332" s="28"/>
      <c r="E2332" s="16"/>
    </row>
    <row r="2333" spans="1:5" x14ac:dyDescent="0.2">
      <c r="A2333" s="28"/>
      <c r="B2333" s="28"/>
      <c r="C2333" s="28"/>
      <c r="D2333" s="28"/>
      <c r="E2333" s="16"/>
    </row>
    <row r="2334" spans="1:5" x14ac:dyDescent="0.2">
      <c r="A2334" s="28"/>
      <c r="B2334" s="28"/>
      <c r="C2334" s="28"/>
      <c r="D2334" s="28"/>
      <c r="E2334" s="16"/>
    </row>
    <row r="2335" spans="1:5" x14ac:dyDescent="0.2">
      <c r="A2335" s="28"/>
      <c r="B2335" s="28"/>
      <c r="C2335" s="28"/>
      <c r="D2335" s="28"/>
      <c r="E2335" s="16"/>
    </row>
    <row r="2336" spans="1:5" x14ac:dyDescent="0.2">
      <c r="A2336" s="28"/>
      <c r="B2336" s="28"/>
      <c r="C2336" s="28"/>
      <c r="D2336" s="28"/>
      <c r="E2336" s="16"/>
    </row>
    <row r="2337" spans="1:5" x14ac:dyDescent="0.2">
      <c r="A2337" s="28"/>
      <c r="B2337" s="28"/>
      <c r="C2337" s="28"/>
      <c r="D2337" s="28"/>
      <c r="E2337" s="16"/>
    </row>
    <row r="2338" spans="1:5" x14ac:dyDescent="0.2">
      <c r="A2338" s="28"/>
      <c r="B2338" s="28"/>
      <c r="C2338" s="28"/>
      <c r="D2338" s="28"/>
      <c r="E2338" s="16"/>
    </row>
    <row r="2339" spans="1:5" x14ac:dyDescent="0.2">
      <c r="A2339" s="28"/>
      <c r="B2339" s="28"/>
      <c r="C2339" s="28"/>
      <c r="D2339" s="28"/>
      <c r="E2339" s="16"/>
    </row>
    <row r="2340" spans="1:5" x14ac:dyDescent="0.2">
      <c r="A2340" s="28"/>
      <c r="B2340" s="28"/>
      <c r="C2340" s="28"/>
      <c r="D2340" s="28"/>
      <c r="E2340" s="16"/>
    </row>
    <row r="2341" spans="1:5" x14ac:dyDescent="0.2">
      <c r="A2341" s="28"/>
      <c r="B2341" s="28"/>
      <c r="C2341" s="28"/>
      <c r="D2341" s="28"/>
      <c r="E2341" s="16"/>
    </row>
    <row r="2342" spans="1:5" x14ac:dyDescent="0.2">
      <c r="A2342" s="28"/>
      <c r="B2342" s="28"/>
      <c r="C2342" s="28"/>
      <c r="D2342" s="28"/>
      <c r="E2342" s="16"/>
    </row>
    <row r="2343" spans="1:5" x14ac:dyDescent="0.2">
      <c r="A2343" s="28"/>
      <c r="B2343" s="28"/>
      <c r="C2343" s="28"/>
      <c r="D2343" s="28"/>
      <c r="E2343" s="16"/>
    </row>
    <row r="2344" spans="1:5" x14ac:dyDescent="0.2">
      <c r="A2344" s="28"/>
      <c r="B2344" s="28"/>
      <c r="C2344" s="28"/>
      <c r="D2344" s="28"/>
      <c r="E2344" s="16"/>
    </row>
    <row r="2345" spans="1:5" x14ac:dyDescent="0.2">
      <c r="A2345" s="28"/>
      <c r="B2345" s="28"/>
      <c r="C2345" s="28"/>
      <c r="D2345" s="28"/>
      <c r="E2345" s="16"/>
    </row>
    <row r="2346" spans="1:5" x14ac:dyDescent="0.2">
      <c r="A2346" s="28"/>
      <c r="B2346" s="28"/>
      <c r="C2346" s="28"/>
      <c r="D2346" s="28"/>
      <c r="E2346" s="16"/>
    </row>
    <row r="2347" spans="1:5" x14ac:dyDescent="0.2">
      <c r="A2347" s="28"/>
      <c r="B2347" s="28"/>
      <c r="C2347" s="28"/>
      <c r="D2347" s="28"/>
      <c r="E2347" s="16"/>
    </row>
    <row r="2348" spans="1:5" x14ac:dyDescent="0.2">
      <c r="A2348" s="28"/>
      <c r="B2348" s="28"/>
      <c r="C2348" s="28"/>
      <c r="D2348" s="28"/>
      <c r="E2348" s="16"/>
    </row>
    <row r="2349" spans="1:5" x14ac:dyDescent="0.2">
      <c r="A2349" s="28"/>
      <c r="B2349" s="28"/>
      <c r="C2349" s="28"/>
      <c r="D2349" s="28"/>
      <c r="E2349" s="16"/>
    </row>
    <row r="2350" spans="1:5" x14ac:dyDescent="0.2">
      <c r="A2350" s="28"/>
      <c r="B2350" s="28"/>
      <c r="C2350" s="28"/>
      <c r="D2350" s="28"/>
      <c r="E2350" s="16"/>
    </row>
    <row r="2351" spans="1:5" x14ac:dyDescent="0.2">
      <c r="A2351" s="28"/>
      <c r="B2351" s="28"/>
      <c r="C2351" s="28"/>
      <c r="D2351" s="28"/>
      <c r="E2351" s="16"/>
    </row>
    <row r="2352" spans="1:5" x14ac:dyDescent="0.2">
      <c r="A2352" s="28"/>
      <c r="B2352" s="28"/>
      <c r="C2352" s="28"/>
      <c r="D2352" s="28"/>
      <c r="E2352" s="16"/>
    </row>
    <row r="2353" spans="1:5" x14ac:dyDescent="0.2">
      <c r="A2353" s="28"/>
      <c r="B2353" s="28"/>
      <c r="C2353" s="28"/>
      <c r="D2353" s="28"/>
      <c r="E2353" s="16"/>
    </row>
    <row r="2354" spans="1:5" x14ac:dyDescent="0.2">
      <c r="A2354" s="28"/>
      <c r="B2354" s="28"/>
      <c r="C2354" s="28"/>
      <c r="D2354" s="28"/>
      <c r="E2354" s="16"/>
    </row>
    <row r="2355" spans="1:5" x14ac:dyDescent="0.2">
      <c r="A2355" s="28"/>
      <c r="B2355" s="28"/>
      <c r="C2355" s="28"/>
      <c r="D2355" s="28"/>
      <c r="E2355" s="16"/>
    </row>
    <row r="2356" spans="1:5" x14ac:dyDescent="0.2">
      <c r="A2356" s="28"/>
      <c r="B2356" s="28"/>
      <c r="C2356" s="28"/>
      <c r="D2356" s="28"/>
      <c r="E2356" s="16"/>
    </row>
    <row r="2357" spans="1:5" x14ac:dyDescent="0.2">
      <c r="A2357" s="28"/>
      <c r="B2357" s="28"/>
      <c r="C2357" s="28"/>
      <c r="D2357" s="28"/>
      <c r="E2357" s="16"/>
    </row>
    <row r="2358" spans="1:5" x14ac:dyDescent="0.2">
      <c r="A2358" s="28"/>
      <c r="B2358" s="28"/>
      <c r="C2358" s="28"/>
      <c r="D2358" s="28"/>
      <c r="E2358" s="16"/>
    </row>
    <row r="2359" spans="1:5" x14ac:dyDescent="0.2">
      <c r="A2359" s="28"/>
      <c r="B2359" s="28"/>
      <c r="C2359" s="28"/>
      <c r="D2359" s="28"/>
      <c r="E2359" s="16"/>
    </row>
    <row r="2360" spans="1:5" x14ac:dyDescent="0.2">
      <c r="A2360" s="28"/>
      <c r="B2360" s="28"/>
      <c r="C2360" s="28"/>
      <c r="D2360" s="28"/>
      <c r="E2360" s="16"/>
    </row>
    <row r="2361" spans="1:5" x14ac:dyDescent="0.2">
      <c r="A2361" s="28"/>
      <c r="B2361" s="28"/>
      <c r="C2361" s="28"/>
      <c r="D2361" s="28"/>
      <c r="E2361" s="16"/>
    </row>
    <row r="2362" spans="1:5" x14ac:dyDescent="0.2">
      <c r="A2362" s="28"/>
      <c r="B2362" s="28"/>
      <c r="C2362" s="28"/>
      <c r="D2362" s="28"/>
      <c r="E2362" s="16"/>
    </row>
    <row r="2363" spans="1:5" x14ac:dyDescent="0.2">
      <c r="A2363" s="28"/>
      <c r="B2363" s="28"/>
      <c r="C2363" s="28"/>
      <c r="D2363" s="28"/>
      <c r="E2363" s="16"/>
    </row>
    <row r="2364" spans="1:5" x14ac:dyDescent="0.2">
      <c r="A2364" s="28"/>
      <c r="B2364" s="28"/>
      <c r="C2364" s="28"/>
      <c r="D2364" s="28"/>
      <c r="E2364" s="16"/>
    </row>
    <row r="2365" spans="1:5" x14ac:dyDescent="0.2">
      <c r="A2365" s="28"/>
      <c r="B2365" s="28"/>
      <c r="C2365" s="28"/>
      <c r="D2365" s="28"/>
      <c r="E2365" s="16"/>
    </row>
    <row r="2366" spans="1:5" x14ac:dyDescent="0.2">
      <c r="A2366" s="28"/>
      <c r="B2366" s="28"/>
      <c r="C2366" s="28"/>
      <c r="D2366" s="28"/>
      <c r="E2366" s="16"/>
    </row>
    <row r="2367" spans="1:5" x14ac:dyDescent="0.2">
      <c r="A2367" s="28"/>
      <c r="B2367" s="28"/>
      <c r="C2367" s="28"/>
      <c r="D2367" s="28"/>
      <c r="E2367" s="16"/>
    </row>
    <row r="2368" spans="1:5" x14ac:dyDescent="0.2">
      <c r="A2368" s="28"/>
      <c r="B2368" s="28"/>
      <c r="C2368" s="28"/>
      <c r="D2368" s="28"/>
      <c r="E2368" s="16"/>
    </row>
    <row r="2369" spans="1:5" x14ac:dyDescent="0.2">
      <c r="A2369" s="28"/>
      <c r="B2369" s="28"/>
      <c r="C2369" s="28"/>
      <c r="D2369" s="28"/>
      <c r="E2369" s="16"/>
    </row>
    <row r="2370" spans="1:5" x14ac:dyDescent="0.2">
      <c r="A2370" s="28"/>
      <c r="B2370" s="28"/>
      <c r="C2370" s="28"/>
      <c r="D2370" s="28"/>
      <c r="E2370" s="16"/>
    </row>
    <row r="2371" spans="1:5" x14ac:dyDescent="0.2">
      <c r="A2371" s="28"/>
      <c r="B2371" s="28"/>
      <c r="C2371" s="28"/>
      <c r="D2371" s="28"/>
      <c r="E2371" s="16"/>
    </row>
    <row r="2372" spans="1:5" x14ac:dyDescent="0.2">
      <c r="A2372" s="28"/>
      <c r="B2372" s="28"/>
      <c r="C2372" s="28"/>
      <c r="D2372" s="28"/>
      <c r="E2372" s="16"/>
    </row>
    <row r="2373" spans="1:5" x14ac:dyDescent="0.2">
      <c r="A2373" s="28"/>
      <c r="B2373" s="28"/>
      <c r="C2373" s="28"/>
      <c r="D2373" s="28"/>
      <c r="E2373" s="16"/>
    </row>
    <row r="2374" spans="1:5" x14ac:dyDescent="0.2">
      <c r="A2374" s="28"/>
      <c r="B2374" s="28"/>
      <c r="C2374" s="28"/>
      <c r="D2374" s="28"/>
      <c r="E2374" s="16"/>
    </row>
    <row r="2375" spans="1:5" x14ac:dyDescent="0.2">
      <c r="A2375" s="28"/>
      <c r="B2375" s="28"/>
      <c r="C2375" s="28"/>
      <c r="D2375" s="28"/>
      <c r="E2375" s="16"/>
    </row>
    <row r="2376" spans="1:5" x14ac:dyDescent="0.2">
      <c r="A2376" s="28"/>
      <c r="B2376" s="28"/>
      <c r="C2376" s="28"/>
      <c r="D2376" s="28"/>
      <c r="E2376" s="16"/>
    </row>
    <row r="2377" spans="1:5" x14ac:dyDescent="0.2">
      <c r="A2377" s="28"/>
      <c r="B2377" s="28"/>
      <c r="C2377" s="28"/>
      <c r="D2377" s="28"/>
      <c r="E2377" s="16"/>
    </row>
    <row r="2378" spans="1:5" x14ac:dyDescent="0.2">
      <c r="A2378" s="28"/>
      <c r="B2378" s="28"/>
      <c r="C2378" s="28"/>
      <c r="D2378" s="28"/>
      <c r="E2378" s="16"/>
    </row>
    <row r="2379" spans="1:5" x14ac:dyDescent="0.2">
      <c r="A2379" s="28"/>
      <c r="B2379" s="28"/>
      <c r="C2379" s="28"/>
      <c r="D2379" s="28"/>
      <c r="E2379" s="16"/>
    </row>
    <row r="2380" spans="1:5" x14ac:dyDescent="0.2">
      <c r="A2380" s="28"/>
      <c r="B2380" s="28"/>
      <c r="C2380" s="28"/>
      <c r="D2380" s="28"/>
      <c r="E2380" s="16"/>
    </row>
    <row r="2381" spans="1:5" x14ac:dyDescent="0.2">
      <c r="A2381" s="28"/>
      <c r="B2381" s="28"/>
      <c r="C2381" s="28"/>
      <c r="D2381" s="28"/>
      <c r="E2381" s="16"/>
    </row>
    <row r="2382" spans="1:5" x14ac:dyDescent="0.2">
      <c r="A2382" s="28"/>
      <c r="B2382" s="28"/>
      <c r="C2382" s="28"/>
      <c r="D2382" s="28"/>
      <c r="E2382" s="16"/>
    </row>
    <row r="2383" spans="1:5" x14ac:dyDescent="0.2">
      <c r="A2383" s="28"/>
      <c r="B2383" s="28"/>
      <c r="C2383" s="28"/>
      <c r="D2383" s="28"/>
      <c r="E2383" s="16"/>
    </row>
    <row r="2384" spans="1:5" x14ac:dyDescent="0.2">
      <c r="A2384" s="28"/>
      <c r="B2384" s="28"/>
      <c r="C2384" s="28"/>
      <c r="D2384" s="28"/>
      <c r="E2384" s="16"/>
    </row>
    <row r="2385" spans="1:5" x14ac:dyDescent="0.2">
      <c r="A2385" s="28"/>
      <c r="B2385" s="28"/>
      <c r="C2385" s="28"/>
      <c r="D2385" s="28"/>
      <c r="E2385" s="16"/>
    </row>
    <row r="2386" spans="1:5" x14ac:dyDescent="0.2">
      <c r="A2386" s="28"/>
      <c r="B2386" s="28"/>
      <c r="C2386" s="28"/>
      <c r="D2386" s="28"/>
      <c r="E2386" s="16"/>
    </row>
    <row r="2387" spans="1:5" x14ac:dyDescent="0.2">
      <c r="A2387" s="28"/>
      <c r="B2387" s="28"/>
      <c r="C2387" s="28"/>
      <c r="D2387" s="28"/>
      <c r="E2387" s="16"/>
    </row>
    <row r="2388" spans="1:5" x14ac:dyDescent="0.2">
      <c r="A2388" s="28"/>
      <c r="B2388" s="28"/>
      <c r="C2388" s="28"/>
      <c r="D2388" s="28"/>
      <c r="E2388" s="16"/>
    </row>
    <row r="2389" spans="1:5" x14ac:dyDescent="0.2">
      <c r="A2389" s="28"/>
      <c r="B2389" s="28"/>
      <c r="C2389" s="28"/>
      <c r="D2389" s="28"/>
      <c r="E2389" s="16"/>
    </row>
    <row r="2390" spans="1:5" x14ac:dyDescent="0.2">
      <c r="A2390" s="28"/>
      <c r="B2390" s="28"/>
      <c r="C2390" s="28"/>
      <c r="D2390" s="28"/>
      <c r="E2390" s="16"/>
    </row>
    <row r="2391" spans="1:5" x14ac:dyDescent="0.2">
      <c r="A2391" s="28"/>
      <c r="B2391" s="28"/>
      <c r="C2391" s="28"/>
      <c r="D2391" s="28"/>
      <c r="E2391" s="16"/>
    </row>
    <row r="2392" spans="1:5" x14ac:dyDescent="0.2">
      <c r="A2392" s="28"/>
      <c r="B2392" s="28"/>
      <c r="C2392" s="28"/>
      <c r="D2392" s="28"/>
      <c r="E2392" s="16"/>
    </row>
    <row r="2393" spans="1:5" x14ac:dyDescent="0.2">
      <c r="A2393" s="28"/>
      <c r="B2393" s="28"/>
      <c r="C2393" s="28"/>
      <c r="D2393" s="28"/>
      <c r="E2393" s="16"/>
    </row>
    <row r="2394" spans="1:5" x14ac:dyDescent="0.2">
      <c r="A2394" s="28"/>
      <c r="B2394" s="28"/>
      <c r="C2394" s="28"/>
      <c r="D2394" s="28"/>
      <c r="E2394" s="16"/>
    </row>
    <row r="2395" spans="1:5" x14ac:dyDescent="0.2">
      <c r="A2395" s="28"/>
      <c r="B2395" s="28"/>
      <c r="C2395" s="28"/>
      <c r="D2395" s="28"/>
      <c r="E2395" s="16"/>
    </row>
    <row r="2396" spans="1:5" x14ac:dyDescent="0.2">
      <c r="A2396" s="28"/>
      <c r="B2396" s="28"/>
      <c r="C2396" s="28"/>
      <c r="D2396" s="28"/>
      <c r="E2396" s="16"/>
    </row>
    <row r="2397" spans="1:5" x14ac:dyDescent="0.2">
      <c r="A2397" s="28"/>
      <c r="B2397" s="28"/>
      <c r="C2397" s="28"/>
      <c r="D2397" s="28"/>
      <c r="E2397" s="16"/>
    </row>
    <row r="2398" spans="1:5" x14ac:dyDescent="0.2">
      <c r="A2398" s="28"/>
      <c r="B2398" s="28"/>
      <c r="C2398" s="28"/>
      <c r="D2398" s="28"/>
      <c r="E2398" s="16"/>
    </row>
    <row r="2399" spans="1:5" x14ac:dyDescent="0.2">
      <c r="A2399" s="28"/>
      <c r="B2399" s="28"/>
      <c r="C2399" s="28"/>
      <c r="D2399" s="28"/>
      <c r="E2399" s="16"/>
    </row>
    <row r="2400" spans="1:5" x14ac:dyDescent="0.2">
      <c r="A2400" s="28"/>
      <c r="B2400" s="28"/>
      <c r="C2400" s="28"/>
      <c r="D2400" s="28"/>
      <c r="E2400" s="16"/>
    </row>
    <row r="2401" spans="1:5" x14ac:dyDescent="0.2">
      <c r="A2401" s="28"/>
      <c r="B2401" s="28"/>
      <c r="C2401" s="28"/>
      <c r="D2401" s="28"/>
      <c r="E2401" s="16"/>
    </row>
    <row r="2402" spans="1:5" x14ac:dyDescent="0.2">
      <c r="A2402" s="28"/>
      <c r="B2402" s="28"/>
      <c r="C2402" s="28"/>
      <c r="D2402" s="28"/>
      <c r="E2402" s="16"/>
    </row>
    <row r="2403" spans="1:5" x14ac:dyDescent="0.2">
      <c r="A2403" s="28"/>
      <c r="B2403" s="28"/>
      <c r="C2403" s="28"/>
      <c r="D2403" s="28"/>
      <c r="E2403" s="16"/>
    </row>
    <row r="2404" spans="1:5" x14ac:dyDescent="0.2">
      <c r="A2404" s="28"/>
      <c r="B2404" s="28"/>
      <c r="C2404" s="28"/>
      <c r="D2404" s="28"/>
      <c r="E2404" s="16"/>
    </row>
    <row r="2405" spans="1:5" x14ac:dyDescent="0.2">
      <c r="A2405" s="28"/>
      <c r="B2405" s="28"/>
      <c r="C2405" s="28"/>
      <c r="D2405" s="28"/>
      <c r="E2405" s="16"/>
    </row>
    <row r="2406" spans="1:5" x14ac:dyDescent="0.2">
      <c r="A2406" s="28"/>
      <c r="B2406" s="28"/>
      <c r="C2406" s="28"/>
      <c r="D2406" s="28"/>
      <c r="E2406" s="16"/>
    </row>
    <row r="2407" spans="1:5" x14ac:dyDescent="0.2">
      <c r="A2407" s="28"/>
      <c r="B2407" s="28"/>
      <c r="C2407" s="28"/>
      <c r="D2407" s="28"/>
      <c r="E2407" s="16"/>
    </row>
    <row r="2408" spans="1:5" x14ac:dyDescent="0.2">
      <c r="A2408" s="28"/>
      <c r="B2408" s="28"/>
      <c r="C2408" s="28"/>
      <c r="D2408" s="28"/>
      <c r="E2408" s="16"/>
    </row>
    <row r="2409" spans="1:5" x14ac:dyDescent="0.2">
      <c r="A2409" s="28"/>
      <c r="B2409" s="28"/>
      <c r="C2409" s="28"/>
      <c r="D2409" s="28"/>
      <c r="E2409" s="16"/>
    </row>
    <row r="2410" spans="1:5" x14ac:dyDescent="0.2">
      <c r="A2410" s="28"/>
      <c r="B2410" s="28"/>
      <c r="C2410" s="28"/>
      <c r="D2410" s="28"/>
      <c r="E2410" s="16"/>
    </row>
    <row r="2411" spans="1:5" x14ac:dyDescent="0.2">
      <c r="A2411" s="28"/>
      <c r="B2411" s="28"/>
      <c r="C2411" s="28"/>
      <c r="D2411" s="28"/>
      <c r="E2411" s="16"/>
    </row>
    <row r="2412" spans="1:5" x14ac:dyDescent="0.2">
      <c r="A2412" s="28"/>
      <c r="B2412" s="28"/>
      <c r="C2412" s="28"/>
      <c r="D2412" s="28"/>
      <c r="E2412" s="16"/>
    </row>
    <row r="2413" spans="1:5" x14ac:dyDescent="0.2">
      <c r="A2413" s="28"/>
      <c r="B2413" s="28"/>
      <c r="C2413" s="28"/>
      <c r="D2413" s="28"/>
      <c r="E2413" s="16"/>
    </row>
    <row r="2414" spans="1:5" x14ac:dyDescent="0.2">
      <c r="A2414" s="28"/>
      <c r="B2414" s="28"/>
      <c r="C2414" s="28"/>
      <c r="D2414" s="28"/>
      <c r="E2414" s="16"/>
    </row>
    <row r="2415" spans="1:5" x14ac:dyDescent="0.2">
      <c r="A2415" s="28"/>
      <c r="B2415" s="28"/>
      <c r="C2415" s="28"/>
      <c r="D2415" s="28"/>
      <c r="E2415" s="16"/>
    </row>
    <row r="2416" spans="1:5" x14ac:dyDescent="0.2">
      <c r="A2416" s="28"/>
      <c r="B2416" s="28"/>
      <c r="C2416" s="28"/>
      <c r="D2416" s="28"/>
      <c r="E2416" s="16"/>
    </row>
    <row r="2417" spans="1:5" x14ac:dyDescent="0.2">
      <c r="A2417" s="28"/>
      <c r="B2417" s="28"/>
      <c r="C2417" s="28"/>
      <c r="D2417" s="28"/>
      <c r="E2417" s="16"/>
    </row>
    <row r="2418" spans="1:5" x14ac:dyDescent="0.2">
      <c r="A2418" s="28"/>
      <c r="B2418" s="28"/>
      <c r="C2418" s="28"/>
      <c r="D2418" s="28"/>
      <c r="E2418" s="16"/>
    </row>
    <row r="2419" spans="1:5" x14ac:dyDescent="0.2">
      <c r="A2419" s="28"/>
      <c r="B2419" s="28"/>
      <c r="C2419" s="28"/>
      <c r="D2419" s="28"/>
      <c r="E2419" s="16"/>
    </row>
    <row r="2420" spans="1:5" x14ac:dyDescent="0.2">
      <c r="A2420" s="28"/>
      <c r="B2420" s="28"/>
      <c r="C2420" s="28"/>
      <c r="D2420" s="28"/>
      <c r="E2420" s="16"/>
    </row>
    <row r="2421" spans="1:5" x14ac:dyDescent="0.2">
      <c r="A2421" s="28"/>
      <c r="B2421" s="28"/>
      <c r="C2421" s="28"/>
      <c r="D2421" s="28"/>
      <c r="E2421" s="16"/>
    </row>
    <row r="2422" spans="1:5" x14ac:dyDescent="0.2">
      <c r="A2422" s="28"/>
      <c r="B2422" s="28"/>
      <c r="C2422" s="28"/>
      <c r="D2422" s="28"/>
      <c r="E2422" s="16"/>
    </row>
    <row r="2423" spans="1:5" x14ac:dyDescent="0.2">
      <c r="A2423" s="28"/>
      <c r="B2423" s="28"/>
      <c r="C2423" s="28"/>
      <c r="D2423" s="28"/>
      <c r="E2423" s="16"/>
    </row>
    <row r="2424" spans="1:5" x14ac:dyDescent="0.2">
      <c r="A2424" s="28"/>
      <c r="B2424" s="28"/>
      <c r="C2424" s="28"/>
      <c r="D2424" s="28"/>
      <c r="E2424" s="16"/>
    </row>
    <row r="2425" spans="1:5" x14ac:dyDescent="0.2">
      <c r="A2425" s="28"/>
      <c r="B2425" s="28"/>
      <c r="C2425" s="28"/>
      <c r="D2425" s="28"/>
      <c r="E2425" s="16"/>
    </row>
    <row r="2426" spans="1:5" x14ac:dyDescent="0.2">
      <c r="A2426" s="28"/>
      <c r="B2426" s="28"/>
      <c r="C2426" s="28"/>
      <c r="D2426" s="28"/>
      <c r="E2426" s="16"/>
    </row>
    <row r="2427" spans="1:5" x14ac:dyDescent="0.2">
      <c r="A2427" s="28"/>
      <c r="B2427" s="28"/>
      <c r="C2427" s="28"/>
      <c r="D2427" s="28"/>
      <c r="E2427" s="16"/>
    </row>
    <row r="2428" spans="1:5" x14ac:dyDescent="0.2">
      <c r="A2428" s="28"/>
      <c r="B2428" s="28"/>
      <c r="C2428" s="28"/>
      <c r="D2428" s="28"/>
      <c r="E2428" s="16"/>
    </row>
    <row r="2429" spans="1:5" x14ac:dyDescent="0.2">
      <c r="A2429" s="28"/>
      <c r="B2429" s="28"/>
      <c r="C2429" s="28"/>
      <c r="D2429" s="28"/>
      <c r="E2429" s="16"/>
    </row>
    <row r="2430" spans="1:5" x14ac:dyDescent="0.2">
      <c r="A2430" s="28"/>
      <c r="B2430" s="28"/>
      <c r="C2430" s="28"/>
      <c r="D2430" s="28"/>
      <c r="E2430" s="16"/>
    </row>
    <row r="2431" spans="1:5" x14ac:dyDescent="0.2">
      <c r="A2431" s="28"/>
      <c r="B2431" s="28"/>
      <c r="C2431" s="28"/>
      <c r="D2431" s="28"/>
      <c r="E2431" s="16"/>
    </row>
    <row r="2432" spans="1:5" x14ac:dyDescent="0.2">
      <c r="A2432" s="28"/>
      <c r="B2432" s="28"/>
      <c r="C2432" s="28"/>
      <c r="D2432" s="28"/>
      <c r="E2432" s="16"/>
    </row>
    <row r="2433" spans="1:5" x14ac:dyDescent="0.2">
      <c r="A2433" s="28"/>
      <c r="B2433" s="28"/>
      <c r="C2433" s="28"/>
      <c r="D2433" s="28"/>
      <c r="E2433" s="16"/>
    </row>
    <row r="2434" spans="1:5" x14ac:dyDescent="0.2">
      <c r="A2434" s="28"/>
      <c r="B2434" s="28"/>
      <c r="C2434" s="28"/>
      <c r="D2434" s="28"/>
      <c r="E2434" s="16"/>
    </row>
    <row r="2435" spans="1:5" x14ac:dyDescent="0.2">
      <c r="A2435" s="28"/>
      <c r="B2435" s="28"/>
      <c r="C2435" s="28"/>
      <c r="D2435" s="28"/>
      <c r="E2435" s="16"/>
    </row>
    <row r="2436" spans="1:5" x14ac:dyDescent="0.2">
      <c r="A2436" s="28"/>
      <c r="B2436" s="28"/>
      <c r="C2436" s="28"/>
      <c r="D2436" s="28"/>
      <c r="E2436" s="16"/>
    </row>
    <row r="2437" spans="1:5" x14ac:dyDescent="0.2">
      <c r="A2437" s="28"/>
      <c r="B2437" s="28"/>
      <c r="C2437" s="28"/>
      <c r="D2437" s="28"/>
      <c r="E2437" s="16"/>
    </row>
    <row r="2438" spans="1:5" x14ac:dyDescent="0.2">
      <c r="A2438" s="28"/>
      <c r="B2438" s="28"/>
      <c r="C2438" s="28"/>
      <c r="D2438" s="28"/>
      <c r="E2438" s="16"/>
    </row>
    <row r="2439" spans="1:5" x14ac:dyDescent="0.2">
      <c r="A2439" s="28"/>
      <c r="B2439" s="28"/>
      <c r="C2439" s="28"/>
      <c r="D2439" s="28"/>
      <c r="E2439" s="16"/>
    </row>
    <row r="2440" spans="1:5" x14ac:dyDescent="0.2">
      <c r="A2440" s="28"/>
      <c r="B2440" s="28"/>
      <c r="C2440" s="28"/>
      <c r="D2440" s="28"/>
      <c r="E2440" s="16"/>
    </row>
    <row r="2441" spans="1:5" x14ac:dyDescent="0.2">
      <c r="A2441" s="28"/>
      <c r="B2441" s="28"/>
      <c r="C2441" s="28"/>
      <c r="D2441" s="28"/>
      <c r="E2441" s="16"/>
    </row>
    <row r="2442" spans="1:5" x14ac:dyDescent="0.2">
      <c r="A2442" s="28"/>
      <c r="B2442" s="28"/>
      <c r="C2442" s="28"/>
      <c r="D2442" s="28"/>
      <c r="E2442" s="16"/>
    </row>
    <row r="2443" spans="1:5" x14ac:dyDescent="0.2">
      <c r="A2443" s="28"/>
      <c r="B2443" s="28"/>
      <c r="C2443" s="28"/>
      <c r="D2443" s="28"/>
      <c r="E2443" s="16"/>
    </row>
    <row r="2444" spans="1:5" x14ac:dyDescent="0.2">
      <c r="A2444" s="28"/>
      <c r="B2444" s="28"/>
      <c r="C2444" s="28"/>
      <c r="D2444" s="28"/>
      <c r="E2444" s="16"/>
    </row>
    <row r="2445" spans="1:5" x14ac:dyDescent="0.2">
      <c r="A2445" s="28"/>
      <c r="B2445" s="28"/>
      <c r="C2445" s="28"/>
      <c r="D2445" s="28"/>
      <c r="E2445" s="16"/>
    </row>
    <row r="2446" spans="1:5" x14ac:dyDescent="0.2">
      <c r="A2446" s="28"/>
      <c r="B2446" s="28"/>
      <c r="C2446" s="28"/>
      <c r="D2446" s="28"/>
      <c r="E2446" s="16"/>
    </row>
    <row r="2447" spans="1:5" x14ac:dyDescent="0.2">
      <c r="A2447" s="28"/>
      <c r="B2447" s="28"/>
      <c r="C2447" s="28"/>
      <c r="D2447" s="28"/>
      <c r="E2447" s="16"/>
    </row>
    <row r="2448" spans="1:5" x14ac:dyDescent="0.2">
      <c r="A2448" s="28"/>
      <c r="B2448" s="28"/>
      <c r="C2448" s="28"/>
      <c r="D2448" s="28"/>
      <c r="E2448" s="16"/>
    </row>
    <row r="2449" spans="1:5" x14ac:dyDescent="0.2">
      <c r="A2449" s="28"/>
      <c r="B2449" s="28"/>
      <c r="C2449" s="28"/>
      <c r="D2449" s="28"/>
      <c r="E2449" s="16"/>
    </row>
    <row r="2450" spans="1:5" x14ac:dyDescent="0.2">
      <c r="A2450" s="28"/>
      <c r="B2450" s="28"/>
      <c r="C2450" s="28"/>
      <c r="D2450" s="28"/>
      <c r="E2450" s="16"/>
    </row>
    <row r="2451" spans="1:5" x14ac:dyDescent="0.2">
      <c r="A2451" s="28"/>
      <c r="B2451" s="28"/>
      <c r="C2451" s="28"/>
      <c r="D2451" s="28"/>
      <c r="E2451" s="16"/>
    </row>
    <row r="2452" spans="1:5" x14ac:dyDescent="0.2">
      <c r="A2452" s="28"/>
      <c r="B2452" s="28"/>
      <c r="C2452" s="28"/>
      <c r="D2452" s="28"/>
      <c r="E2452" s="16"/>
    </row>
    <row r="2453" spans="1:5" x14ac:dyDescent="0.2">
      <c r="A2453" s="28"/>
      <c r="B2453" s="28"/>
      <c r="C2453" s="28"/>
      <c r="D2453" s="28"/>
      <c r="E2453" s="16"/>
    </row>
    <row r="2454" spans="1:5" x14ac:dyDescent="0.2">
      <c r="A2454" s="28"/>
      <c r="B2454" s="28"/>
      <c r="C2454" s="28"/>
      <c r="D2454" s="28"/>
      <c r="E2454" s="16"/>
    </row>
    <row r="2455" spans="1:5" x14ac:dyDescent="0.2">
      <c r="A2455" s="28"/>
      <c r="B2455" s="28"/>
      <c r="C2455" s="28"/>
      <c r="D2455" s="28"/>
      <c r="E2455" s="16"/>
    </row>
    <row r="2456" spans="1:5" x14ac:dyDescent="0.2">
      <c r="A2456" s="28"/>
      <c r="B2456" s="28"/>
      <c r="C2456" s="28"/>
      <c r="D2456" s="28"/>
      <c r="E2456" s="16"/>
    </row>
    <row r="2457" spans="1:5" x14ac:dyDescent="0.2">
      <c r="A2457" s="28"/>
      <c r="B2457" s="28"/>
      <c r="C2457" s="28"/>
      <c r="D2457" s="28"/>
      <c r="E2457" s="16"/>
    </row>
    <row r="2458" spans="1:5" x14ac:dyDescent="0.2">
      <c r="A2458" s="28"/>
      <c r="B2458" s="28"/>
      <c r="C2458" s="28"/>
      <c r="D2458" s="28"/>
      <c r="E2458" s="16"/>
    </row>
    <row r="2459" spans="1:5" x14ac:dyDescent="0.2">
      <c r="A2459" s="28"/>
      <c r="B2459" s="28"/>
      <c r="C2459" s="28"/>
      <c r="D2459" s="28"/>
      <c r="E2459" s="16"/>
    </row>
    <row r="2460" spans="1:5" x14ac:dyDescent="0.2">
      <c r="A2460" s="28"/>
      <c r="B2460" s="28"/>
      <c r="C2460" s="28"/>
      <c r="D2460" s="28"/>
      <c r="E2460" s="16"/>
    </row>
    <row r="2461" spans="1:5" x14ac:dyDescent="0.2">
      <c r="A2461" s="28"/>
      <c r="B2461" s="28"/>
      <c r="C2461" s="28"/>
      <c r="D2461" s="28"/>
      <c r="E2461" s="16"/>
    </row>
    <row r="2462" spans="1:5" x14ac:dyDescent="0.2">
      <c r="A2462" s="28"/>
      <c r="B2462" s="28"/>
      <c r="C2462" s="28"/>
      <c r="D2462" s="28"/>
      <c r="E2462" s="16"/>
    </row>
    <row r="2463" spans="1:5" x14ac:dyDescent="0.2">
      <c r="A2463" s="28"/>
      <c r="B2463" s="28"/>
      <c r="C2463" s="28"/>
      <c r="D2463" s="28"/>
      <c r="E2463" s="16"/>
    </row>
    <row r="2464" spans="1:5" x14ac:dyDescent="0.2">
      <c r="A2464" s="28"/>
      <c r="B2464" s="28"/>
      <c r="C2464" s="28"/>
      <c r="D2464" s="28"/>
      <c r="E2464" s="16"/>
    </row>
    <row r="2465" spans="1:5" x14ac:dyDescent="0.2">
      <c r="A2465" s="28"/>
      <c r="B2465" s="28"/>
      <c r="C2465" s="28"/>
      <c r="D2465" s="28"/>
      <c r="E2465" s="16"/>
    </row>
    <row r="2466" spans="1:5" x14ac:dyDescent="0.2">
      <c r="A2466" s="28"/>
      <c r="B2466" s="28"/>
      <c r="C2466" s="28"/>
      <c r="D2466" s="28"/>
      <c r="E2466" s="16"/>
    </row>
    <row r="2467" spans="1:5" x14ac:dyDescent="0.2">
      <c r="A2467" s="28"/>
      <c r="B2467" s="28"/>
      <c r="C2467" s="28"/>
      <c r="D2467" s="28"/>
      <c r="E2467" s="16"/>
    </row>
    <row r="2468" spans="1:5" x14ac:dyDescent="0.2">
      <c r="A2468" s="28"/>
      <c r="B2468" s="28"/>
      <c r="C2468" s="28"/>
      <c r="D2468" s="28"/>
      <c r="E2468" s="16"/>
    </row>
    <row r="2469" spans="1:5" x14ac:dyDescent="0.2">
      <c r="A2469" s="28"/>
      <c r="B2469" s="28"/>
      <c r="C2469" s="28"/>
      <c r="D2469" s="28"/>
      <c r="E2469" s="16"/>
    </row>
    <row r="2470" spans="1:5" x14ac:dyDescent="0.2">
      <c r="A2470" s="28"/>
      <c r="B2470" s="28"/>
      <c r="C2470" s="28"/>
      <c r="D2470" s="28"/>
      <c r="E2470" s="16"/>
    </row>
    <row r="2471" spans="1:5" x14ac:dyDescent="0.2">
      <c r="A2471" s="28"/>
      <c r="B2471" s="28"/>
      <c r="C2471" s="28"/>
      <c r="D2471" s="28"/>
      <c r="E2471" s="16"/>
    </row>
    <row r="2472" spans="1:5" x14ac:dyDescent="0.2">
      <c r="A2472" s="28"/>
      <c r="B2472" s="28"/>
      <c r="C2472" s="28"/>
      <c r="D2472" s="28"/>
      <c r="E2472" s="16"/>
    </row>
    <row r="2473" spans="1:5" x14ac:dyDescent="0.2">
      <c r="A2473" s="28"/>
      <c r="B2473" s="28"/>
      <c r="C2473" s="28"/>
      <c r="D2473" s="28"/>
      <c r="E2473" s="16"/>
    </row>
    <row r="2474" spans="1:5" x14ac:dyDescent="0.2">
      <c r="A2474" s="28"/>
      <c r="B2474" s="28"/>
      <c r="C2474" s="28"/>
      <c r="D2474" s="28"/>
      <c r="E2474" s="16"/>
    </row>
    <row r="2475" spans="1:5" x14ac:dyDescent="0.2">
      <c r="A2475" s="28"/>
      <c r="B2475" s="28"/>
      <c r="C2475" s="28"/>
      <c r="D2475" s="28"/>
      <c r="E2475" s="16"/>
    </row>
    <row r="2476" spans="1:5" x14ac:dyDescent="0.2">
      <c r="A2476" s="28"/>
      <c r="B2476" s="28"/>
      <c r="C2476" s="28"/>
      <c r="D2476" s="28"/>
      <c r="E2476" s="16"/>
    </row>
    <row r="2477" spans="1:5" x14ac:dyDescent="0.2">
      <c r="A2477" s="28"/>
      <c r="B2477" s="28"/>
      <c r="C2477" s="28"/>
      <c r="D2477" s="28"/>
      <c r="E2477" s="16"/>
    </row>
    <row r="2478" spans="1:5" x14ac:dyDescent="0.2">
      <c r="A2478" s="28"/>
      <c r="B2478" s="28"/>
      <c r="C2478" s="28"/>
      <c r="D2478" s="28"/>
      <c r="E2478" s="16"/>
    </row>
    <row r="2479" spans="1:5" x14ac:dyDescent="0.2">
      <c r="A2479" s="28"/>
      <c r="B2479" s="28"/>
      <c r="C2479" s="28"/>
      <c r="D2479" s="28"/>
      <c r="E2479" s="16"/>
    </row>
    <row r="2480" spans="1:5" x14ac:dyDescent="0.2">
      <c r="A2480" s="28"/>
      <c r="B2480" s="28"/>
      <c r="C2480" s="28"/>
      <c r="D2480" s="28"/>
      <c r="E2480" s="16"/>
    </row>
    <row r="2481" spans="1:5" x14ac:dyDescent="0.2">
      <c r="A2481" s="28"/>
      <c r="B2481" s="28"/>
      <c r="C2481" s="28"/>
      <c r="D2481" s="28"/>
      <c r="E2481" s="16"/>
    </row>
    <row r="2482" spans="1:5" x14ac:dyDescent="0.2">
      <c r="A2482" s="28"/>
      <c r="B2482" s="28"/>
      <c r="C2482" s="28"/>
      <c r="D2482" s="28"/>
      <c r="E2482" s="16"/>
    </row>
    <row r="2483" spans="1:5" x14ac:dyDescent="0.2">
      <c r="A2483" s="28"/>
      <c r="B2483" s="28"/>
      <c r="C2483" s="28"/>
      <c r="D2483" s="28"/>
      <c r="E2483" s="16"/>
    </row>
    <row r="2484" spans="1:5" x14ac:dyDescent="0.2">
      <c r="A2484" s="28"/>
      <c r="B2484" s="28"/>
      <c r="C2484" s="28"/>
      <c r="D2484" s="28"/>
      <c r="E2484" s="16"/>
    </row>
    <row r="2485" spans="1:5" x14ac:dyDescent="0.2">
      <c r="A2485" s="28"/>
      <c r="B2485" s="28"/>
      <c r="C2485" s="28"/>
      <c r="D2485" s="28"/>
      <c r="E2485" s="16"/>
    </row>
    <row r="2486" spans="1:5" x14ac:dyDescent="0.2">
      <c r="A2486" s="28"/>
      <c r="B2486" s="28"/>
      <c r="C2486" s="28"/>
      <c r="D2486" s="28"/>
      <c r="E2486" s="16"/>
    </row>
    <row r="2487" spans="1:5" x14ac:dyDescent="0.2">
      <c r="A2487" s="28"/>
      <c r="B2487" s="28"/>
      <c r="C2487" s="28"/>
      <c r="D2487" s="28"/>
      <c r="E2487" s="16"/>
    </row>
    <row r="2488" spans="1:5" x14ac:dyDescent="0.2">
      <c r="A2488" s="28"/>
      <c r="B2488" s="28"/>
      <c r="C2488" s="28"/>
      <c r="D2488" s="28"/>
      <c r="E2488" s="16"/>
    </row>
    <row r="2489" spans="1:5" x14ac:dyDescent="0.2">
      <c r="A2489" s="28"/>
      <c r="B2489" s="28"/>
      <c r="C2489" s="28"/>
      <c r="D2489" s="28"/>
      <c r="E2489" s="16"/>
    </row>
    <row r="2490" spans="1:5" x14ac:dyDescent="0.2">
      <c r="A2490" s="28"/>
      <c r="B2490" s="28"/>
      <c r="C2490" s="28"/>
      <c r="D2490" s="28"/>
      <c r="E2490" s="16"/>
    </row>
    <row r="2491" spans="1:5" x14ac:dyDescent="0.2">
      <c r="A2491" s="28"/>
      <c r="B2491" s="28"/>
      <c r="C2491" s="28"/>
      <c r="D2491" s="28"/>
      <c r="E2491" s="16"/>
    </row>
    <row r="2492" spans="1:5" x14ac:dyDescent="0.2">
      <c r="A2492" s="28"/>
      <c r="B2492" s="28"/>
      <c r="C2492" s="28"/>
      <c r="D2492" s="28"/>
      <c r="E2492" s="16"/>
    </row>
    <row r="2493" spans="1:5" x14ac:dyDescent="0.2">
      <c r="A2493" s="28"/>
      <c r="B2493" s="28"/>
      <c r="C2493" s="28"/>
      <c r="D2493" s="28"/>
      <c r="E2493" s="16"/>
    </row>
    <row r="2494" spans="1:5" x14ac:dyDescent="0.2">
      <c r="A2494" s="28"/>
      <c r="B2494" s="28"/>
      <c r="C2494" s="28"/>
      <c r="D2494" s="28"/>
      <c r="E2494" s="16"/>
    </row>
    <row r="2495" spans="1:5" x14ac:dyDescent="0.2">
      <c r="A2495" s="28"/>
      <c r="B2495" s="28"/>
      <c r="C2495" s="28"/>
      <c r="D2495" s="28"/>
      <c r="E2495" s="16"/>
    </row>
    <row r="2496" spans="1:5" x14ac:dyDescent="0.2">
      <c r="A2496" s="28"/>
      <c r="B2496" s="28"/>
      <c r="C2496" s="28"/>
      <c r="D2496" s="28"/>
      <c r="E2496" s="16"/>
    </row>
    <row r="2497" spans="1:5" x14ac:dyDescent="0.2">
      <c r="A2497" s="28"/>
      <c r="B2497" s="28"/>
      <c r="C2497" s="28"/>
      <c r="D2497" s="28"/>
      <c r="E2497" s="16"/>
    </row>
    <row r="2498" spans="1:5" x14ac:dyDescent="0.2">
      <c r="A2498" s="28"/>
      <c r="B2498" s="28"/>
      <c r="C2498" s="28"/>
      <c r="D2498" s="28"/>
      <c r="E2498" s="16"/>
    </row>
    <row r="2499" spans="1:5" x14ac:dyDescent="0.2">
      <c r="A2499" s="28"/>
      <c r="B2499" s="28"/>
      <c r="C2499" s="28"/>
      <c r="D2499" s="28"/>
      <c r="E2499" s="16"/>
    </row>
    <row r="2500" spans="1:5" x14ac:dyDescent="0.2">
      <c r="A2500" s="28"/>
      <c r="B2500" s="28"/>
      <c r="C2500" s="28"/>
      <c r="D2500" s="28"/>
      <c r="E2500" s="16"/>
    </row>
    <row r="2501" spans="1:5" x14ac:dyDescent="0.2">
      <c r="A2501" s="28"/>
      <c r="B2501" s="28"/>
      <c r="C2501" s="28"/>
      <c r="D2501" s="28"/>
      <c r="E2501" s="16"/>
    </row>
    <row r="2502" spans="1:5" x14ac:dyDescent="0.2">
      <c r="A2502" s="28"/>
      <c r="B2502" s="28"/>
      <c r="C2502" s="28"/>
      <c r="D2502" s="28"/>
      <c r="E2502" s="16"/>
    </row>
    <row r="2503" spans="1:5" x14ac:dyDescent="0.2">
      <c r="A2503" s="28"/>
      <c r="B2503" s="28"/>
      <c r="C2503" s="28"/>
      <c r="D2503" s="28"/>
      <c r="E2503" s="16"/>
    </row>
    <row r="2504" spans="1:5" x14ac:dyDescent="0.2">
      <c r="A2504" s="28"/>
      <c r="B2504" s="28"/>
      <c r="C2504" s="28"/>
      <c r="D2504" s="28"/>
      <c r="E2504" s="16"/>
    </row>
    <row r="2505" spans="1:5" x14ac:dyDescent="0.2">
      <c r="A2505" s="28"/>
      <c r="B2505" s="28"/>
      <c r="C2505" s="28"/>
      <c r="D2505" s="28"/>
      <c r="E2505" s="16"/>
    </row>
    <row r="2506" spans="1:5" x14ac:dyDescent="0.2">
      <c r="A2506" s="28"/>
      <c r="B2506" s="28"/>
      <c r="C2506" s="28"/>
      <c r="D2506" s="28"/>
      <c r="E2506" s="16"/>
    </row>
    <row r="2507" spans="1:5" x14ac:dyDescent="0.2">
      <c r="A2507" s="28"/>
      <c r="B2507" s="28"/>
      <c r="C2507" s="28"/>
      <c r="D2507" s="28"/>
      <c r="E2507" s="16"/>
    </row>
    <row r="2508" spans="1:5" x14ac:dyDescent="0.2">
      <c r="A2508" s="28"/>
      <c r="B2508" s="28"/>
      <c r="C2508" s="28"/>
      <c r="D2508" s="28"/>
      <c r="E2508" s="16"/>
    </row>
    <row r="2509" spans="1:5" x14ac:dyDescent="0.2">
      <c r="A2509" s="28"/>
      <c r="B2509" s="28"/>
      <c r="C2509" s="28"/>
      <c r="D2509" s="28"/>
      <c r="E2509" s="16"/>
    </row>
    <row r="2510" spans="1:5" x14ac:dyDescent="0.2">
      <c r="A2510" s="28"/>
      <c r="B2510" s="28"/>
      <c r="C2510" s="28"/>
      <c r="D2510" s="28"/>
      <c r="E2510" s="16"/>
    </row>
    <row r="2511" spans="1:5" x14ac:dyDescent="0.2">
      <c r="A2511" s="28"/>
      <c r="B2511" s="28"/>
      <c r="C2511" s="28"/>
      <c r="D2511" s="28"/>
      <c r="E2511" s="16"/>
    </row>
    <row r="2512" spans="1:5" x14ac:dyDescent="0.2">
      <c r="A2512" s="28"/>
      <c r="B2512" s="28"/>
      <c r="C2512" s="28"/>
      <c r="D2512" s="28"/>
      <c r="E2512" s="16"/>
    </row>
    <row r="2513" spans="1:5" x14ac:dyDescent="0.2">
      <c r="A2513" s="28"/>
      <c r="B2513" s="28"/>
      <c r="C2513" s="28"/>
      <c r="D2513" s="28"/>
      <c r="E2513" s="16"/>
    </row>
    <row r="2514" spans="1:5" x14ac:dyDescent="0.2">
      <c r="A2514" s="28"/>
      <c r="B2514" s="28"/>
      <c r="C2514" s="28"/>
      <c r="D2514" s="28"/>
      <c r="E2514" s="16"/>
    </row>
    <row r="2515" spans="1:5" x14ac:dyDescent="0.2">
      <c r="A2515" s="28"/>
      <c r="B2515" s="28"/>
      <c r="C2515" s="28"/>
      <c r="D2515" s="28"/>
      <c r="E2515" s="16"/>
    </row>
    <row r="2516" spans="1:5" x14ac:dyDescent="0.2">
      <c r="A2516" s="28"/>
      <c r="B2516" s="28"/>
      <c r="C2516" s="28"/>
      <c r="D2516" s="28"/>
      <c r="E2516" s="16"/>
    </row>
    <row r="2517" spans="1:5" x14ac:dyDescent="0.2">
      <c r="A2517" s="28"/>
      <c r="B2517" s="28"/>
      <c r="C2517" s="28"/>
      <c r="D2517" s="28"/>
      <c r="E2517" s="16"/>
    </row>
    <row r="2518" spans="1:5" x14ac:dyDescent="0.2">
      <c r="A2518" s="28"/>
      <c r="B2518" s="28"/>
      <c r="C2518" s="28"/>
      <c r="D2518" s="28"/>
      <c r="E2518" s="16"/>
    </row>
    <row r="2519" spans="1:5" x14ac:dyDescent="0.2">
      <c r="A2519" s="28"/>
      <c r="B2519" s="28"/>
      <c r="C2519" s="28"/>
      <c r="D2519" s="28"/>
      <c r="E2519" s="16"/>
    </row>
    <row r="2520" spans="1:5" x14ac:dyDescent="0.2">
      <c r="A2520" s="28"/>
      <c r="B2520" s="28"/>
      <c r="C2520" s="28"/>
      <c r="D2520" s="28"/>
      <c r="E2520" s="16"/>
    </row>
    <row r="2521" spans="1:5" x14ac:dyDescent="0.2">
      <c r="A2521" s="28"/>
      <c r="B2521" s="28"/>
      <c r="C2521" s="28"/>
      <c r="D2521" s="28"/>
      <c r="E2521" s="16"/>
    </row>
    <row r="2522" spans="1:5" x14ac:dyDescent="0.2">
      <c r="A2522" s="28"/>
      <c r="B2522" s="28"/>
      <c r="C2522" s="28"/>
      <c r="D2522" s="28"/>
      <c r="E2522" s="16"/>
    </row>
    <row r="2523" spans="1:5" x14ac:dyDescent="0.2">
      <c r="A2523" s="28"/>
      <c r="B2523" s="28"/>
      <c r="C2523" s="28"/>
      <c r="D2523" s="28"/>
      <c r="E2523" s="16"/>
    </row>
    <row r="2524" spans="1:5" x14ac:dyDescent="0.2">
      <c r="A2524" s="28"/>
      <c r="B2524" s="28"/>
      <c r="C2524" s="28"/>
      <c r="D2524" s="28"/>
      <c r="E2524" s="16"/>
    </row>
    <row r="2525" spans="1:5" x14ac:dyDescent="0.2">
      <c r="A2525" s="28"/>
      <c r="B2525" s="28"/>
      <c r="C2525" s="28"/>
      <c r="D2525" s="28"/>
      <c r="E2525" s="16"/>
    </row>
    <row r="2526" spans="1:5" x14ac:dyDescent="0.2">
      <c r="A2526" s="28"/>
      <c r="B2526" s="28"/>
      <c r="C2526" s="28"/>
      <c r="D2526" s="28"/>
      <c r="E2526" s="16"/>
    </row>
    <row r="2527" spans="1:5" x14ac:dyDescent="0.2">
      <c r="A2527" s="28"/>
      <c r="B2527" s="28"/>
      <c r="C2527" s="28"/>
      <c r="D2527" s="28"/>
      <c r="E2527" s="16"/>
    </row>
    <row r="2528" spans="1:5" x14ac:dyDescent="0.2">
      <c r="A2528" s="28"/>
      <c r="B2528" s="28"/>
      <c r="C2528" s="28"/>
      <c r="D2528" s="28"/>
      <c r="E2528" s="16"/>
    </row>
    <row r="2529" spans="1:5" x14ac:dyDescent="0.2">
      <c r="A2529" s="28"/>
      <c r="B2529" s="28"/>
      <c r="C2529" s="28"/>
      <c r="D2529" s="28"/>
      <c r="E2529" s="16"/>
    </row>
    <row r="2530" spans="1:5" x14ac:dyDescent="0.2">
      <c r="A2530" s="28"/>
      <c r="B2530" s="28"/>
      <c r="C2530" s="28"/>
      <c r="D2530" s="28"/>
      <c r="E2530" s="16"/>
    </row>
    <row r="2531" spans="1:5" x14ac:dyDescent="0.2">
      <c r="A2531" s="28"/>
      <c r="B2531" s="28"/>
      <c r="C2531" s="28"/>
      <c r="D2531" s="28"/>
      <c r="E2531" s="16"/>
    </row>
    <row r="2532" spans="1:5" x14ac:dyDescent="0.2">
      <c r="A2532" s="28"/>
      <c r="B2532" s="28"/>
      <c r="C2532" s="28"/>
      <c r="D2532" s="28"/>
      <c r="E2532" s="16"/>
    </row>
    <row r="2533" spans="1:5" x14ac:dyDescent="0.2">
      <c r="A2533" s="28"/>
      <c r="B2533" s="28"/>
      <c r="C2533" s="28"/>
      <c r="D2533" s="28"/>
      <c r="E2533" s="16"/>
    </row>
    <row r="2534" spans="1:5" x14ac:dyDescent="0.2">
      <c r="A2534" s="28"/>
      <c r="B2534" s="28"/>
      <c r="C2534" s="28"/>
      <c r="D2534" s="28"/>
      <c r="E2534" s="16"/>
    </row>
    <row r="2535" spans="1:5" x14ac:dyDescent="0.2">
      <c r="A2535" s="28"/>
      <c r="B2535" s="28"/>
      <c r="C2535" s="28"/>
      <c r="D2535" s="28"/>
      <c r="E2535" s="16"/>
    </row>
    <row r="2536" spans="1:5" x14ac:dyDescent="0.2">
      <c r="A2536" s="28"/>
      <c r="B2536" s="28"/>
      <c r="C2536" s="28"/>
      <c r="D2536" s="28"/>
      <c r="E2536" s="16"/>
    </row>
    <row r="2537" spans="1:5" x14ac:dyDescent="0.2">
      <c r="A2537" s="28"/>
      <c r="B2537" s="28"/>
      <c r="C2537" s="28"/>
      <c r="D2537" s="28"/>
      <c r="E2537" s="16"/>
    </row>
    <row r="2538" spans="1:5" x14ac:dyDescent="0.2">
      <c r="A2538" s="28"/>
      <c r="B2538" s="28"/>
      <c r="C2538" s="28"/>
      <c r="D2538" s="28"/>
      <c r="E2538" s="16"/>
    </row>
    <row r="2539" spans="1:5" x14ac:dyDescent="0.2">
      <c r="A2539" s="28"/>
      <c r="B2539" s="28"/>
      <c r="C2539" s="28"/>
      <c r="D2539" s="28"/>
      <c r="E2539" s="16"/>
    </row>
    <row r="2540" spans="1:5" x14ac:dyDescent="0.2">
      <c r="A2540" s="28"/>
      <c r="B2540" s="28"/>
      <c r="C2540" s="28"/>
      <c r="D2540" s="28"/>
      <c r="E2540" s="16"/>
    </row>
    <row r="2541" spans="1:5" x14ac:dyDescent="0.2">
      <c r="A2541" s="28"/>
      <c r="B2541" s="28"/>
      <c r="C2541" s="28"/>
      <c r="D2541" s="28"/>
      <c r="E2541" s="16"/>
    </row>
    <row r="2542" spans="1:5" x14ac:dyDescent="0.2">
      <c r="A2542" s="28"/>
      <c r="B2542" s="28"/>
      <c r="C2542" s="28"/>
      <c r="D2542" s="28"/>
      <c r="E2542" s="16"/>
    </row>
    <row r="2543" spans="1:5" x14ac:dyDescent="0.2">
      <c r="A2543" s="28"/>
      <c r="B2543" s="28"/>
      <c r="C2543" s="28"/>
      <c r="D2543" s="28"/>
      <c r="E2543" s="16"/>
    </row>
    <row r="2544" spans="1:5" x14ac:dyDescent="0.2">
      <c r="A2544" s="28"/>
      <c r="B2544" s="28"/>
      <c r="C2544" s="28"/>
      <c r="D2544" s="28"/>
      <c r="E2544" s="16"/>
    </row>
    <row r="2545" spans="1:5" x14ac:dyDescent="0.2">
      <c r="A2545" s="28"/>
      <c r="B2545" s="28"/>
      <c r="C2545" s="28"/>
      <c r="D2545" s="28"/>
      <c r="E2545" s="16"/>
    </row>
    <row r="2546" spans="1:5" x14ac:dyDescent="0.2">
      <c r="A2546" s="28"/>
      <c r="B2546" s="28"/>
      <c r="C2546" s="28"/>
      <c r="D2546" s="28"/>
      <c r="E2546" s="16"/>
    </row>
    <row r="2547" spans="1:5" x14ac:dyDescent="0.2">
      <c r="A2547" s="28"/>
      <c r="B2547" s="28"/>
      <c r="C2547" s="28"/>
      <c r="D2547" s="28"/>
      <c r="E2547" s="16"/>
    </row>
    <row r="2548" spans="1:5" x14ac:dyDescent="0.2">
      <c r="A2548" s="28"/>
      <c r="B2548" s="28"/>
      <c r="C2548" s="28"/>
      <c r="D2548" s="28"/>
      <c r="E2548" s="16"/>
    </row>
    <row r="2549" spans="1:5" x14ac:dyDescent="0.2">
      <c r="A2549" s="28"/>
      <c r="B2549" s="28"/>
      <c r="C2549" s="28"/>
      <c r="D2549" s="28"/>
      <c r="E2549" s="16"/>
    </row>
    <row r="2550" spans="1:5" x14ac:dyDescent="0.2">
      <c r="A2550" s="28"/>
      <c r="B2550" s="28"/>
      <c r="C2550" s="28"/>
      <c r="D2550" s="28"/>
      <c r="E2550" s="16"/>
    </row>
    <row r="2551" spans="1:5" x14ac:dyDescent="0.2">
      <c r="A2551" s="28"/>
      <c r="B2551" s="28"/>
      <c r="C2551" s="28"/>
      <c r="D2551" s="28"/>
      <c r="E2551" s="16"/>
    </row>
    <row r="2552" spans="1:5" x14ac:dyDescent="0.2">
      <c r="A2552" s="28"/>
      <c r="B2552" s="28"/>
      <c r="C2552" s="28"/>
      <c r="D2552" s="28"/>
      <c r="E2552" s="16"/>
    </row>
    <row r="2553" spans="1:5" x14ac:dyDescent="0.2">
      <c r="A2553" s="28"/>
      <c r="B2553" s="28"/>
      <c r="C2553" s="28"/>
      <c r="D2553" s="28"/>
      <c r="E2553" s="16"/>
    </row>
    <row r="2554" spans="1:5" x14ac:dyDescent="0.2">
      <c r="A2554" s="28"/>
      <c r="B2554" s="28"/>
      <c r="C2554" s="28"/>
      <c r="D2554" s="28"/>
      <c r="E2554" s="16"/>
    </row>
    <row r="2555" spans="1:5" x14ac:dyDescent="0.2">
      <c r="A2555" s="28"/>
      <c r="B2555" s="28"/>
      <c r="C2555" s="28"/>
      <c r="D2555" s="28"/>
      <c r="E2555" s="16"/>
    </row>
    <row r="2556" spans="1:5" x14ac:dyDescent="0.2">
      <c r="A2556" s="28"/>
      <c r="B2556" s="28"/>
      <c r="C2556" s="28"/>
      <c r="D2556" s="28"/>
      <c r="E2556" s="16"/>
    </row>
    <row r="2557" spans="1:5" x14ac:dyDescent="0.2">
      <c r="A2557" s="28"/>
      <c r="B2557" s="28"/>
      <c r="C2557" s="28"/>
      <c r="D2557" s="28"/>
      <c r="E2557" s="16"/>
    </row>
    <row r="2558" spans="1:5" x14ac:dyDescent="0.2">
      <c r="A2558" s="28"/>
      <c r="B2558" s="28"/>
      <c r="C2558" s="28"/>
      <c r="D2558" s="28"/>
      <c r="E2558" s="16"/>
    </row>
    <row r="2559" spans="1:5" x14ac:dyDescent="0.2">
      <c r="A2559" s="28"/>
      <c r="B2559" s="28"/>
      <c r="C2559" s="28"/>
      <c r="D2559" s="28"/>
      <c r="E2559" s="16"/>
    </row>
    <row r="2560" spans="1:5" x14ac:dyDescent="0.2">
      <c r="A2560" s="28"/>
      <c r="B2560" s="28"/>
      <c r="C2560" s="28"/>
      <c r="D2560" s="28"/>
      <c r="E2560" s="16"/>
    </row>
    <row r="2561" spans="1:5" x14ac:dyDescent="0.2">
      <c r="A2561" s="28"/>
      <c r="B2561" s="28"/>
      <c r="C2561" s="28"/>
      <c r="D2561" s="28"/>
      <c r="E2561" s="16"/>
    </row>
    <row r="2562" spans="1:5" x14ac:dyDescent="0.2">
      <c r="A2562" s="28"/>
      <c r="B2562" s="28"/>
      <c r="C2562" s="28"/>
      <c r="D2562" s="28"/>
      <c r="E2562" s="16"/>
    </row>
    <row r="2563" spans="1:5" x14ac:dyDescent="0.2">
      <c r="A2563" s="28"/>
      <c r="B2563" s="28"/>
      <c r="C2563" s="28"/>
      <c r="D2563" s="28"/>
      <c r="E2563" s="16"/>
    </row>
    <row r="2564" spans="1:5" x14ac:dyDescent="0.2">
      <c r="A2564" s="28"/>
      <c r="B2564" s="28"/>
      <c r="C2564" s="28"/>
      <c r="D2564" s="28"/>
      <c r="E2564" s="16"/>
    </row>
    <row r="2565" spans="1:5" x14ac:dyDescent="0.2">
      <c r="A2565" s="28"/>
      <c r="B2565" s="28"/>
      <c r="C2565" s="28"/>
      <c r="D2565" s="28"/>
      <c r="E2565" s="16"/>
    </row>
    <row r="2566" spans="1:5" x14ac:dyDescent="0.2">
      <c r="A2566" s="28"/>
      <c r="B2566" s="28"/>
      <c r="C2566" s="28"/>
      <c r="D2566" s="28"/>
      <c r="E2566" s="16"/>
    </row>
    <row r="2567" spans="1:5" x14ac:dyDescent="0.2">
      <c r="A2567" s="28"/>
      <c r="B2567" s="28"/>
      <c r="C2567" s="28"/>
      <c r="D2567" s="28"/>
      <c r="E2567" s="16"/>
    </row>
    <row r="2568" spans="1:5" x14ac:dyDescent="0.2">
      <c r="A2568" s="28"/>
      <c r="B2568" s="28"/>
      <c r="C2568" s="28"/>
      <c r="D2568" s="28"/>
      <c r="E2568" s="16"/>
    </row>
    <row r="2569" spans="1:5" x14ac:dyDescent="0.2">
      <c r="A2569" s="28"/>
      <c r="B2569" s="28"/>
      <c r="C2569" s="28"/>
      <c r="D2569" s="28"/>
      <c r="E2569" s="16"/>
    </row>
    <row r="2570" spans="1:5" x14ac:dyDescent="0.2">
      <c r="A2570" s="28"/>
      <c r="B2570" s="28"/>
      <c r="C2570" s="28"/>
      <c r="D2570" s="28"/>
      <c r="E2570" s="16"/>
    </row>
    <row r="2571" spans="1:5" x14ac:dyDescent="0.2">
      <c r="A2571" s="28"/>
      <c r="B2571" s="28"/>
      <c r="C2571" s="28"/>
      <c r="D2571" s="28"/>
      <c r="E2571" s="16"/>
    </row>
    <row r="2572" spans="1:5" x14ac:dyDescent="0.2">
      <c r="A2572" s="28"/>
      <c r="B2572" s="28"/>
      <c r="C2572" s="28"/>
      <c r="D2572" s="28"/>
      <c r="E2572" s="16"/>
    </row>
    <row r="2573" spans="1:5" x14ac:dyDescent="0.2">
      <c r="A2573" s="28"/>
      <c r="B2573" s="28"/>
      <c r="C2573" s="28"/>
      <c r="D2573" s="28"/>
      <c r="E2573" s="16"/>
    </row>
    <row r="2574" spans="1:5" x14ac:dyDescent="0.2">
      <c r="A2574" s="28"/>
      <c r="B2574" s="28"/>
      <c r="C2574" s="28"/>
      <c r="D2574" s="28"/>
      <c r="E2574" s="16"/>
    </row>
    <row r="2575" spans="1:5" x14ac:dyDescent="0.2">
      <c r="A2575" s="28"/>
      <c r="B2575" s="28"/>
      <c r="C2575" s="28"/>
      <c r="D2575" s="28"/>
      <c r="E2575" s="16"/>
    </row>
    <row r="2576" spans="1:5" x14ac:dyDescent="0.2">
      <c r="A2576" s="28"/>
      <c r="B2576" s="28"/>
      <c r="C2576" s="28"/>
      <c r="D2576" s="28"/>
      <c r="E2576" s="16"/>
    </row>
    <row r="2577" spans="1:5" x14ac:dyDescent="0.2">
      <c r="A2577" s="28"/>
      <c r="B2577" s="28"/>
      <c r="C2577" s="28"/>
      <c r="D2577" s="28"/>
      <c r="E2577" s="16"/>
    </row>
    <row r="2578" spans="1:5" x14ac:dyDescent="0.2">
      <c r="A2578" s="28"/>
      <c r="B2578" s="28"/>
      <c r="C2578" s="28"/>
      <c r="D2578" s="28"/>
      <c r="E2578" s="16"/>
    </row>
    <row r="2579" spans="1:5" x14ac:dyDescent="0.2">
      <c r="A2579" s="28"/>
      <c r="B2579" s="28"/>
      <c r="C2579" s="28"/>
      <c r="D2579" s="28"/>
      <c r="E2579" s="16"/>
    </row>
    <row r="2580" spans="1:5" x14ac:dyDescent="0.2">
      <c r="A2580" s="28"/>
      <c r="B2580" s="28"/>
      <c r="C2580" s="28"/>
      <c r="D2580" s="28"/>
      <c r="E2580" s="16"/>
    </row>
    <row r="2581" spans="1:5" x14ac:dyDescent="0.2">
      <c r="A2581" s="28"/>
      <c r="B2581" s="28"/>
      <c r="C2581" s="28"/>
      <c r="D2581" s="28"/>
      <c r="E2581" s="16"/>
    </row>
    <row r="2582" spans="1:5" x14ac:dyDescent="0.2">
      <c r="A2582" s="28"/>
      <c r="B2582" s="28"/>
      <c r="C2582" s="28"/>
      <c r="D2582" s="28"/>
      <c r="E2582" s="16"/>
    </row>
    <row r="2583" spans="1:5" x14ac:dyDescent="0.2">
      <c r="A2583" s="28"/>
      <c r="B2583" s="28"/>
      <c r="C2583" s="28"/>
      <c r="D2583" s="28"/>
      <c r="E2583" s="16"/>
    </row>
    <row r="2584" spans="1:5" x14ac:dyDescent="0.2">
      <c r="A2584" s="28"/>
      <c r="B2584" s="28"/>
      <c r="C2584" s="28"/>
      <c r="D2584" s="28"/>
      <c r="E2584" s="16"/>
    </row>
    <row r="2585" spans="1:5" x14ac:dyDescent="0.2">
      <c r="A2585" s="28"/>
      <c r="B2585" s="28"/>
      <c r="C2585" s="28"/>
      <c r="D2585" s="28"/>
      <c r="E2585" s="16"/>
    </row>
    <row r="2586" spans="1:5" x14ac:dyDescent="0.2">
      <c r="A2586" s="28"/>
      <c r="B2586" s="28"/>
      <c r="C2586" s="28"/>
      <c r="D2586" s="28"/>
      <c r="E2586" s="16"/>
    </row>
    <row r="2587" spans="1:5" x14ac:dyDescent="0.2">
      <c r="A2587" s="28"/>
      <c r="B2587" s="28"/>
      <c r="C2587" s="28"/>
      <c r="D2587" s="28"/>
      <c r="E2587" s="16"/>
    </row>
    <row r="2588" spans="1:5" x14ac:dyDescent="0.2">
      <c r="A2588" s="28"/>
      <c r="B2588" s="28"/>
      <c r="C2588" s="28"/>
      <c r="D2588" s="28"/>
      <c r="E2588" s="16"/>
    </row>
    <row r="2589" spans="1:5" x14ac:dyDescent="0.2">
      <c r="A2589" s="28"/>
      <c r="B2589" s="28"/>
      <c r="C2589" s="28"/>
      <c r="D2589" s="28"/>
      <c r="E2589" s="16"/>
    </row>
    <row r="2590" spans="1:5" x14ac:dyDescent="0.2">
      <c r="A2590" s="28"/>
      <c r="B2590" s="28"/>
      <c r="C2590" s="28"/>
      <c r="D2590" s="28"/>
      <c r="E2590" s="16"/>
    </row>
    <row r="2591" spans="1:5" x14ac:dyDescent="0.2">
      <c r="A2591" s="28"/>
      <c r="B2591" s="28"/>
      <c r="C2591" s="28"/>
      <c r="D2591" s="28"/>
      <c r="E2591" s="16"/>
    </row>
    <row r="2592" spans="1:5" x14ac:dyDescent="0.2">
      <c r="A2592" s="28"/>
      <c r="B2592" s="28"/>
      <c r="C2592" s="28"/>
      <c r="D2592" s="28"/>
      <c r="E2592" s="16"/>
    </row>
    <row r="2593" spans="1:5" x14ac:dyDescent="0.2">
      <c r="A2593" s="28"/>
      <c r="B2593" s="28"/>
      <c r="C2593" s="28"/>
      <c r="D2593" s="28"/>
      <c r="E2593" s="16"/>
    </row>
    <row r="2594" spans="1:5" x14ac:dyDescent="0.2">
      <c r="A2594" s="28"/>
      <c r="B2594" s="28"/>
      <c r="C2594" s="28"/>
      <c r="D2594" s="28"/>
      <c r="E2594" s="16"/>
    </row>
    <row r="2595" spans="1:5" x14ac:dyDescent="0.2">
      <c r="A2595" s="28"/>
      <c r="B2595" s="28"/>
      <c r="C2595" s="28"/>
      <c r="D2595" s="28"/>
      <c r="E2595" s="16"/>
    </row>
    <row r="2596" spans="1:5" x14ac:dyDescent="0.2">
      <c r="A2596" s="28"/>
      <c r="B2596" s="28"/>
      <c r="C2596" s="28"/>
      <c r="D2596" s="28"/>
      <c r="E2596" s="16"/>
    </row>
    <row r="2597" spans="1:5" x14ac:dyDescent="0.2">
      <c r="A2597" s="28"/>
      <c r="B2597" s="28"/>
      <c r="C2597" s="28"/>
      <c r="D2597" s="28"/>
      <c r="E2597" s="16"/>
    </row>
    <row r="2598" spans="1:5" x14ac:dyDescent="0.2">
      <c r="A2598" s="28"/>
      <c r="B2598" s="28"/>
      <c r="C2598" s="28"/>
      <c r="D2598" s="28"/>
      <c r="E2598" s="16"/>
    </row>
    <row r="2599" spans="1:5" x14ac:dyDescent="0.2">
      <c r="A2599" s="28"/>
      <c r="B2599" s="28"/>
      <c r="C2599" s="28"/>
      <c r="D2599" s="28"/>
      <c r="E2599" s="16"/>
    </row>
    <row r="2600" spans="1:5" x14ac:dyDescent="0.2">
      <c r="A2600" s="28"/>
      <c r="B2600" s="28"/>
      <c r="C2600" s="28"/>
      <c r="D2600" s="28"/>
      <c r="E2600" s="16"/>
    </row>
    <row r="2601" spans="1:5" x14ac:dyDescent="0.2">
      <c r="A2601" s="28"/>
      <c r="B2601" s="28"/>
      <c r="C2601" s="28"/>
      <c r="D2601" s="28"/>
      <c r="E2601" s="16"/>
    </row>
    <row r="2602" spans="1:5" x14ac:dyDescent="0.2">
      <c r="A2602" s="28"/>
      <c r="B2602" s="28"/>
      <c r="C2602" s="28"/>
      <c r="D2602" s="28"/>
      <c r="E2602" s="16"/>
    </row>
    <row r="2603" spans="1:5" x14ac:dyDescent="0.2">
      <c r="A2603" s="28"/>
      <c r="B2603" s="28"/>
      <c r="C2603" s="28"/>
      <c r="D2603" s="28"/>
      <c r="E2603" s="16"/>
    </row>
    <row r="2604" spans="1:5" x14ac:dyDescent="0.2">
      <c r="A2604" s="28"/>
      <c r="B2604" s="28"/>
      <c r="C2604" s="28"/>
      <c r="D2604" s="28"/>
      <c r="E2604" s="16"/>
    </row>
    <row r="2605" spans="1:5" x14ac:dyDescent="0.2">
      <c r="A2605" s="28"/>
      <c r="B2605" s="28"/>
      <c r="C2605" s="28"/>
      <c r="D2605" s="28"/>
      <c r="E2605" s="16"/>
    </row>
    <row r="2606" spans="1:5" x14ac:dyDescent="0.2">
      <c r="A2606" s="28"/>
      <c r="B2606" s="28"/>
      <c r="C2606" s="28"/>
      <c r="D2606" s="28"/>
      <c r="E2606" s="16"/>
    </row>
    <row r="2607" spans="1:5" x14ac:dyDescent="0.2">
      <c r="A2607" s="28"/>
      <c r="B2607" s="28"/>
      <c r="C2607" s="28"/>
      <c r="D2607" s="28"/>
      <c r="E2607" s="16"/>
    </row>
    <row r="2608" spans="1:5" x14ac:dyDescent="0.2">
      <c r="A2608" s="28"/>
      <c r="B2608" s="28"/>
      <c r="C2608" s="28"/>
      <c r="D2608" s="28"/>
      <c r="E2608" s="16"/>
    </row>
    <row r="2609" spans="1:5" x14ac:dyDescent="0.2">
      <c r="A2609" s="28"/>
      <c r="B2609" s="28"/>
      <c r="C2609" s="28"/>
      <c r="D2609" s="28"/>
      <c r="E2609" s="16"/>
    </row>
    <row r="2610" spans="1:5" x14ac:dyDescent="0.2">
      <c r="A2610" s="28"/>
      <c r="B2610" s="28"/>
      <c r="C2610" s="28"/>
      <c r="D2610" s="28"/>
      <c r="E2610" s="16"/>
    </row>
    <row r="2611" spans="1:5" x14ac:dyDescent="0.2">
      <c r="A2611" s="28"/>
      <c r="B2611" s="28"/>
      <c r="C2611" s="28"/>
      <c r="D2611" s="28"/>
      <c r="E2611" s="16"/>
    </row>
    <row r="2612" spans="1:5" x14ac:dyDescent="0.2">
      <c r="A2612" s="28"/>
      <c r="B2612" s="28"/>
      <c r="C2612" s="28"/>
      <c r="D2612" s="28"/>
      <c r="E2612" s="16"/>
    </row>
    <row r="2613" spans="1:5" x14ac:dyDescent="0.2">
      <c r="A2613" s="28"/>
      <c r="B2613" s="28"/>
      <c r="C2613" s="28"/>
      <c r="D2613" s="28"/>
      <c r="E2613" s="16"/>
    </row>
    <row r="2614" spans="1:5" x14ac:dyDescent="0.2">
      <c r="A2614" s="28"/>
      <c r="B2614" s="28"/>
      <c r="C2614" s="28"/>
      <c r="D2614" s="28"/>
      <c r="E2614" s="16"/>
    </row>
    <row r="2615" spans="1:5" x14ac:dyDescent="0.2">
      <c r="A2615" s="28"/>
      <c r="B2615" s="28"/>
      <c r="C2615" s="28"/>
      <c r="D2615" s="28"/>
      <c r="E2615" s="16"/>
    </row>
    <row r="2616" spans="1:5" x14ac:dyDescent="0.2">
      <c r="A2616" s="28"/>
      <c r="B2616" s="28"/>
      <c r="C2616" s="28"/>
      <c r="D2616" s="28"/>
      <c r="E2616" s="16"/>
    </row>
    <row r="2617" spans="1:5" x14ac:dyDescent="0.2">
      <c r="A2617" s="28"/>
      <c r="B2617" s="28"/>
      <c r="C2617" s="28"/>
      <c r="D2617" s="28"/>
      <c r="E2617" s="16"/>
    </row>
    <row r="2618" spans="1:5" x14ac:dyDescent="0.2">
      <c r="A2618" s="28"/>
      <c r="B2618" s="28"/>
      <c r="C2618" s="28"/>
      <c r="D2618" s="28"/>
      <c r="E2618" s="16"/>
    </row>
    <row r="2619" spans="1:5" x14ac:dyDescent="0.2">
      <c r="A2619" s="28"/>
      <c r="B2619" s="28"/>
      <c r="C2619" s="28"/>
      <c r="D2619" s="28"/>
      <c r="E2619" s="16"/>
    </row>
    <row r="2620" spans="1:5" x14ac:dyDescent="0.2">
      <c r="A2620" s="28"/>
      <c r="B2620" s="28"/>
      <c r="C2620" s="28"/>
      <c r="D2620" s="28"/>
      <c r="E2620" s="16"/>
    </row>
    <row r="2621" spans="1:5" x14ac:dyDescent="0.2">
      <c r="A2621" s="28"/>
      <c r="B2621" s="28"/>
      <c r="C2621" s="28"/>
      <c r="D2621" s="28"/>
      <c r="E2621" s="16"/>
    </row>
    <row r="2622" spans="1:5" x14ac:dyDescent="0.2">
      <c r="A2622" s="28"/>
      <c r="B2622" s="28"/>
      <c r="C2622" s="28"/>
      <c r="D2622" s="28"/>
      <c r="E2622" s="16"/>
    </row>
    <row r="2623" spans="1:5" x14ac:dyDescent="0.2">
      <c r="A2623" s="28"/>
      <c r="B2623" s="28"/>
      <c r="C2623" s="28"/>
      <c r="D2623" s="28"/>
      <c r="E2623" s="16"/>
    </row>
    <row r="2624" spans="1:5" x14ac:dyDescent="0.2">
      <c r="A2624" s="28"/>
      <c r="B2624" s="28"/>
      <c r="C2624" s="28"/>
      <c r="D2624" s="28"/>
      <c r="E2624" s="16"/>
    </row>
    <row r="2625" spans="1:5" x14ac:dyDescent="0.2">
      <c r="A2625" s="28"/>
      <c r="B2625" s="28"/>
      <c r="C2625" s="28"/>
      <c r="D2625" s="28"/>
      <c r="E2625" s="16"/>
    </row>
    <row r="2626" spans="1:5" x14ac:dyDescent="0.2">
      <c r="A2626" s="28"/>
      <c r="B2626" s="28"/>
      <c r="C2626" s="28"/>
      <c r="D2626" s="28"/>
      <c r="E2626" s="16"/>
    </row>
    <row r="2627" spans="1:5" x14ac:dyDescent="0.2">
      <c r="A2627" s="28"/>
      <c r="B2627" s="28"/>
      <c r="C2627" s="28"/>
      <c r="D2627" s="28"/>
      <c r="E2627" s="16"/>
    </row>
    <row r="2628" spans="1:5" x14ac:dyDescent="0.2">
      <c r="A2628" s="28"/>
      <c r="B2628" s="28"/>
      <c r="C2628" s="28"/>
      <c r="D2628" s="28"/>
      <c r="E2628" s="16"/>
    </row>
    <row r="2629" spans="1:5" x14ac:dyDescent="0.2">
      <c r="A2629" s="28"/>
      <c r="B2629" s="28"/>
      <c r="C2629" s="28"/>
      <c r="D2629" s="28"/>
      <c r="E2629" s="16"/>
    </row>
    <row r="2630" spans="1:5" x14ac:dyDescent="0.2">
      <c r="A2630" s="28"/>
      <c r="B2630" s="28"/>
      <c r="C2630" s="28"/>
      <c r="D2630" s="28"/>
      <c r="E2630" s="16"/>
    </row>
    <row r="2631" spans="1:5" x14ac:dyDescent="0.2">
      <c r="A2631" s="28"/>
      <c r="B2631" s="28"/>
      <c r="C2631" s="28"/>
      <c r="D2631" s="28"/>
      <c r="E2631" s="16"/>
    </row>
    <row r="2632" spans="1:5" x14ac:dyDescent="0.2">
      <c r="A2632" s="28"/>
      <c r="B2632" s="28"/>
      <c r="C2632" s="28"/>
      <c r="D2632" s="28"/>
      <c r="E2632" s="16"/>
    </row>
    <row r="2633" spans="1:5" x14ac:dyDescent="0.2">
      <c r="A2633" s="28"/>
      <c r="B2633" s="28"/>
      <c r="C2633" s="28"/>
      <c r="D2633" s="28"/>
      <c r="E2633" s="16"/>
    </row>
    <row r="2634" spans="1:5" x14ac:dyDescent="0.2">
      <c r="A2634" s="28"/>
      <c r="B2634" s="28"/>
      <c r="C2634" s="28"/>
      <c r="D2634" s="28"/>
      <c r="E2634" s="16"/>
    </row>
    <row r="2635" spans="1:5" x14ac:dyDescent="0.2">
      <c r="A2635" s="28"/>
      <c r="B2635" s="28"/>
      <c r="C2635" s="28"/>
      <c r="D2635" s="28"/>
      <c r="E2635" s="16"/>
    </row>
    <row r="2636" spans="1:5" x14ac:dyDescent="0.2">
      <c r="A2636" s="28"/>
      <c r="B2636" s="28"/>
      <c r="C2636" s="28"/>
      <c r="D2636" s="28"/>
      <c r="E2636" s="16"/>
    </row>
    <row r="2637" spans="1:5" x14ac:dyDescent="0.2">
      <c r="A2637" s="28"/>
      <c r="B2637" s="28"/>
      <c r="C2637" s="28"/>
      <c r="D2637" s="28"/>
      <c r="E2637" s="16"/>
    </row>
    <row r="2638" spans="1:5" x14ac:dyDescent="0.2">
      <c r="A2638" s="28"/>
      <c r="B2638" s="28"/>
      <c r="C2638" s="28"/>
      <c r="D2638" s="28"/>
      <c r="E2638" s="16"/>
    </row>
    <row r="2639" spans="1:5" x14ac:dyDescent="0.2">
      <c r="A2639" s="28"/>
      <c r="B2639" s="28"/>
      <c r="C2639" s="28"/>
      <c r="D2639" s="28"/>
      <c r="E2639" s="16"/>
    </row>
    <row r="2640" spans="1:5" x14ac:dyDescent="0.2">
      <c r="A2640" s="28"/>
      <c r="B2640" s="28"/>
      <c r="C2640" s="28"/>
      <c r="D2640" s="28"/>
      <c r="E2640" s="16"/>
    </row>
    <row r="2641" spans="1:5" x14ac:dyDescent="0.2">
      <c r="A2641" s="28"/>
      <c r="B2641" s="28"/>
      <c r="C2641" s="28"/>
      <c r="D2641" s="28"/>
      <c r="E2641" s="16"/>
    </row>
    <row r="2642" spans="1:5" x14ac:dyDescent="0.2">
      <c r="A2642" s="28"/>
      <c r="B2642" s="28"/>
      <c r="C2642" s="28"/>
      <c r="D2642" s="28"/>
      <c r="E2642" s="16"/>
    </row>
    <row r="2643" spans="1:5" x14ac:dyDescent="0.2">
      <c r="A2643" s="28"/>
      <c r="B2643" s="28"/>
      <c r="C2643" s="28"/>
      <c r="D2643" s="28"/>
      <c r="E2643" s="16"/>
    </row>
    <row r="2644" spans="1:5" x14ac:dyDescent="0.2">
      <c r="A2644" s="28"/>
      <c r="B2644" s="28"/>
      <c r="C2644" s="28"/>
      <c r="D2644" s="28"/>
      <c r="E2644" s="16"/>
    </row>
    <row r="2645" spans="1:5" x14ac:dyDescent="0.2">
      <c r="A2645" s="28"/>
      <c r="B2645" s="28"/>
      <c r="C2645" s="28"/>
      <c r="D2645" s="28"/>
      <c r="E2645" s="16"/>
    </row>
    <row r="2646" spans="1:5" x14ac:dyDescent="0.2">
      <c r="A2646" s="28"/>
      <c r="B2646" s="28"/>
      <c r="C2646" s="28"/>
      <c r="D2646" s="28"/>
      <c r="E2646" s="16"/>
    </row>
    <row r="2647" spans="1:5" x14ac:dyDescent="0.2">
      <c r="A2647" s="28"/>
      <c r="B2647" s="28"/>
      <c r="C2647" s="28"/>
      <c r="D2647" s="28"/>
      <c r="E2647" s="16"/>
    </row>
    <row r="2648" spans="1:5" x14ac:dyDescent="0.2">
      <c r="A2648" s="28"/>
      <c r="B2648" s="28"/>
      <c r="C2648" s="28"/>
      <c r="D2648" s="28"/>
      <c r="E2648" s="16"/>
    </row>
    <row r="2649" spans="1:5" x14ac:dyDescent="0.2">
      <c r="A2649" s="28"/>
      <c r="B2649" s="28"/>
      <c r="C2649" s="28"/>
      <c r="D2649" s="28"/>
      <c r="E2649" s="16"/>
    </row>
    <row r="2650" spans="1:5" x14ac:dyDescent="0.2">
      <c r="A2650" s="28"/>
      <c r="B2650" s="28"/>
      <c r="C2650" s="28"/>
      <c r="D2650" s="28"/>
      <c r="E2650" s="16"/>
    </row>
    <row r="2651" spans="1:5" x14ac:dyDescent="0.2">
      <c r="A2651" s="28"/>
      <c r="B2651" s="28"/>
      <c r="C2651" s="28"/>
      <c r="D2651" s="28"/>
      <c r="E2651" s="16"/>
    </row>
    <row r="2652" spans="1:5" x14ac:dyDescent="0.2">
      <c r="A2652" s="28"/>
      <c r="B2652" s="28"/>
      <c r="C2652" s="28"/>
      <c r="D2652" s="28"/>
      <c r="E2652" s="16"/>
    </row>
    <row r="2653" spans="1:5" x14ac:dyDescent="0.2">
      <c r="A2653" s="28"/>
      <c r="B2653" s="28"/>
      <c r="C2653" s="28"/>
      <c r="D2653" s="28"/>
      <c r="E2653" s="16"/>
    </row>
    <row r="2654" spans="1:5" x14ac:dyDescent="0.2">
      <c r="A2654" s="28"/>
      <c r="B2654" s="28"/>
      <c r="C2654" s="28"/>
      <c r="D2654" s="28"/>
      <c r="E2654" s="16"/>
    </row>
    <row r="2655" spans="1:5" x14ac:dyDescent="0.2">
      <c r="A2655" s="28"/>
      <c r="B2655" s="28"/>
      <c r="C2655" s="28"/>
      <c r="D2655" s="28"/>
      <c r="E2655" s="16"/>
    </row>
    <row r="2656" spans="1:5" x14ac:dyDescent="0.2">
      <c r="A2656" s="28"/>
      <c r="B2656" s="28"/>
      <c r="C2656" s="28"/>
      <c r="D2656" s="28"/>
      <c r="E2656" s="16"/>
    </row>
    <row r="2657" spans="1:5" x14ac:dyDescent="0.2">
      <c r="A2657" s="28"/>
      <c r="B2657" s="28"/>
      <c r="C2657" s="28"/>
      <c r="D2657" s="28"/>
      <c r="E2657" s="16"/>
    </row>
    <row r="2658" spans="1:5" x14ac:dyDescent="0.2">
      <c r="A2658" s="28"/>
      <c r="B2658" s="28"/>
      <c r="C2658" s="28"/>
      <c r="D2658" s="28"/>
      <c r="E2658" s="16"/>
    </row>
    <row r="2659" spans="1:5" x14ac:dyDescent="0.2">
      <c r="A2659" s="28"/>
      <c r="B2659" s="28"/>
      <c r="C2659" s="28"/>
      <c r="D2659" s="28"/>
      <c r="E2659" s="16"/>
    </row>
    <row r="2660" spans="1:5" x14ac:dyDescent="0.2">
      <c r="A2660" s="28"/>
      <c r="B2660" s="28"/>
      <c r="C2660" s="28"/>
      <c r="D2660" s="28"/>
      <c r="E2660" s="16"/>
    </row>
    <row r="2661" spans="1:5" x14ac:dyDescent="0.2">
      <c r="A2661" s="28"/>
      <c r="B2661" s="28"/>
      <c r="C2661" s="28"/>
      <c r="D2661" s="28"/>
      <c r="E2661" s="16"/>
    </row>
    <row r="2662" spans="1:5" x14ac:dyDescent="0.2">
      <c r="A2662" s="28"/>
      <c r="B2662" s="28"/>
      <c r="C2662" s="28"/>
      <c r="D2662" s="28"/>
      <c r="E2662" s="16"/>
    </row>
    <row r="2663" spans="1:5" x14ac:dyDescent="0.2">
      <c r="A2663" s="28"/>
      <c r="B2663" s="28"/>
      <c r="C2663" s="28"/>
      <c r="D2663" s="28"/>
      <c r="E2663" s="16"/>
    </row>
    <row r="2664" spans="1:5" x14ac:dyDescent="0.2">
      <c r="A2664" s="28"/>
      <c r="B2664" s="28"/>
      <c r="C2664" s="28"/>
      <c r="D2664" s="28"/>
      <c r="E2664" s="16"/>
    </row>
    <row r="2665" spans="1:5" x14ac:dyDescent="0.2">
      <c r="A2665" s="28"/>
      <c r="B2665" s="28"/>
      <c r="C2665" s="28"/>
      <c r="D2665" s="28"/>
      <c r="E2665" s="16"/>
    </row>
    <row r="2666" spans="1:5" x14ac:dyDescent="0.2">
      <c r="A2666" s="28"/>
      <c r="B2666" s="28"/>
      <c r="C2666" s="28"/>
      <c r="D2666" s="28"/>
      <c r="E2666" s="16"/>
    </row>
    <row r="2667" spans="1:5" x14ac:dyDescent="0.2">
      <c r="A2667" s="28"/>
      <c r="B2667" s="28"/>
      <c r="C2667" s="28"/>
      <c r="D2667" s="28"/>
      <c r="E2667" s="16"/>
    </row>
    <row r="2668" spans="1:5" x14ac:dyDescent="0.2">
      <c r="A2668" s="28"/>
      <c r="B2668" s="28"/>
      <c r="C2668" s="28"/>
      <c r="D2668" s="28"/>
      <c r="E2668" s="16"/>
    </row>
    <row r="2669" spans="1:5" x14ac:dyDescent="0.2">
      <c r="A2669" s="28"/>
      <c r="B2669" s="28"/>
      <c r="C2669" s="28"/>
      <c r="D2669" s="28"/>
      <c r="E2669" s="16"/>
    </row>
    <row r="2670" spans="1:5" x14ac:dyDescent="0.2">
      <c r="A2670" s="28"/>
      <c r="B2670" s="28"/>
      <c r="C2670" s="28"/>
      <c r="D2670" s="28"/>
      <c r="E2670" s="16"/>
    </row>
    <row r="2671" spans="1:5" x14ac:dyDescent="0.2">
      <c r="A2671" s="28"/>
      <c r="B2671" s="28"/>
      <c r="C2671" s="28"/>
      <c r="D2671" s="28"/>
      <c r="E2671" s="16"/>
    </row>
    <row r="2672" spans="1:5" x14ac:dyDescent="0.2">
      <c r="A2672" s="28"/>
      <c r="B2672" s="28"/>
      <c r="C2672" s="28"/>
      <c r="D2672" s="28"/>
      <c r="E2672" s="16"/>
    </row>
    <row r="2673" spans="1:5" x14ac:dyDescent="0.2">
      <c r="A2673" s="28"/>
      <c r="B2673" s="28"/>
      <c r="C2673" s="28"/>
      <c r="D2673" s="28"/>
      <c r="E2673" s="16"/>
    </row>
    <row r="2674" spans="1:5" x14ac:dyDescent="0.2">
      <c r="A2674" s="28"/>
      <c r="B2674" s="28"/>
      <c r="C2674" s="28"/>
      <c r="D2674" s="28"/>
      <c r="E2674" s="16"/>
    </row>
    <row r="2675" spans="1:5" x14ac:dyDescent="0.2">
      <c r="A2675" s="28"/>
      <c r="B2675" s="28"/>
      <c r="C2675" s="28"/>
      <c r="D2675" s="28"/>
      <c r="E2675" s="16"/>
    </row>
    <row r="2676" spans="1:5" x14ac:dyDescent="0.2">
      <c r="A2676" s="28"/>
      <c r="B2676" s="28"/>
      <c r="C2676" s="28"/>
      <c r="D2676" s="28"/>
      <c r="E2676" s="16"/>
    </row>
    <row r="2677" spans="1:5" x14ac:dyDescent="0.2">
      <c r="A2677" s="28"/>
      <c r="B2677" s="28"/>
      <c r="C2677" s="28"/>
      <c r="D2677" s="28"/>
      <c r="E2677" s="16"/>
    </row>
    <row r="2678" spans="1:5" x14ac:dyDescent="0.2">
      <c r="A2678" s="28"/>
      <c r="B2678" s="28"/>
      <c r="C2678" s="28"/>
      <c r="D2678" s="28"/>
      <c r="E2678" s="16"/>
    </row>
    <row r="2679" spans="1:5" x14ac:dyDescent="0.2">
      <c r="A2679" s="28"/>
      <c r="B2679" s="28"/>
      <c r="C2679" s="28"/>
      <c r="D2679" s="28"/>
      <c r="E2679" s="16"/>
    </row>
    <row r="2680" spans="1:5" x14ac:dyDescent="0.2">
      <c r="A2680" s="28"/>
      <c r="B2680" s="28"/>
      <c r="C2680" s="28"/>
      <c r="D2680" s="28"/>
      <c r="E2680" s="16"/>
    </row>
    <row r="2681" spans="1:5" x14ac:dyDescent="0.2">
      <c r="A2681" s="28"/>
      <c r="B2681" s="28"/>
      <c r="C2681" s="28"/>
      <c r="D2681" s="28"/>
      <c r="E2681" s="16"/>
    </row>
    <row r="2682" spans="1:5" x14ac:dyDescent="0.2">
      <c r="A2682" s="28"/>
      <c r="B2682" s="28"/>
      <c r="C2682" s="28"/>
      <c r="D2682" s="28"/>
      <c r="E2682" s="16"/>
    </row>
    <row r="2683" spans="1:5" x14ac:dyDescent="0.2">
      <c r="A2683" s="28"/>
      <c r="B2683" s="28"/>
      <c r="C2683" s="28"/>
      <c r="D2683" s="28"/>
      <c r="E2683" s="16"/>
    </row>
    <row r="2684" spans="1:5" x14ac:dyDescent="0.2">
      <c r="A2684" s="28"/>
      <c r="B2684" s="28"/>
      <c r="C2684" s="28"/>
      <c r="D2684" s="28"/>
      <c r="E2684" s="16"/>
    </row>
    <row r="2685" spans="1:5" x14ac:dyDescent="0.2">
      <c r="A2685" s="28"/>
      <c r="B2685" s="28"/>
      <c r="C2685" s="28"/>
      <c r="D2685" s="28"/>
      <c r="E2685" s="16"/>
    </row>
    <row r="2686" spans="1:5" x14ac:dyDescent="0.2">
      <c r="A2686" s="28"/>
      <c r="B2686" s="28"/>
      <c r="C2686" s="28"/>
      <c r="D2686" s="28"/>
      <c r="E2686" s="16"/>
    </row>
    <row r="2687" spans="1:5" x14ac:dyDescent="0.2">
      <c r="A2687" s="28"/>
      <c r="B2687" s="28"/>
      <c r="C2687" s="28"/>
      <c r="D2687" s="28"/>
      <c r="E2687" s="16"/>
    </row>
    <row r="2688" spans="1:5" x14ac:dyDescent="0.2">
      <c r="A2688" s="28"/>
      <c r="B2688" s="28"/>
      <c r="C2688" s="28"/>
      <c r="D2688" s="28"/>
      <c r="E2688" s="16"/>
    </row>
    <row r="2689" spans="1:5" x14ac:dyDescent="0.2">
      <c r="A2689" s="28"/>
      <c r="B2689" s="28"/>
      <c r="C2689" s="28"/>
      <c r="D2689" s="28"/>
      <c r="E2689" s="16"/>
    </row>
    <row r="2690" spans="1:5" x14ac:dyDescent="0.2">
      <c r="A2690" s="28"/>
      <c r="B2690" s="28"/>
      <c r="C2690" s="28"/>
      <c r="D2690" s="28"/>
      <c r="E2690" s="16"/>
    </row>
    <row r="2691" spans="1:5" x14ac:dyDescent="0.2">
      <c r="A2691" s="28"/>
      <c r="B2691" s="28"/>
      <c r="C2691" s="28"/>
      <c r="D2691" s="28"/>
      <c r="E2691" s="16"/>
    </row>
    <row r="2692" spans="1:5" x14ac:dyDescent="0.2">
      <c r="A2692" s="28"/>
      <c r="B2692" s="28"/>
      <c r="C2692" s="28"/>
      <c r="D2692" s="28"/>
      <c r="E2692" s="16"/>
    </row>
    <row r="2693" spans="1:5" x14ac:dyDescent="0.2">
      <c r="A2693" s="28"/>
      <c r="B2693" s="28"/>
      <c r="C2693" s="28"/>
      <c r="D2693" s="28"/>
      <c r="E2693" s="16"/>
    </row>
    <row r="2694" spans="1:5" x14ac:dyDescent="0.2">
      <c r="A2694" s="28"/>
      <c r="B2694" s="28"/>
      <c r="C2694" s="28"/>
      <c r="D2694" s="28"/>
      <c r="E2694" s="16"/>
    </row>
    <row r="2695" spans="1:5" x14ac:dyDescent="0.2">
      <c r="A2695" s="28"/>
      <c r="B2695" s="28"/>
      <c r="C2695" s="28"/>
      <c r="D2695" s="28"/>
      <c r="E2695" s="16"/>
    </row>
    <row r="2696" spans="1:5" x14ac:dyDescent="0.2">
      <c r="A2696" s="28"/>
      <c r="B2696" s="28"/>
      <c r="C2696" s="28"/>
      <c r="D2696" s="28"/>
      <c r="E2696" s="16"/>
    </row>
    <row r="2697" spans="1:5" x14ac:dyDescent="0.2">
      <c r="A2697" s="28"/>
      <c r="B2697" s="28"/>
      <c r="C2697" s="28"/>
      <c r="D2697" s="28"/>
      <c r="E2697" s="16"/>
    </row>
    <row r="2698" spans="1:5" x14ac:dyDescent="0.2">
      <c r="A2698" s="28"/>
      <c r="B2698" s="28"/>
      <c r="C2698" s="28"/>
      <c r="D2698" s="28"/>
      <c r="E2698" s="16"/>
    </row>
    <row r="2699" spans="1:5" x14ac:dyDescent="0.2">
      <c r="A2699" s="28"/>
      <c r="B2699" s="28"/>
      <c r="C2699" s="28"/>
      <c r="D2699" s="28"/>
      <c r="E2699" s="16"/>
    </row>
    <row r="2700" spans="1:5" x14ac:dyDescent="0.2">
      <c r="A2700" s="28"/>
      <c r="B2700" s="28"/>
      <c r="C2700" s="28"/>
      <c r="D2700" s="28"/>
      <c r="E2700" s="16"/>
    </row>
    <row r="2701" spans="1:5" x14ac:dyDescent="0.2">
      <c r="A2701" s="28"/>
      <c r="B2701" s="28"/>
      <c r="C2701" s="28"/>
      <c r="D2701" s="28"/>
      <c r="E2701" s="16"/>
    </row>
    <row r="2702" spans="1:5" x14ac:dyDescent="0.2">
      <c r="A2702" s="28"/>
      <c r="B2702" s="28"/>
      <c r="C2702" s="28"/>
      <c r="D2702" s="28"/>
      <c r="E2702" s="16"/>
    </row>
    <row r="2703" spans="1:5" x14ac:dyDescent="0.2">
      <c r="A2703" s="28"/>
      <c r="B2703" s="28"/>
      <c r="C2703" s="28"/>
      <c r="D2703" s="28"/>
      <c r="E2703" s="16"/>
    </row>
    <row r="2704" spans="1:5" x14ac:dyDescent="0.2">
      <c r="A2704" s="28"/>
      <c r="B2704" s="28"/>
      <c r="C2704" s="28"/>
      <c r="D2704" s="28"/>
      <c r="E2704" s="16"/>
    </row>
    <row r="2705" spans="1:5" x14ac:dyDescent="0.2">
      <c r="A2705" s="28"/>
      <c r="B2705" s="28"/>
      <c r="C2705" s="28"/>
      <c r="D2705" s="28"/>
      <c r="E2705" s="16"/>
    </row>
    <row r="2706" spans="1:5" x14ac:dyDescent="0.2">
      <c r="A2706" s="28"/>
      <c r="B2706" s="28"/>
      <c r="C2706" s="28"/>
      <c r="D2706" s="28"/>
      <c r="E2706" s="16"/>
    </row>
    <row r="2707" spans="1:5" x14ac:dyDescent="0.2">
      <c r="A2707" s="28"/>
      <c r="B2707" s="28"/>
      <c r="C2707" s="28"/>
      <c r="D2707" s="28"/>
      <c r="E2707" s="16"/>
    </row>
    <row r="2708" spans="1:5" x14ac:dyDescent="0.2">
      <c r="A2708" s="28"/>
      <c r="B2708" s="28"/>
      <c r="C2708" s="28"/>
      <c r="D2708" s="28"/>
      <c r="E2708" s="16"/>
    </row>
    <row r="2709" spans="1:5" x14ac:dyDescent="0.2">
      <c r="A2709" s="28"/>
      <c r="B2709" s="28"/>
      <c r="C2709" s="28"/>
      <c r="D2709" s="28"/>
      <c r="E2709" s="16"/>
    </row>
    <row r="2710" spans="1:5" x14ac:dyDescent="0.2">
      <c r="A2710" s="28"/>
      <c r="B2710" s="28"/>
      <c r="C2710" s="28"/>
      <c r="D2710" s="28"/>
      <c r="E2710" s="16"/>
    </row>
    <row r="2711" spans="1:5" x14ac:dyDescent="0.2">
      <c r="A2711" s="28"/>
      <c r="B2711" s="28"/>
      <c r="C2711" s="28"/>
      <c r="D2711" s="28"/>
      <c r="E2711" s="16"/>
    </row>
    <row r="2712" spans="1:5" x14ac:dyDescent="0.2">
      <c r="A2712" s="28"/>
      <c r="B2712" s="28"/>
      <c r="C2712" s="28"/>
      <c r="D2712" s="28"/>
      <c r="E2712" s="16"/>
    </row>
    <row r="2713" spans="1:5" x14ac:dyDescent="0.2">
      <c r="A2713" s="28"/>
      <c r="B2713" s="28"/>
      <c r="C2713" s="28"/>
      <c r="D2713" s="28"/>
      <c r="E2713" s="16"/>
    </row>
    <row r="2714" spans="1:5" x14ac:dyDescent="0.2">
      <c r="A2714" s="28"/>
      <c r="B2714" s="28"/>
      <c r="C2714" s="28"/>
      <c r="D2714" s="28"/>
      <c r="E2714" s="16"/>
    </row>
    <row r="2715" spans="1:5" x14ac:dyDescent="0.2">
      <c r="A2715" s="28"/>
      <c r="B2715" s="28"/>
      <c r="C2715" s="28"/>
      <c r="D2715" s="28"/>
      <c r="E2715" s="16"/>
    </row>
    <row r="2716" spans="1:5" x14ac:dyDescent="0.2">
      <c r="A2716" s="28"/>
      <c r="B2716" s="28"/>
      <c r="C2716" s="28"/>
      <c r="D2716" s="28"/>
      <c r="E2716" s="16"/>
    </row>
    <row r="2717" spans="1:5" x14ac:dyDescent="0.2">
      <c r="A2717" s="28"/>
      <c r="B2717" s="28"/>
      <c r="C2717" s="28"/>
      <c r="D2717" s="28"/>
      <c r="E2717" s="16"/>
    </row>
    <row r="2718" spans="1:5" x14ac:dyDescent="0.2">
      <c r="A2718" s="28"/>
      <c r="B2718" s="28"/>
      <c r="C2718" s="28"/>
      <c r="D2718" s="28"/>
      <c r="E2718" s="16"/>
    </row>
    <row r="2719" spans="1:5" x14ac:dyDescent="0.2">
      <c r="A2719" s="28"/>
      <c r="B2719" s="28"/>
      <c r="C2719" s="28"/>
      <c r="D2719" s="28"/>
      <c r="E2719" s="16"/>
    </row>
    <row r="2720" spans="1:5" x14ac:dyDescent="0.2">
      <c r="A2720" s="28"/>
      <c r="B2720" s="28"/>
      <c r="C2720" s="28"/>
      <c r="D2720" s="28"/>
      <c r="E2720" s="16"/>
    </row>
    <row r="2721" spans="1:5" x14ac:dyDescent="0.2">
      <c r="A2721" s="28"/>
      <c r="B2721" s="28"/>
      <c r="C2721" s="28"/>
      <c r="D2721" s="28"/>
      <c r="E2721" s="16"/>
    </row>
    <row r="2722" spans="1:5" x14ac:dyDescent="0.2">
      <c r="A2722" s="28"/>
      <c r="B2722" s="28"/>
      <c r="C2722" s="28"/>
      <c r="D2722" s="28"/>
      <c r="E2722" s="16"/>
    </row>
    <row r="2723" spans="1:5" x14ac:dyDescent="0.2">
      <c r="A2723" s="28"/>
      <c r="B2723" s="28"/>
      <c r="C2723" s="28"/>
      <c r="D2723" s="28"/>
      <c r="E2723" s="16"/>
    </row>
    <row r="2724" spans="1:5" x14ac:dyDescent="0.2">
      <c r="A2724" s="28"/>
      <c r="B2724" s="28"/>
      <c r="C2724" s="28"/>
      <c r="D2724" s="28"/>
      <c r="E2724" s="16"/>
    </row>
    <row r="2725" spans="1:5" x14ac:dyDescent="0.2">
      <c r="A2725" s="28"/>
      <c r="B2725" s="28"/>
      <c r="C2725" s="28"/>
      <c r="D2725" s="28"/>
      <c r="E2725" s="16"/>
    </row>
    <row r="2726" spans="1:5" x14ac:dyDescent="0.2">
      <c r="A2726" s="28"/>
      <c r="B2726" s="28"/>
      <c r="C2726" s="28"/>
      <c r="D2726" s="28"/>
      <c r="E2726" s="16"/>
    </row>
    <row r="2727" spans="1:5" x14ac:dyDescent="0.2">
      <c r="A2727" s="28"/>
      <c r="B2727" s="28"/>
      <c r="C2727" s="28"/>
      <c r="D2727" s="28"/>
      <c r="E2727" s="16"/>
    </row>
    <row r="2728" spans="1:5" x14ac:dyDescent="0.2">
      <c r="A2728" s="28"/>
      <c r="B2728" s="28"/>
      <c r="C2728" s="28"/>
      <c r="D2728" s="28"/>
      <c r="E2728" s="16"/>
    </row>
    <row r="2729" spans="1:5" x14ac:dyDescent="0.2">
      <c r="A2729" s="28"/>
      <c r="B2729" s="28"/>
      <c r="C2729" s="28"/>
      <c r="D2729" s="28"/>
      <c r="E2729" s="16"/>
    </row>
    <row r="2730" spans="1:5" x14ac:dyDescent="0.2">
      <c r="A2730" s="28"/>
      <c r="B2730" s="28"/>
      <c r="C2730" s="28"/>
      <c r="D2730" s="28"/>
      <c r="E2730" s="16"/>
    </row>
    <row r="2731" spans="1:5" x14ac:dyDescent="0.2">
      <c r="A2731" s="28"/>
      <c r="B2731" s="28"/>
      <c r="C2731" s="28"/>
      <c r="D2731" s="28"/>
      <c r="E2731" s="16"/>
    </row>
    <row r="2732" spans="1:5" x14ac:dyDescent="0.2">
      <c r="A2732" s="28"/>
      <c r="B2732" s="28"/>
      <c r="C2732" s="28"/>
      <c r="D2732" s="28"/>
      <c r="E2732" s="16"/>
    </row>
    <row r="2733" spans="1:5" x14ac:dyDescent="0.2">
      <c r="A2733" s="28"/>
      <c r="B2733" s="28"/>
      <c r="C2733" s="28"/>
      <c r="D2733" s="28"/>
      <c r="E2733" s="16"/>
    </row>
    <row r="2734" spans="1:5" x14ac:dyDescent="0.2">
      <c r="A2734" s="28"/>
      <c r="B2734" s="28"/>
      <c r="C2734" s="28"/>
      <c r="D2734" s="28"/>
      <c r="E2734" s="16"/>
    </row>
    <row r="2735" spans="1:5" x14ac:dyDescent="0.2">
      <c r="A2735" s="28"/>
      <c r="B2735" s="28"/>
      <c r="C2735" s="28"/>
      <c r="D2735" s="28"/>
      <c r="E2735" s="16"/>
    </row>
    <row r="2736" spans="1:5" x14ac:dyDescent="0.2">
      <c r="A2736" s="28"/>
      <c r="B2736" s="28"/>
      <c r="C2736" s="28"/>
      <c r="D2736" s="28"/>
      <c r="E2736" s="16"/>
    </row>
    <row r="2737" spans="1:5" x14ac:dyDescent="0.2">
      <c r="A2737" s="28"/>
      <c r="B2737" s="28"/>
      <c r="C2737" s="28"/>
      <c r="D2737" s="28"/>
      <c r="E2737" s="16"/>
    </row>
    <row r="2738" spans="1:5" x14ac:dyDescent="0.2">
      <c r="A2738" s="28"/>
      <c r="B2738" s="28"/>
      <c r="C2738" s="28"/>
      <c r="D2738" s="28"/>
      <c r="E2738" s="16"/>
    </row>
    <row r="2739" spans="1:5" x14ac:dyDescent="0.2">
      <c r="A2739" s="28"/>
      <c r="B2739" s="28"/>
      <c r="C2739" s="28"/>
      <c r="D2739" s="28"/>
      <c r="E2739" s="16"/>
    </row>
    <row r="2740" spans="1:5" x14ac:dyDescent="0.2">
      <c r="A2740" s="28"/>
      <c r="B2740" s="28"/>
      <c r="C2740" s="28"/>
      <c r="D2740" s="28"/>
      <c r="E2740" s="16"/>
    </row>
    <row r="2741" spans="1:5" x14ac:dyDescent="0.2">
      <c r="A2741" s="28"/>
      <c r="B2741" s="28"/>
      <c r="C2741" s="28"/>
      <c r="D2741" s="28"/>
      <c r="E2741" s="16"/>
    </row>
    <row r="2742" spans="1:5" x14ac:dyDescent="0.2">
      <c r="A2742" s="28"/>
      <c r="B2742" s="28"/>
      <c r="C2742" s="28"/>
      <c r="D2742" s="28"/>
      <c r="E2742" s="16"/>
    </row>
    <row r="2743" spans="1:5" x14ac:dyDescent="0.2">
      <c r="A2743" s="28"/>
      <c r="B2743" s="28"/>
      <c r="C2743" s="28"/>
      <c r="D2743" s="28"/>
      <c r="E2743" s="16"/>
    </row>
    <row r="2744" spans="1:5" x14ac:dyDescent="0.2">
      <c r="A2744" s="28"/>
      <c r="B2744" s="28"/>
      <c r="C2744" s="28"/>
      <c r="D2744" s="28"/>
      <c r="E2744" s="16"/>
    </row>
    <row r="2745" spans="1:5" x14ac:dyDescent="0.2">
      <c r="A2745" s="28"/>
      <c r="B2745" s="28"/>
      <c r="C2745" s="28"/>
      <c r="D2745" s="28"/>
      <c r="E2745" s="16"/>
    </row>
    <row r="2746" spans="1:5" x14ac:dyDescent="0.2">
      <c r="A2746" s="28"/>
      <c r="B2746" s="28"/>
      <c r="C2746" s="28"/>
      <c r="D2746" s="28"/>
      <c r="E2746" s="16"/>
    </row>
    <row r="2747" spans="1:5" x14ac:dyDescent="0.2">
      <c r="A2747" s="28"/>
      <c r="B2747" s="28"/>
      <c r="C2747" s="28"/>
      <c r="D2747" s="28"/>
      <c r="E2747" s="16"/>
    </row>
    <row r="2748" spans="1:5" x14ac:dyDescent="0.2">
      <c r="A2748" s="28"/>
      <c r="B2748" s="28"/>
      <c r="C2748" s="28"/>
      <c r="D2748" s="28"/>
      <c r="E2748" s="16"/>
    </row>
    <row r="2749" spans="1:5" x14ac:dyDescent="0.2">
      <c r="A2749" s="28"/>
      <c r="B2749" s="28"/>
      <c r="C2749" s="28"/>
      <c r="D2749" s="28"/>
      <c r="E2749" s="16"/>
    </row>
    <row r="2750" spans="1:5" x14ac:dyDescent="0.2">
      <c r="A2750" s="28"/>
      <c r="B2750" s="28"/>
      <c r="C2750" s="28"/>
      <c r="D2750" s="28"/>
      <c r="E2750" s="16"/>
    </row>
    <row r="2751" spans="1:5" x14ac:dyDescent="0.2">
      <c r="A2751" s="28"/>
      <c r="B2751" s="28"/>
      <c r="C2751" s="28"/>
      <c r="D2751" s="28"/>
      <c r="E2751" s="16"/>
    </row>
    <row r="2752" spans="1:5" x14ac:dyDescent="0.2">
      <c r="A2752" s="28"/>
      <c r="B2752" s="28"/>
      <c r="C2752" s="28"/>
      <c r="D2752" s="28"/>
      <c r="E2752" s="16"/>
    </row>
    <row r="2753" spans="1:5" x14ac:dyDescent="0.2">
      <c r="A2753" s="28"/>
      <c r="B2753" s="28"/>
      <c r="C2753" s="28"/>
      <c r="D2753" s="28"/>
      <c r="E2753" s="16"/>
    </row>
    <row r="2754" spans="1:5" x14ac:dyDescent="0.2">
      <c r="A2754" s="28"/>
      <c r="B2754" s="28"/>
      <c r="C2754" s="28"/>
      <c r="D2754" s="28"/>
      <c r="E2754" s="16"/>
    </row>
    <row r="2755" spans="1:5" x14ac:dyDescent="0.2">
      <c r="A2755" s="28"/>
      <c r="B2755" s="28"/>
      <c r="C2755" s="28"/>
      <c r="D2755" s="28"/>
      <c r="E2755" s="16"/>
    </row>
    <row r="2756" spans="1:5" x14ac:dyDescent="0.2">
      <c r="A2756" s="28"/>
      <c r="B2756" s="28"/>
      <c r="C2756" s="28"/>
      <c r="D2756" s="28"/>
      <c r="E2756" s="16"/>
    </row>
    <row r="2757" spans="1:5" x14ac:dyDescent="0.2">
      <c r="A2757" s="28"/>
      <c r="B2757" s="28"/>
      <c r="C2757" s="28"/>
      <c r="D2757" s="28"/>
      <c r="E2757" s="16"/>
    </row>
    <row r="2758" spans="1:5" x14ac:dyDescent="0.2">
      <c r="A2758" s="28"/>
      <c r="B2758" s="28"/>
      <c r="C2758" s="28"/>
      <c r="D2758" s="28"/>
      <c r="E2758" s="16"/>
    </row>
    <row r="2759" spans="1:5" x14ac:dyDescent="0.2">
      <c r="A2759" s="28"/>
      <c r="B2759" s="28"/>
      <c r="C2759" s="28"/>
      <c r="D2759" s="28"/>
      <c r="E2759" s="16"/>
    </row>
    <row r="2760" spans="1:5" x14ac:dyDescent="0.2">
      <c r="A2760" s="28"/>
      <c r="B2760" s="28"/>
      <c r="C2760" s="28"/>
      <c r="D2760" s="28"/>
      <c r="E2760" s="16"/>
    </row>
    <row r="2761" spans="1:5" x14ac:dyDescent="0.2">
      <c r="A2761" s="28"/>
      <c r="B2761" s="28"/>
      <c r="C2761" s="28"/>
      <c r="D2761" s="28"/>
      <c r="E2761" s="16"/>
    </row>
    <row r="2762" spans="1:5" x14ac:dyDescent="0.2">
      <c r="A2762" s="28"/>
      <c r="B2762" s="28"/>
      <c r="C2762" s="28"/>
      <c r="D2762" s="28"/>
      <c r="E2762" s="16"/>
    </row>
    <row r="2763" spans="1:5" x14ac:dyDescent="0.2">
      <c r="A2763" s="28"/>
      <c r="B2763" s="28"/>
      <c r="C2763" s="28"/>
      <c r="D2763" s="28"/>
      <c r="E2763" s="16"/>
    </row>
    <row r="2764" spans="1:5" x14ac:dyDescent="0.2">
      <c r="A2764" s="28"/>
      <c r="B2764" s="28"/>
      <c r="C2764" s="28"/>
      <c r="D2764" s="28"/>
      <c r="E2764" s="16"/>
    </row>
    <row r="2765" spans="1:5" x14ac:dyDescent="0.2">
      <c r="A2765" s="28"/>
      <c r="B2765" s="28"/>
      <c r="C2765" s="28"/>
      <c r="D2765" s="28"/>
      <c r="E2765" s="16"/>
    </row>
    <row r="2766" spans="1:5" x14ac:dyDescent="0.2">
      <c r="A2766" s="28"/>
      <c r="B2766" s="28"/>
      <c r="C2766" s="28"/>
      <c r="D2766" s="28"/>
      <c r="E2766" s="16"/>
    </row>
    <row r="2767" spans="1:5" x14ac:dyDescent="0.2">
      <c r="A2767" s="28"/>
      <c r="B2767" s="28"/>
      <c r="C2767" s="28"/>
      <c r="D2767" s="28"/>
      <c r="E2767" s="16"/>
    </row>
    <row r="2768" spans="1:5" x14ac:dyDescent="0.2">
      <c r="A2768" s="28"/>
      <c r="B2768" s="28"/>
      <c r="C2768" s="28"/>
      <c r="D2768" s="28"/>
      <c r="E2768" s="16"/>
    </row>
    <row r="2769" spans="1:5" x14ac:dyDescent="0.2">
      <c r="A2769" s="28"/>
      <c r="B2769" s="28"/>
      <c r="C2769" s="28"/>
      <c r="D2769" s="28"/>
      <c r="E2769" s="16"/>
    </row>
    <row r="2770" spans="1:5" x14ac:dyDescent="0.2">
      <c r="A2770" s="28"/>
      <c r="B2770" s="28"/>
      <c r="C2770" s="28"/>
      <c r="D2770" s="28"/>
      <c r="E2770" s="16"/>
    </row>
    <row r="2771" spans="1:5" x14ac:dyDescent="0.2">
      <c r="A2771" s="28"/>
      <c r="B2771" s="28"/>
      <c r="C2771" s="28"/>
      <c r="D2771" s="28"/>
      <c r="E2771" s="16"/>
    </row>
    <row r="2772" spans="1:5" x14ac:dyDescent="0.2">
      <c r="A2772" s="28"/>
      <c r="B2772" s="28"/>
      <c r="C2772" s="28"/>
      <c r="D2772" s="28"/>
      <c r="E2772" s="16"/>
    </row>
    <row r="2773" spans="1:5" x14ac:dyDescent="0.2">
      <c r="A2773" s="28"/>
      <c r="B2773" s="28"/>
      <c r="C2773" s="28"/>
      <c r="D2773" s="28"/>
      <c r="E2773" s="16"/>
    </row>
    <row r="2774" spans="1:5" x14ac:dyDescent="0.2">
      <c r="A2774" s="28"/>
      <c r="B2774" s="28"/>
      <c r="C2774" s="28"/>
      <c r="D2774" s="28"/>
      <c r="E2774" s="16"/>
    </row>
    <row r="2775" spans="1:5" x14ac:dyDescent="0.2">
      <c r="A2775" s="28"/>
      <c r="B2775" s="28"/>
      <c r="C2775" s="28"/>
      <c r="D2775" s="28"/>
      <c r="E2775" s="16"/>
    </row>
    <row r="2776" spans="1:5" x14ac:dyDescent="0.2">
      <c r="A2776" s="28"/>
      <c r="B2776" s="28"/>
      <c r="C2776" s="28"/>
      <c r="D2776" s="28"/>
      <c r="E2776" s="16"/>
    </row>
    <row r="2777" spans="1:5" x14ac:dyDescent="0.2">
      <c r="A2777" s="28"/>
      <c r="B2777" s="28"/>
      <c r="C2777" s="28"/>
      <c r="D2777" s="28"/>
      <c r="E2777" s="16"/>
    </row>
    <row r="2778" spans="1:5" x14ac:dyDescent="0.2">
      <c r="A2778" s="28"/>
      <c r="B2778" s="28"/>
      <c r="C2778" s="28"/>
      <c r="D2778" s="28"/>
      <c r="E2778" s="16"/>
    </row>
    <row r="2779" spans="1:5" x14ac:dyDescent="0.2">
      <c r="A2779" s="28"/>
      <c r="B2779" s="28"/>
      <c r="C2779" s="28"/>
      <c r="D2779" s="28"/>
      <c r="E2779" s="16"/>
    </row>
    <row r="2780" spans="1:5" x14ac:dyDescent="0.2">
      <c r="A2780" s="28"/>
      <c r="B2780" s="28"/>
      <c r="C2780" s="28"/>
      <c r="D2780" s="28"/>
      <c r="E2780" s="16"/>
    </row>
    <row r="2781" spans="1:5" x14ac:dyDescent="0.2">
      <c r="A2781" s="28"/>
      <c r="B2781" s="28"/>
      <c r="C2781" s="28"/>
      <c r="D2781" s="28"/>
      <c r="E2781" s="16"/>
    </row>
    <row r="2782" spans="1:5" x14ac:dyDescent="0.2">
      <c r="A2782" s="28"/>
      <c r="B2782" s="28"/>
      <c r="C2782" s="28"/>
      <c r="D2782" s="28"/>
      <c r="E2782" s="16"/>
    </row>
    <row r="2783" spans="1:5" x14ac:dyDescent="0.2">
      <c r="A2783" s="28"/>
      <c r="B2783" s="28"/>
      <c r="C2783" s="28"/>
      <c r="D2783" s="28"/>
      <c r="E2783" s="16"/>
    </row>
    <row r="2784" spans="1:5" x14ac:dyDescent="0.2">
      <c r="A2784" s="28"/>
      <c r="B2784" s="28"/>
      <c r="C2784" s="28"/>
      <c r="D2784" s="28"/>
      <c r="E2784" s="16"/>
    </row>
    <row r="2785" spans="1:5" x14ac:dyDescent="0.2">
      <c r="A2785" s="28"/>
      <c r="B2785" s="28"/>
      <c r="C2785" s="28"/>
      <c r="D2785" s="28"/>
      <c r="E2785" s="16"/>
    </row>
    <row r="2786" spans="1:5" x14ac:dyDescent="0.2">
      <c r="A2786" s="28"/>
      <c r="B2786" s="28"/>
      <c r="C2786" s="28"/>
      <c r="D2786" s="28"/>
      <c r="E2786" s="16"/>
    </row>
    <row r="2787" spans="1:5" x14ac:dyDescent="0.2">
      <c r="A2787" s="28"/>
      <c r="B2787" s="28"/>
      <c r="C2787" s="28"/>
      <c r="D2787" s="28"/>
      <c r="E2787" s="16"/>
    </row>
    <row r="2788" spans="1:5" x14ac:dyDescent="0.2">
      <c r="A2788" s="28"/>
      <c r="B2788" s="28"/>
      <c r="C2788" s="28"/>
      <c r="D2788" s="28"/>
      <c r="E2788" s="16"/>
    </row>
    <row r="2789" spans="1:5" x14ac:dyDescent="0.2">
      <c r="A2789" s="28"/>
      <c r="B2789" s="28"/>
      <c r="C2789" s="28"/>
      <c r="D2789" s="28"/>
      <c r="E2789" s="16"/>
    </row>
    <row r="2790" spans="1:5" x14ac:dyDescent="0.2">
      <c r="A2790" s="28"/>
      <c r="B2790" s="28"/>
      <c r="C2790" s="28"/>
      <c r="D2790" s="28"/>
      <c r="E2790" s="16"/>
    </row>
    <row r="2791" spans="1:5" x14ac:dyDescent="0.2">
      <c r="A2791" s="28"/>
      <c r="B2791" s="28"/>
      <c r="C2791" s="28"/>
      <c r="D2791" s="28"/>
      <c r="E2791" s="16"/>
    </row>
    <row r="2792" spans="1:5" x14ac:dyDescent="0.2">
      <c r="A2792" s="28"/>
      <c r="B2792" s="28"/>
      <c r="C2792" s="28"/>
      <c r="D2792" s="28"/>
      <c r="E2792" s="16"/>
    </row>
    <row r="2793" spans="1:5" x14ac:dyDescent="0.2">
      <c r="A2793" s="28"/>
      <c r="B2793" s="28"/>
      <c r="C2793" s="28"/>
      <c r="D2793" s="28"/>
      <c r="E2793" s="16"/>
    </row>
    <row r="2794" spans="1:5" x14ac:dyDescent="0.2">
      <c r="A2794" s="28"/>
      <c r="B2794" s="28"/>
      <c r="C2794" s="28"/>
      <c r="D2794" s="28"/>
      <c r="E2794" s="16"/>
    </row>
    <row r="2795" spans="1:5" x14ac:dyDescent="0.2">
      <c r="A2795" s="28"/>
      <c r="B2795" s="28"/>
      <c r="C2795" s="28"/>
      <c r="D2795" s="28"/>
      <c r="E2795" s="16"/>
    </row>
    <row r="2796" spans="1:5" x14ac:dyDescent="0.2">
      <c r="A2796" s="28"/>
      <c r="B2796" s="28"/>
      <c r="C2796" s="28"/>
      <c r="D2796" s="28"/>
      <c r="E2796" s="16"/>
    </row>
    <row r="2797" spans="1:5" x14ac:dyDescent="0.2">
      <c r="A2797" s="28"/>
      <c r="B2797" s="28"/>
      <c r="C2797" s="28"/>
      <c r="D2797" s="28"/>
      <c r="E2797" s="16"/>
    </row>
    <row r="2798" spans="1:5" x14ac:dyDescent="0.2">
      <c r="A2798" s="28"/>
      <c r="B2798" s="28"/>
      <c r="C2798" s="28"/>
      <c r="D2798" s="28"/>
      <c r="E2798" s="16"/>
    </row>
    <row r="2799" spans="1:5" x14ac:dyDescent="0.2">
      <c r="A2799" s="28"/>
      <c r="B2799" s="28"/>
      <c r="C2799" s="28"/>
      <c r="D2799" s="28"/>
      <c r="E2799" s="16"/>
    </row>
    <row r="2800" spans="1:5" x14ac:dyDescent="0.2">
      <c r="A2800" s="28"/>
      <c r="B2800" s="28"/>
      <c r="C2800" s="28"/>
      <c r="D2800" s="28"/>
      <c r="E2800" s="16"/>
    </row>
    <row r="2801" spans="1:5" x14ac:dyDescent="0.2">
      <c r="A2801" s="28"/>
      <c r="B2801" s="28"/>
      <c r="C2801" s="28"/>
      <c r="D2801" s="28"/>
      <c r="E2801" s="16"/>
    </row>
    <row r="2802" spans="1:5" x14ac:dyDescent="0.2">
      <c r="A2802" s="28"/>
      <c r="B2802" s="28"/>
      <c r="C2802" s="28"/>
      <c r="D2802" s="28"/>
      <c r="E2802" s="16"/>
    </row>
    <row r="2803" spans="1:5" x14ac:dyDescent="0.2">
      <c r="A2803" s="28"/>
      <c r="B2803" s="28"/>
      <c r="C2803" s="28"/>
      <c r="D2803" s="28"/>
      <c r="E2803" s="16"/>
    </row>
    <row r="2804" spans="1:5" x14ac:dyDescent="0.2">
      <c r="A2804" s="28"/>
      <c r="B2804" s="28"/>
      <c r="C2804" s="28"/>
      <c r="D2804" s="28"/>
      <c r="E2804" s="16"/>
    </row>
    <row r="2805" spans="1:5" x14ac:dyDescent="0.2">
      <c r="A2805" s="28"/>
      <c r="B2805" s="28"/>
      <c r="C2805" s="28"/>
      <c r="D2805" s="28"/>
      <c r="E2805" s="16"/>
    </row>
    <row r="2806" spans="1:5" x14ac:dyDescent="0.2">
      <c r="A2806" s="28"/>
      <c r="B2806" s="28"/>
      <c r="C2806" s="28"/>
      <c r="D2806" s="28"/>
      <c r="E2806" s="16"/>
    </row>
    <row r="2807" spans="1:5" x14ac:dyDescent="0.2">
      <c r="A2807" s="28"/>
      <c r="B2807" s="28"/>
      <c r="C2807" s="28"/>
      <c r="D2807" s="28"/>
      <c r="E2807" s="16"/>
    </row>
    <row r="2808" spans="1:5" x14ac:dyDescent="0.2">
      <c r="A2808" s="28"/>
      <c r="B2808" s="28"/>
      <c r="C2808" s="28"/>
      <c r="D2808" s="28"/>
      <c r="E2808" s="16"/>
    </row>
    <row r="2809" spans="1:5" x14ac:dyDescent="0.2">
      <c r="A2809" s="28"/>
      <c r="B2809" s="28"/>
      <c r="C2809" s="28"/>
      <c r="D2809" s="28"/>
      <c r="E2809" s="16"/>
    </row>
    <row r="2810" spans="1:5" x14ac:dyDescent="0.2">
      <c r="A2810" s="28"/>
      <c r="B2810" s="28"/>
      <c r="C2810" s="28"/>
      <c r="D2810" s="28"/>
      <c r="E2810" s="16"/>
    </row>
    <row r="2811" spans="1:5" x14ac:dyDescent="0.2">
      <c r="A2811" s="28"/>
      <c r="B2811" s="28"/>
      <c r="C2811" s="28"/>
      <c r="D2811" s="28"/>
      <c r="E2811" s="16"/>
    </row>
    <row r="2812" spans="1:5" x14ac:dyDescent="0.2">
      <c r="A2812" s="28"/>
      <c r="B2812" s="28"/>
      <c r="C2812" s="28"/>
      <c r="D2812" s="28"/>
      <c r="E2812" s="16"/>
    </row>
    <row r="2813" spans="1:5" x14ac:dyDescent="0.2">
      <c r="A2813" s="28"/>
      <c r="B2813" s="28"/>
      <c r="C2813" s="28"/>
      <c r="D2813" s="28"/>
      <c r="E2813" s="16"/>
    </row>
    <row r="2814" spans="1:5" x14ac:dyDescent="0.2">
      <c r="A2814" s="28"/>
      <c r="B2814" s="28"/>
      <c r="C2814" s="28"/>
      <c r="D2814" s="28"/>
      <c r="E2814" s="16"/>
    </row>
    <row r="2815" spans="1:5" x14ac:dyDescent="0.2">
      <c r="A2815" s="28"/>
      <c r="B2815" s="28"/>
      <c r="C2815" s="28"/>
      <c r="D2815" s="28"/>
      <c r="E2815" s="16"/>
    </row>
    <row r="2816" spans="1:5" x14ac:dyDescent="0.2">
      <c r="A2816" s="28"/>
      <c r="B2816" s="28"/>
      <c r="C2816" s="28"/>
      <c r="D2816" s="28"/>
      <c r="E2816" s="16"/>
    </row>
    <row r="2817" spans="1:5" x14ac:dyDescent="0.2">
      <c r="A2817" s="28"/>
      <c r="B2817" s="28"/>
      <c r="C2817" s="28"/>
      <c r="D2817" s="28"/>
      <c r="E2817" s="16"/>
    </row>
    <row r="2818" spans="1:5" x14ac:dyDescent="0.2">
      <c r="A2818" s="28"/>
      <c r="B2818" s="28"/>
      <c r="C2818" s="28"/>
      <c r="D2818" s="28"/>
      <c r="E2818" s="16"/>
    </row>
    <row r="2819" spans="1:5" x14ac:dyDescent="0.2">
      <c r="A2819" s="28"/>
      <c r="B2819" s="28"/>
      <c r="C2819" s="28"/>
      <c r="D2819" s="28"/>
      <c r="E2819" s="16"/>
    </row>
    <row r="2820" spans="1:5" x14ac:dyDescent="0.2">
      <c r="A2820" s="28"/>
      <c r="B2820" s="28"/>
      <c r="C2820" s="28"/>
      <c r="D2820" s="28"/>
      <c r="E2820" s="16"/>
    </row>
    <row r="2821" spans="1:5" x14ac:dyDescent="0.2">
      <c r="A2821" s="28"/>
      <c r="B2821" s="28"/>
      <c r="C2821" s="28"/>
      <c r="D2821" s="28"/>
      <c r="E2821" s="16"/>
    </row>
    <row r="2822" spans="1:5" x14ac:dyDescent="0.2">
      <c r="A2822" s="28"/>
      <c r="B2822" s="28"/>
      <c r="C2822" s="28"/>
      <c r="D2822" s="28"/>
      <c r="E2822" s="16"/>
    </row>
    <row r="2823" spans="1:5" x14ac:dyDescent="0.2">
      <c r="A2823" s="28"/>
      <c r="B2823" s="28"/>
      <c r="C2823" s="28"/>
      <c r="D2823" s="28"/>
      <c r="E2823" s="16"/>
    </row>
    <row r="2824" spans="1:5" x14ac:dyDescent="0.2">
      <c r="A2824" s="28"/>
      <c r="B2824" s="28"/>
      <c r="C2824" s="28"/>
      <c r="D2824" s="28"/>
      <c r="E2824" s="16"/>
    </row>
    <row r="2825" spans="1:5" x14ac:dyDescent="0.2">
      <c r="A2825" s="28"/>
      <c r="B2825" s="28"/>
      <c r="C2825" s="28"/>
      <c r="D2825" s="28"/>
      <c r="E2825" s="16"/>
    </row>
    <row r="2826" spans="1:5" x14ac:dyDescent="0.2">
      <c r="A2826" s="28"/>
      <c r="B2826" s="28"/>
      <c r="C2826" s="28"/>
      <c r="D2826" s="28"/>
      <c r="E2826" s="16"/>
    </row>
    <row r="2827" spans="1:5" x14ac:dyDescent="0.2">
      <c r="A2827" s="28"/>
      <c r="B2827" s="28"/>
      <c r="C2827" s="28"/>
      <c r="D2827" s="28"/>
      <c r="E2827" s="16"/>
    </row>
    <row r="2828" spans="1:5" x14ac:dyDescent="0.2">
      <c r="A2828" s="28"/>
      <c r="B2828" s="28"/>
      <c r="C2828" s="28"/>
      <c r="D2828" s="28"/>
      <c r="E2828" s="16"/>
    </row>
    <row r="2829" spans="1:5" x14ac:dyDescent="0.2">
      <c r="A2829" s="28"/>
      <c r="B2829" s="28"/>
      <c r="C2829" s="28"/>
      <c r="D2829" s="28"/>
      <c r="E2829" s="16"/>
    </row>
    <row r="2830" spans="1:5" x14ac:dyDescent="0.2">
      <c r="A2830" s="28"/>
      <c r="B2830" s="28"/>
      <c r="C2830" s="28"/>
      <c r="D2830" s="28"/>
      <c r="E2830" s="16"/>
    </row>
    <row r="2831" spans="1:5" x14ac:dyDescent="0.2">
      <c r="A2831" s="28"/>
      <c r="B2831" s="28"/>
      <c r="C2831" s="28"/>
      <c r="D2831" s="28"/>
      <c r="E2831" s="16"/>
    </row>
    <row r="2832" spans="1:5" x14ac:dyDescent="0.2">
      <c r="A2832" s="28"/>
      <c r="B2832" s="28"/>
      <c r="C2832" s="28"/>
      <c r="D2832" s="28"/>
      <c r="E2832" s="16"/>
    </row>
    <row r="2833" spans="1:5" x14ac:dyDescent="0.2">
      <c r="A2833" s="28"/>
      <c r="B2833" s="28"/>
      <c r="C2833" s="28"/>
      <c r="D2833" s="28"/>
      <c r="E2833" s="16"/>
    </row>
    <row r="2834" spans="1:5" x14ac:dyDescent="0.2">
      <c r="A2834" s="28"/>
      <c r="B2834" s="28"/>
      <c r="C2834" s="28"/>
      <c r="D2834" s="28"/>
      <c r="E2834" s="16"/>
    </row>
    <row r="2835" spans="1:5" x14ac:dyDescent="0.2">
      <c r="A2835" s="28"/>
      <c r="B2835" s="28"/>
      <c r="C2835" s="28"/>
      <c r="D2835" s="28"/>
      <c r="E2835" s="16"/>
    </row>
    <row r="2836" spans="1:5" x14ac:dyDescent="0.2">
      <c r="A2836" s="28"/>
      <c r="B2836" s="28"/>
      <c r="C2836" s="28"/>
      <c r="D2836" s="28"/>
      <c r="E2836" s="16"/>
    </row>
    <row r="2837" spans="1:5" x14ac:dyDescent="0.2">
      <c r="A2837" s="28"/>
      <c r="B2837" s="28"/>
      <c r="C2837" s="28"/>
      <c r="D2837" s="28"/>
      <c r="E2837" s="16"/>
    </row>
    <row r="2838" spans="1:5" x14ac:dyDescent="0.2">
      <c r="A2838" s="28"/>
      <c r="B2838" s="28"/>
      <c r="C2838" s="28"/>
      <c r="D2838" s="28"/>
      <c r="E2838" s="16"/>
    </row>
    <row r="2839" spans="1:5" x14ac:dyDescent="0.2">
      <c r="A2839" s="28"/>
      <c r="B2839" s="28"/>
      <c r="C2839" s="28"/>
      <c r="D2839" s="28"/>
      <c r="E2839" s="16"/>
    </row>
    <row r="2840" spans="1:5" x14ac:dyDescent="0.2">
      <c r="A2840" s="28"/>
      <c r="B2840" s="28"/>
      <c r="C2840" s="28"/>
      <c r="D2840" s="28"/>
      <c r="E2840" s="16"/>
    </row>
    <row r="2841" spans="1:5" x14ac:dyDescent="0.2">
      <c r="A2841" s="28"/>
      <c r="B2841" s="28"/>
      <c r="C2841" s="28"/>
      <c r="D2841" s="28"/>
      <c r="E2841" s="16"/>
    </row>
    <row r="2842" spans="1:5" x14ac:dyDescent="0.2">
      <c r="A2842" s="28"/>
      <c r="B2842" s="28"/>
      <c r="C2842" s="28"/>
      <c r="D2842" s="28"/>
      <c r="E2842" s="16"/>
    </row>
    <row r="2843" spans="1:5" x14ac:dyDescent="0.2">
      <c r="A2843" s="28"/>
      <c r="B2843" s="28"/>
      <c r="C2843" s="28"/>
      <c r="D2843" s="28"/>
      <c r="E2843" s="16"/>
    </row>
    <row r="2844" spans="1:5" x14ac:dyDescent="0.2">
      <c r="A2844" s="28"/>
      <c r="B2844" s="28"/>
      <c r="C2844" s="28"/>
      <c r="D2844" s="28"/>
      <c r="E2844" s="16"/>
    </row>
    <row r="2845" spans="1:5" x14ac:dyDescent="0.2">
      <c r="A2845" s="28"/>
      <c r="B2845" s="28"/>
      <c r="C2845" s="28"/>
      <c r="D2845" s="28"/>
      <c r="E2845" s="16"/>
    </row>
    <row r="2846" spans="1:5" x14ac:dyDescent="0.2">
      <c r="A2846" s="28"/>
      <c r="B2846" s="28"/>
      <c r="C2846" s="28"/>
      <c r="D2846" s="28"/>
      <c r="E2846" s="16"/>
    </row>
    <row r="2847" spans="1:5" x14ac:dyDescent="0.2">
      <c r="A2847" s="28"/>
      <c r="B2847" s="28"/>
      <c r="C2847" s="28"/>
      <c r="D2847" s="28"/>
      <c r="E2847" s="16"/>
    </row>
    <row r="2848" spans="1:5" x14ac:dyDescent="0.2">
      <c r="A2848" s="28"/>
      <c r="B2848" s="28"/>
      <c r="C2848" s="28"/>
      <c r="D2848" s="28"/>
      <c r="E2848" s="16"/>
    </row>
    <row r="2849" spans="1:5" x14ac:dyDescent="0.2">
      <c r="A2849" s="28"/>
      <c r="B2849" s="28"/>
      <c r="C2849" s="28"/>
      <c r="D2849" s="28"/>
      <c r="E2849" s="16"/>
    </row>
    <row r="2850" spans="1:5" x14ac:dyDescent="0.2">
      <c r="A2850" s="28"/>
      <c r="B2850" s="28"/>
      <c r="C2850" s="28"/>
      <c r="D2850" s="28"/>
      <c r="E2850" s="16"/>
    </row>
    <row r="2851" spans="1:5" x14ac:dyDescent="0.2">
      <c r="A2851" s="28"/>
      <c r="B2851" s="28"/>
      <c r="C2851" s="28"/>
      <c r="D2851" s="28"/>
      <c r="E2851" s="16"/>
    </row>
    <row r="2852" spans="1:5" x14ac:dyDescent="0.2">
      <c r="A2852" s="28"/>
      <c r="B2852" s="28"/>
      <c r="C2852" s="28"/>
      <c r="D2852" s="28"/>
      <c r="E2852" s="16"/>
    </row>
    <row r="2853" spans="1:5" x14ac:dyDescent="0.2">
      <c r="A2853" s="28"/>
      <c r="B2853" s="28"/>
      <c r="C2853" s="28"/>
      <c r="D2853" s="28"/>
      <c r="E2853" s="16"/>
    </row>
    <row r="2854" spans="1:5" x14ac:dyDescent="0.2">
      <c r="A2854" s="28"/>
      <c r="B2854" s="28"/>
      <c r="C2854" s="28"/>
      <c r="D2854" s="28"/>
      <c r="E2854" s="16"/>
    </row>
    <row r="2855" spans="1:5" x14ac:dyDescent="0.2">
      <c r="A2855" s="28"/>
      <c r="B2855" s="28"/>
      <c r="C2855" s="28"/>
      <c r="D2855" s="28"/>
      <c r="E2855" s="16"/>
    </row>
    <row r="2856" spans="1:5" x14ac:dyDescent="0.2">
      <c r="A2856" s="28"/>
      <c r="B2856" s="28"/>
      <c r="C2856" s="28"/>
      <c r="D2856" s="28"/>
      <c r="E2856" s="16"/>
    </row>
    <row r="2857" spans="1:5" x14ac:dyDescent="0.2">
      <c r="A2857" s="28"/>
      <c r="B2857" s="28"/>
      <c r="C2857" s="28"/>
      <c r="D2857" s="28"/>
      <c r="E2857" s="16"/>
    </row>
    <row r="2858" spans="1:5" x14ac:dyDescent="0.2">
      <c r="A2858" s="28"/>
      <c r="B2858" s="28"/>
      <c r="C2858" s="28"/>
      <c r="D2858" s="28"/>
      <c r="E2858" s="16"/>
    </row>
    <row r="2859" spans="1:5" x14ac:dyDescent="0.2">
      <c r="A2859" s="28"/>
      <c r="B2859" s="28"/>
      <c r="C2859" s="28"/>
      <c r="D2859" s="28"/>
      <c r="E2859" s="16"/>
    </row>
    <row r="2860" spans="1:5" x14ac:dyDescent="0.2">
      <c r="A2860" s="28"/>
      <c r="B2860" s="28"/>
      <c r="C2860" s="28"/>
      <c r="D2860" s="28"/>
      <c r="E2860" s="16"/>
    </row>
    <row r="2861" spans="1:5" x14ac:dyDescent="0.2">
      <c r="A2861" s="28"/>
      <c r="B2861" s="28"/>
      <c r="C2861" s="28"/>
      <c r="D2861" s="28"/>
      <c r="E2861" s="16"/>
    </row>
    <row r="2862" spans="1:5" x14ac:dyDescent="0.2">
      <c r="A2862" s="28"/>
      <c r="B2862" s="28"/>
      <c r="C2862" s="28"/>
      <c r="D2862" s="28"/>
      <c r="E2862" s="16"/>
    </row>
    <row r="2863" spans="1:5" x14ac:dyDescent="0.2">
      <c r="A2863" s="28"/>
      <c r="B2863" s="28"/>
      <c r="C2863" s="28"/>
      <c r="D2863" s="28"/>
      <c r="E2863" s="16"/>
    </row>
    <row r="2864" spans="1:5" x14ac:dyDescent="0.2">
      <c r="A2864" s="28"/>
      <c r="B2864" s="28"/>
      <c r="C2864" s="28"/>
      <c r="D2864" s="28"/>
      <c r="E2864" s="16"/>
    </row>
    <row r="2865" spans="1:5" x14ac:dyDescent="0.2">
      <c r="A2865" s="28"/>
      <c r="B2865" s="28"/>
      <c r="C2865" s="28"/>
      <c r="D2865" s="28"/>
      <c r="E2865" s="16"/>
    </row>
    <row r="2866" spans="1:5" x14ac:dyDescent="0.2">
      <c r="A2866" s="28"/>
      <c r="B2866" s="28"/>
      <c r="C2866" s="28"/>
      <c r="D2866" s="28"/>
      <c r="E2866" s="16"/>
    </row>
    <row r="2867" spans="1:5" x14ac:dyDescent="0.2">
      <c r="A2867" s="28"/>
      <c r="B2867" s="28"/>
      <c r="C2867" s="28"/>
      <c r="D2867" s="28"/>
      <c r="E2867" s="16"/>
    </row>
    <row r="2868" spans="1:5" x14ac:dyDescent="0.2">
      <c r="A2868" s="28"/>
      <c r="B2868" s="28"/>
      <c r="C2868" s="28"/>
      <c r="D2868" s="28"/>
      <c r="E2868" s="16"/>
    </row>
    <row r="2869" spans="1:5" x14ac:dyDescent="0.2">
      <c r="A2869" s="28"/>
      <c r="B2869" s="28"/>
      <c r="C2869" s="28"/>
      <c r="D2869" s="28"/>
      <c r="E2869" s="16"/>
    </row>
    <row r="2870" spans="1:5" x14ac:dyDescent="0.2">
      <c r="A2870" s="28"/>
      <c r="B2870" s="28"/>
      <c r="C2870" s="28"/>
      <c r="D2870" s="28"/>
      <c r="E2870" s="16"/>
    </row>
    <row r="2871" spans="1:5" x14ac:dyDescent="0.2">
      <c r="A2871" s="28"/>
      <c r="B2871" s="28"/>
      <c r="C2871" s="28"/>
      <c r="D2871" s="28"/>
      <c r="E2871" s="16"/>
    </row>
    <row r="2872" spans="1:5" x14ac:dyDescent="0.2">
      <c r="A2872" s="28"/>
      <c r="B2872" s="28"/>
      <c r="C2872" s="28"/>
      <c r="D2872" s="28"/>
      <c r="E2872" s="16"/>
    </row>
    <row r="2873" spans="1:5" x14ac:dyDescent="0.2">
      <c r="A2873" s="28"/>
      <c r="B2873" s="28"/>
      <c r="C2873" s="28"/>
      <c r="D2873" s="28"/>
      <c r="E2873" s="16"/>
    </row>
    <row r="2874" spans="1:5" x14ac:dyDescent="0.2">
      <c r="A2874" s="28"/>
      <c r="B2874" s="28"/>
      <c r="C2874" s="28"/>
      <c r="D2874" s="28"/>
      <c r="E2874" s="16"/>
    </row>
    <row r="2875" spans="1:5" x14ac:dyDescent="0.2">
      <c r="A2875" s="28"/>
      <c r="B2875" s="28"/>
      <c r="C2875" s="28"/>
      <c r="D2875" s="28"/>
      <c r="E2875" s="16"/>
    </row>
    <row r="2876" spans="1:5" x14ac:dyDescent="0.2">
      <c r="A2876" s="28"/>
      <c r="B2876" s="28"/>
      <c r="C2876" s="28"/>
      <c r="D2876" s="28"/>
      <c r="E2876" s="16"/>
    </row>
    <row r="2877" spans="1:5" x14ac:dyDescent="0.2">
      <c r="A2877" s="28"/>
      <c r="B2877" s="28"/>
      <c r="C2877" s="28"/>
      <c r="D2877" s="28"/>
      <c r="E2877" s="16"/>
    </row>
    <row r="2878" spans="1:5" x14ac:dyDescent="0.2">
      <c r="A2878" s="28"/>
      <c r="B2878" s="28"/>
      <c r="C2878" s="28"/>
      <c r="D2878" s="28"/>
      <c r="E2878" s="16"/>
    </row>
    <row r="2879" spans="1:5" x14ac:dyDescent="0.2">
      <c r="A2879" s="28"/>
      <c r="B2879" s="28"/>
      <c r="C2879" s="28"/>
      <c r="D2879" s="28"/>
      <c r="E2879" s="16"/>
    </row>
    <row r="2880" spans="1:5" x14ac:dyDescent="0.2">
      <c r="A2880" s="28"/>
      <c r="B2880" s="28"/>
      <c r="C2880" s="28"/>
      <c r="D2880" s="28"/>
      <c r="E2880" s="16"/>
    </row>
    <row r="2881" spans="1:5" x14ac:dyDescent="0.2">
      <c r="A2881" s="28"/>
      <c r="B2881" s="28"/>
      <c r="C2881" s="28"/>
      <c r="D2881" s="28"/>
      <c r="E2881" s="16"/>
    </row>
    <row r="2882" spans="1:5" x14ac:dyDescent="0.2">
      <c r="A2882" s="28"/>
      <c r="B2882" s="28"/>
      <c r="C2882" s="28"/>
      <c r="D2882" s="28"/>
      <c r="E2882" s="16"/>
    </row>
    <row r="2883" spans="1:5" x14ac:dyDescent="0.2">
      <c r="A2883" s="28"/>
      <c r="B2883" s="28"/>
      <c r="C2883" s="28"/>
      <c r="D2883" s="28"/>
      <c r="E2883" s="16"/>
    </row>
    <row r="2884" spans="1:5" x14ac:dyDescent="0.2">
      <c r="A2884" s="28"/>
      <c r="B2884" s="28"/>
      <c r="C2884" s="28"/>
      <c r="D2884" s="28"/>
      <c r="E2884" s="16"/>
    </row>
    <row r="2885" spans="1:5" x14ac:dyDescent="0.2">
      <c r="A2885" s="28"/>
      <c r="B2885" s="28"/>
      <c r="C2885" s="28"/>
      <c r="D2885" s="28"/>
      <c r="E2885" s="16"/>
    </row>
    <row r="2886" spans="1:5" x14ac:dyDescent="0.2">
      <c r="A2886" s="28"/>
      <c r="B2886" s="28"/>
      <c r="C2886" s="28"/>
      <c r="D2886" s="28"/>
      <c r="E2886" s="16"/>
    </row>
    <row r="2887" spans="1:5" x14ac:dyDescent="0.2">
      <c r="A2887" s="28"/>
      <c r="B2887" s="28"/>
      <c r="C2887" s="28"/>
      <c r="D2887" s="28"/>
      <c r="E2887" s="16"/>
    </row>
    <row r="2888" spans="1:5" x14ac:dyDescent="0.2">
      <c r="A2888" s="28"/>
      <c r="B2888" s="28"/>
      <c r="C2888" s="28"/>
      <c r="D2888" s="28"/>
      <c r="E2888" s="16"/>
    </row>
    <row r="2889" spans="1:5" x14ac:dyDescent="0.2">
      <c r="A2889" s="28"/>
      <c r="B2889" s="28"/>
      <c r="C2889" s="28"/>
      <c r="D2889" s="28"/>
      <c r="E2889" s="16"/>
    </row>
    <row r="2890" spans="1:5" x14ac:dyDescent="0.2">
      <c r="A2890" s="28"/>
      <c r="B2890" s="28"/>
      <c r="C2890" s="28"/>
      <c r="D2890" s="28"/>
      <c r="E2890" s="16"/>
    </row>
    <row r="2891" spans="1:5" x14ac:dyDescent="0.2">
      <c r="A2891" s="28"/>
      <c r="B2891" s="28"/>
      <c r="C2891" s="28"/>
      <c r="D2891" s="28"/>
      <c r="E2891" s="16"/>
    </row>
    <row r="2892" spans="1:5" x14ac:dyDescent="0.2">
      <c r="A2892" s="28"/>
      <c r="B2892" s="28"/>
      <c r="C2892" s="28"/>
      <c r="D2892" s="28"/>
      <c r="E2892" s="16"/>
    </row>
    <row r="2893" spans="1:5" x14ac:dyDescent="0.2">
      <c r="A2893" s="28"/>
      <c r="B2893" s="28"/>
      <c r="C2893" s="28"/>
      <c r="D2893" s="28"/>
      <c r="E2893" s="16"/>
    </row>
    <row r="2894" spans="1:5" x14ac:dyDescent="0.2">
      <c r="A2894" s="28"/>
      <c r="B2894" s="28"/>
      <c r="C2894" s="28"/>
      <c r="D2894" s="28"/>
      <c r="E2894" s="16"/>
    </row>
    <row r="2895" spans="1:5" x14ac:dyDescent="0.2">
      <c r="A2895" s="28"/>
      <c r="B2895" s="28"/>
      <c r="C2895" s="28"/>
      <c r="D2895" s="28"/>
      <c r="E2895" s="16"/>
    </row>
    <row r="2896" spans="1:5" x14ac:dyDescent="0.2">
      <c r="A2896" s="28"/>
      <c r="B2896" s="28"/>
      <c r="C2896" s="28"/>
      <c r="D2896" s="28"/>
      <c r="E2896" s="16"/>
    </row>
    <row r="2897" spans="1:5" x14ac:dyDescent="0.2">
      <c r="A2897" s="28"/>
      <c r="B2897" s="28"/>
      <c r="C2897" s="28"/>
      <c r="D2897" s="28"/>
      <c r="E2897" s="16"/>
    </row>
    <row r="2898" spans="1:5" x14ac:dyDescent="0.2">
      <c r="A2898" s="28"/>
      <c r="B2898" s="28"/>
      <c r="C2898" s="28"/>
      <c r="D2898" s="28"/>
      <c r="E2898" s="16"/>
    </row>
    <row r="2899" spans="1:5" x14ac:dyDescent="0.2">
      <c r="A2899" s="28"/>
      <c r="B2899" s="28"/>
      <c r="C2899" s="28"/>
      <c r="D2899" s="28"/>
      <c r="E2899" s="16"/>
    </row>
    <row r="2900" spans="1:5" x14ac:dyDescent="0.2">
      <c r="A2900" s="28"/>
      <c r="B2900" s="28"/>
      <c r="C2900" s="28"/>
      <c r="D2900" s="28"/>
      <c r="E2900" s="16"/>
    </row>
    <row r="2901" spans="1:5" x14ac:dyDescent="0.2">
      <c r="A2901" s="28"/>
      <c r="B2901" s="28"/>
      <c r="C2901" s="28"/>
      <c r="D2901" s="28"/>
      <c r="E2901" s="16"/>
    </row>
    <row r="2902" spans="1:5" x14ac:dyDescent="0.2">
      <c r="A2902" s="28"/>
      <c r="B2902" s="28"/>
      <c r="C2902" s="28"/>
      <c r="D2902" s="28"/>
      <c r="E2902" s="16"/>
    </row>
    <row r="2903" spans="1:5" x14ac:dyDescent="0.2">
      <c r="A2903" s="28"/>
      <c r="B2903" s="28"/>
      <c r="C2903" s="28"/>
      <c r="D2903" s="28"/>
      <c r="E2903" s="16"/>
    </row>
    <row r="2904" spans="1:5" x14ac:dyDescent="0.2">
      <c r="A2904" s="28"/>
      <c r="B2904" s="28"/>
      <c r="C2904" s="28"/>
      <c r="D2904" s="28"/>
      <c r="E2904" s="16"/>
    </row>
    <row r="2905" spans="1:5" x14ac:dyDescent="0.2">
      <c r="A2905" s="28"/>
      <c r="B2905" s="28"/>
      <c r="C2905" s="28"/>
      <c r="D2905" s="28"/>
      <c r="E2905" s="16"/>
    </row>
    <row r="2906" spans="1:5" x14ac:dyDescent="0.2">
      <c r="A2906" s="28"/>
      <c r="B2906" s="28"/>
      <c r="C2906" s="28"/>
      <c r="D2906" s="28"/>
      <c r="E2906" s="16"/>
    </row>
    <row r="2907" spans="1:5" x14ac:dyDescent="0.2">
      <c r="A2907" s="28"/>
      <c r="B2907" s="28"/>
      <c r="C2907" s="28"/>
      <c r="D2907" s="28"/>
      <c r="E2907" s="16"/>
    </row>
    <row r="2908" spans="1:5" x14ac:dyDescent="0.2">
      <c r="A2908" s="28"/>
      <c r="B2908" s="28"/>
      <c r="C2908" s="28"/>
      <c r="D2908" s="28"/>
      <c r="E2908" s="16"/>
    </row>
    <row r="2909" spans="1:5" x14ac:dyDescent="0.2">
      <c r="A2909" s="28"/>
      <c r="B2909" s="28"/>
      <c r="C2909" s="28"/>
      <c r="D2909" s="28"/>
      <c r="E2909" s="16"/>
    </row>
    <row r="2910" spans="1:5" x14ac:dyDescent="0.2">
      <c r="A2910" s="28"/>
      <c r="B2910" s="28"/>
      <c r="C2910" s="28"/>
      <c r="D2910" s="28"/>
      <c r="E2910" s="16"/>
    </row>
    <row r="2911" spans="1:5" x14ac:dyDescent="0.2">
      <c r="A2911" s="28"/>
      <c r="B2911" s="28"/>
      <c r="C2911" s="28"/>
      <c r="D2911" s="28"/>
      <c r="E2911" s="16"/>
    </row>
    <row r="2912" spans="1:5" x14ac:dyDescent="0.2">
      <c r="A2912" s="28"/>
      <c r="B2912" s="28"/>
      <c r="C2912" s="28"/>
      <c r="D2912" s="28"/>
      <c r="E2912" s="16"/>
    </row>
    <row r="2913" spans="1:5" x14ac:dyDescent="0.2">
      <c r="A2913" s="28"/>
      <c r="B2913" s="28"/>
      <c r="C2913" s="28"/>
      <c r="D2913" s="28"/>
      <c r="E2913" s="16"/>
    </row>
    <row r="2914" spans="1:5" x14ac:dyDescent="0.2">
      <c r="A2914" s="28"/>
      <c r="B2914" s="28"/>
      <c r="C2914" s="28"/>
      <c r="D2914" s="28"/>
      <c r="E2914" s="16"/>
    </row>
    <row r="2915" spans="1:5" x14ac:dyDescent="0.2">
      <c r="A2915" s="28"/>
      <c r="B2915" s="28"/>
      <c r="C2915" s="28"/>
      <c r="D2915" s="28"/>
      <c r="E2915" s="16"/>
    </row>
    <row r="2916" spans="1:5" x14ac:dyDescent="0.2">
      <c r="A2916" s="28"/>
      <c r="B2916" s="28"/>
      <c r="C2916" s="28"/>
      <c r="D2916" s="28"/>
      <c r="E2916" s="16"/>
    </row>
    <row r="2917" spans="1:5" x14ac:dyDescent="0.2">
      <c r="A2917" s="28"/>
      <c r="B2917" s="28"/>
      <c r="C2917" s="28"/>
      <c r="D2917" s="28"/>
      <c r="E2917" s="16"/>
    </row>
    <row r="2918" spans="1:5" x14ac:dyDescent="0.2">
      <c r="A2918" s="28"/>
      <c r="B2918" s="28"/>
      <c r="C2918" s="28"/>
      <c r="D2918" s="28"/>
      <c r="E2918" s="16"/>
    </row>
    <row r="2919" spans="1:5" x14ac:dyDescent="0.2">
      <c r="A2919" s="28"/>
      <c r="B2919" s="28"/>
      <c r="C2919" s="28"/>
      <c r="D2919" s="28"/>
      <c r="E2919" s="16"/>
    </row>
    <row r="2920" spans="1:5" x14ac:dyDescent="0.2">
      <c r="A2920" s="28"/>
      <c r="B2920" s="28"/>
      <c r="C2920" s="28"/>
      <c r="D2920" s="28"/>
      <c r="E2920" s="16"/>
    </row>
    <row r="2921" spans="1:5" x14ac:dyDescent="0.2">
      <c r="A2921" s="28"/>
      <c r="B2921" s="28"/>
      <c r="C2921" s="28"/>
      <c r="D2921" s="28"/>
      <c r="E2921" s="16"/>
    </row>
    <row r="2922" spans="1:5" x14ac:dyDescent="0.2">
      <c r="A2922" s="28"/>
      <c r="B2922" s="28"/>
      <c r="C2922" s="28"/>
      <c r="D2922" s="28"/>
      <c r="E2922" s="16"/>
    </row>
    <row r="2923" spans="1:5" x14ac:dyDescent="0.2">
      <c r="A2923" s="28"/>
      <c r="B2923" s="28"/>
      <c r="C2923" s="28"/>
      <c r="D2923" s="28"/>
      <c r="E2923" s="16"/>
    </row>
    <row r="2924" spans="1:5" x14ac:dyDescent="0.2">
      <c r="A2924" s="28"/>
      <c r="B2924" s="28"/>
      <c r="C2924" s="28"/>
      <c r="D2924" s="28"/>
      <c r="E2924" s="16"/>
    </row>
    <row r="2925" spans="1:5" x14ac:dyDescent="0.2">
      <c r="A2925" s="28"/>
      <c r="B2925" s="28"/>
      <c r="C2925" s="28"/>
      <c r="D2925" s="28"/>
      <c r="E2925" s="16"/>
    </row>
    <row r="2926" spans="1:5" x14ac:dyDescent="0.2">
      <c r="A2926" s="28"/>
      <c r="B2926" s="28"/>
      <c r="C2926" s="28"/>
      <c r="D2926" s="28"/>
      <c r="E2926" s="16"/>
    </row>
    <row r="2927" spans="1:5" x14ac:dyDescent="0.2">
      <c r="A2927" s="28"/>
      <c r="B2927" s="28"/>
      <c r="C2927" s="28"/>
      <c r="D2927" s="28"/>
      <c r="E2927" s="16"/>
    </row>
    <row r="2928" spans="1:5" x14ac:dyDescent="0.2">
      <c r="A2928" s="28"/>
      <c r="B2928" s="28"/>
      <c r="C2928" s="28"/>
      <c r="D2928" s="28"/>
      <c r="E2928" s="16"/>
    </row>
    <row r="2929" spans="1:5" x14ac:dyDescent="0.2">
      <c r="A2929" s="28"/>
      <c r="B2929" s="28"/>
      <c r="C2929" s="28"/>
      <c r="D2929" s="28"/>
      <c r="E2929" s="16"/>
    </row>
    <row r="2930" spans="1:5" x14ac:dyDescent="0.2">
      <c r="A2930" s="28"/>
      <c r="B2930" s="28"/>
      <c r="C2930" s="28"/>
      <c r="D2930" s="28"/>
      <c r="E2930" s="16"/>
    </row>
    <row r="2931" spans="1:5" x14ac:dyDescent="0.2">
      <c r="A2931" s="28"/>
      <c r="B2931" s="28"/>
      <c r="C2931" s="28"/>
      <c r="D2931" s="28"/>
      <c r="E2931" s="16"/>
    </row>
    <row r="2932" spans="1:5" x14ac:dyDescent="0.2">
      <c r="A2932" s="28"/>
      <c r="B2932" s="28"/>
      <c r="C2932" s="28"/>
      <c r="D2932" s="28"/>
      <c r="E2932" s="16"/>
    </row>
    <row r="2933" spans="1:5" x14ac:dyDescent="0.2">
      <c r="A2933" s="28"/>
      <c r="B2933" s="28"/>
      <c r="C2933" s="28"/>
      <c r="D2933" s="28"/>
      <c r="E2933" s="16"/>
    </row>
    <row r="2934" spans="1:5" x14ac:dyDescent="0.2">
      <c r="A2934" s="28"/>
      <c r="B2934" s="28"/>
      <c r="C2934" s="28"/>
      <c r="D2934" s="28"/>
      <c r="E2934" s="16"/>
    </row>
    <row r="2935" spans="1:5" x14ac:dyDescent="0.2">
      <c r="A2935" s="28"/>
      <c r="B2935" s="28"/>
      <c r="C2935" s="28"/>
      <c r="D2935" s="28"/>
      <c r="E2935" s="16"/>
    </row>
    <row r="2936" spans="1:5" x14ac:dyDescent="0.2">
      <c r="A2936" s="28"/>
      <c r="B2936" s="28"/>
      <c r="C2936" s="28"/>
      <c r="D2936" s="28"/>
      <c r="E2936" s="16"/>
    </row>
    <row r="2937" spans="1:5" x14ac:dyDescent="0.2">
      <c r="A2937" s="28"/>
      <c r="B2937" s="28"/>
      <c r="C2937" s="28"/>
      <c r="D2937" s="28"/>
      <c r="E2937" s="16"/>
    </row>
    <row r="2938" spans="1:5" x14ac:dyDescent="0.2">
      <c r="A2938" s="28"/>
      <c r="B2938" s="28"/>
      <c r="C2938" s="28"/>
      <c r="D2938" s="28"/>
      <c r="E2938" s="16"/>
    </row>
    <row r="2939" spans="1:5" x14ac:dyDescent="0.2">
      <c r="A2939" s="28"/>
      <c r="B2939" s="28"/>
      <c r="C2939" s="28"/>
      <c r="D2939" s="28"/>
      <c r="E2939" s="16"/>
    </row>
    <row r="2940" spans="1:5" x14ac:dyDescent="0.2">
      <c r="A2940" s="28"/>
      <c r="B2940" s="28"/>
      <c r="C2940" s="28"/>
      <c r="D2940" s="28"/>
      <c r="E2940" s="16"/>
    </row>
    <row r="2941" spans="1:5" x14ac:dyDescent="0.2">
      <c r="A2941" s="28"/>
      <c r="B2941" s="28"/>
      <c r="C2941" s="28"/>
      <c r="D2941" s="28"/>
      <c r="E2941" s="16"/>
    </row>
    <row r="2942" spans="1:5" x14ac:dyDescent="0.2">
      <c r="A2942" s="28"/>
      <c r="B2942" s="28"/>
      <c r="C2942" s="28"/>
      <c r="D2942" s="28"/>
      <c r="E2942" s="16"/>
    </row>
    <row r="2943" spans="1:5" x14ac:dyDescent="0.2">
      <c r="A2943" s="28"/>
      <c r="B2943" s="28"/>
      <c r="C2943" s="28"/>
      <c r="D2943" s="28"/>
      <c r="E2943" s="16"/>
    </row>
    <row r="2944" spans="1:5" x14ac:dyDescent="0.2">
      <c r="A2944" s="28"/>
      <c r="B2944" s="28"/>
      <c r="C2944" s="28"/>
      <c r="D2944" s="28"/>
      <c r="E2944" s="16"/>
    </row>
    <row r="2945" spans="1:5" x14ac:dyDescent="0.2">
      <c r="A2945" s="28"/>
      <c r="B2945" s="28"/>
      <c r="C2945" s="28"/>
      <c r="D2945" s="28"/>
      <c r="E2945" s="16"/>
    </row>
    <row r="2946" spans="1:5" x14ac:dyDescent="0.2">
      <c r="A2946" s="28"/>
      <c r="B2946" s="28"/>
      <c r="C2946" s="28"/>
      <c r="D2946" s="28"/>
      <c r="E2946" s="16"/>
    </row>
    <row r="2947" spans="1:5" x14ac:dyDescent="0.2">
      <c r="A2947" s="28"/>
      <c r="B2947" s="28"/>
      <c r="C2947" s="28"/>
      <c r="D2947" s="28"/>
      <c r="E2947" s="16"/>
    </row>
    <row r="2948" spans="1:5" x14ac:dyDescent="0.2">
      <c r="A2948" s="28"/>
      <c r="B2948" s="28"/>
      <c r="C2948" s="28"/>
      <c r="D2948" s="28"/>
      <c r="E2948" s="16"/>
    </row>
    <row r="2949" spans="1:5" x14ac:dyDescent="0.2">
      <c r="A2949" s="28"/>
      <c r="B2949" s="28"/>
      <c r="C2949" s="28"/>
      <c r="D2949" s="28"/>
      <c r="E2949" s="16"/>
    </row>
    <row r="2950" spans="1:5" x14ac:dyDescent="0.2">
      <c r="A2950" s="28"/>
      <c r="B2950" s="28"/>
      <c r="C2950" s="28"/>
      <c r="D2950" s="28"/>
      <c r="E2950" s="16"/>
    </row>
    <row r="2951" spans="1:5" x14ac:dyDescent="0.2">
      <c r="A2951" s="28"/>
      <c r="B2951" s="28"/>
      <c r="C2951" s="28"/>
      <c r="D2951" s="28"/>
      <c r="E2951" s="16"/>
    </row>
    <row r="2952" spans="1:5" x14ac:dyDescent="0.2">
      <c r="A2952" s="28"/>
      <c r="B2952" s="28"/>
      <c r="C2952" s="28"/>
      <c r="D2952" s="28"/>
      <c r="E2952" s="16"/>
    </row>
    <row r="2953" spans="1:5" x14ac:dyDescent="0.2">
      <c r="A2953" s="28"/>
      <c r="B2953" s="28"/>
      <c r="C2953" s="28"/>
      <c r="D2953" s="28"/>
      <c r="E2953" s="16"/>
    </row>
    <row r="2954" spans="1:5" x14ac:dyDescent="0.2">
      <c r="A2954" s="28"/>
      <c r="B2954" s="28"/>
      <c r="C2954" s="28"/>
      <c r="D2954" s="28"/>
      <c r="E2954" s="16"/>
    </row>
    <row r="2955" spans="1:5" x14ac:dyDescent="0.2">
      <c r="A2955" s="28"/>
      <c r="B2955" s="28"/>
      <c r="C2955" s="28"/>
      <c r="D2955" s="28"/>
      <c r="E2955" s="16"/>
    </row>
    <row r="2956" spans="1:5" x14ac:dyDescent="0.2">
      <c r="A2956" s="28"/>
      <c r="B2956" s="28"/>
      <c r="C2956" s="28"/>
      <c r="D2956" s="28"/>
      <c r="E2956" s="16"/>
    </row>
    <row r="2957" spans="1:5" x14ac:dyDescent="0.2">
      <c r="A2957" s="28"/>
      <c r="B2957" s="28"/>
      <c r="C2957" s="28"/>
      <c r="D2957" s="28"/>
      <c r="E2957" s="16"/>
    </row>
    <row r="2958" spans="1:5" x14ac:dyDescent="0.2">
      <c r="A2958" s="28"/>
      <c r="B2958" s="28"/>
      <c r="C2958" s="28"/>
      <c r="D2958" s="28"/>
      <c r="E2958" s="16"/>
    </row>
    <row r="2959" spans="1:5" x14ac:dyDescent="0.2">
      <c r="A2959" s="28"/>
      <c r="B2959" s="28"/>
      <c r="C2959" s="28"/>
      <c r="D2959" s="28"/>
      <c r="E2959" s="16"/>
    </row>
    <row r="2960" spans="1:5" x14ac:dyDescent="0.2">
      <c r="A2960" s="28"/>
      <c r="B2960" s="28"/>
      <c r="C2960" s="28"/>
      <c r="D2960" s="28"/>
      <c r="E2960" s="16"/>
    </row>
    <row r="2961" spans="1:5" x14ac:dyDescent="0.2">
      <c r="A2961" s="28"/>
      <c r="B2961" s="28"/>
      <c r="C2961" s="28"/>
      <c r="D2961" s="28"/>
      <c r="E2961" s="16"/>
    </row>
    <row r="2962" spans="1:5" x14ac:dyDescent="0.2">
      <c r="A2962" s="28"/>
      <c r="B2962" s="28"/>
      <c r="C2962" s="28"/>
      <c r="D2962" s="28"/>
      <c r="E2962" s="16"/>
    </row>
    <row r="2963" spans="1:5" x14ac:dyDescent="0.2">
      <c r="A2963" s="28"/>
      <c r="B2963" s="28"/>
      <c r="C2963" s="28"/>
      <c r="D2963" s="28"/>
      <c r="E2963" s="16"/>
    </row>
    <row r="2964" spans="1:5" x14ac:dyDescent="0.2">
      <c r="A2964" s="28"/>
      <c r="B2964" s="28"/>
      <c r="C2964" s="28"/>
      <c r="D2964" s="28"/>
      <c r="E2964" s="16"/>
    </row>
    <row r="2965" spans="1:5" x14ac:dyDescent="0.2">
      <c r="A2965" s="28"/>
      <c r="B2965" s="28"/>
      <c r="C2965" s="28"/>
      <c r="D2965" s="28"/>
      <c r="E2965" s="16"/>
    </row>
    <row r="2966" spans="1:5" x14ac:dyDescent="0.2">
      <c r="A2966" s="28"/>
      <c r="B2966" s="28"/>
      <c r="C2966" s="28"/>
      <c r="D2966" s="28"/>
      <c r="E2966" s="16"/>
    </row>
    <row r="2967" spans="1:5" x14ac:dyDescent="0.2">
      <c r="A2967" s="28"/>
      <c r="B2967" s="28"/>
      <c r="C2967" s="28"/>
      <c r="D2967" s="28"/>
      <c r="E2967" s="16"/>
    </row>
    <row r="2968" spans="1:5" x14ac:dyDescent="0.2">
      <c r="A2968" s="28"/>
      <c r="B2968" s="28"/>
      <c r="C2968" s="28"/>
      <c r="D2968" s="28"/>
      <c r="E2968" s="16"/>
    </row>
    <row r="2969" spans="1:5" x14ac:dyDescent="0.2">
      <c r="A2969" s="28"/>
      <c r="B2969" s="28"/>
      <c r="C2969" s="28"/>
      <c r="D2969" s="28"/>
      <c r="E2969" s="16"/>
    </row>
    <row r="2970" spans="1:5" x14ac:dyDescent="0.2">
      <c r="A2970" s="28"/>
      <c r="B2970" s="28"/>
      <c r="C2970" s="28"/>
      <c r="D2970" s="28"/>
      <c r="E2970" s="16"/>
    </row>
    <row r="2971" spans="1:5" x14ac:dyDescent="0.2">
      <c r="A2971" s="28"/>
      <c r="B2971" s="28"/>
      <c r="C2971" s="28"/>
      <c r="D2971" s="28"/>
      <c r="E2971" s="16"/>
    </row>
    <row r="2972" spans="1:5" x14ac:dyDescent="0.2">
      <c r="A2972" s="28"/>
      <c r="B2972" s="28"/>
      <c r="C2972" s="28"/>
      <c r="D2972" s="28"/>
      <c r="E2972" s="16"/>
    </row>
    <row r="2973" spans="1:5" x14ac:dyDescent="0.2">
      <c r="A2973" s="28"/>
      <c r="B2973" s="28"/>
      <c r="C2973" s="28"/>
      <c r="D2973" s="28"/>
      <c r="E2973" s="16"/>
    </row>
    <row r="2974" spans="1:5" x14ac:dyDescent="0.2">
      <c r="A2974" s="28"/>
      <c r="B2974" s="28"/>
      <c r="C2974" s="28"/>
      <c r="D2974" s="28"/>
      <c r="E2974" s="16"/>
    </row>
    <row r="2975" spans="1:5" x14ac:dyDescent="0.2">
      <c r="A2975" s="28"/>
      <c r="B2975" s="28"/>
      <c r="C2975" s="28"/>
      <c r="D2975" s="28"/>
      <c r="E2975" s="16"/>
    </row>
    <row r="2976" spans="1:5" x14ac:dyDescent="0.2">
      <c r="A2976" s="28"/>
      <c r="B2976" s="28"/>
      <c r="C2976" s="28"/>
      <c r="D2976" s="28"/>
      <c r="E2976" s="16"/>
    </row>
    <row r="2977" spans="1:5" x14ac:dyDescent="0.2">
      <c r="A2977" s="28"/>
      <c r="B2977" s="28"/>
      <c r="C2977" s="28"/>
      <c r="D2977" s="28"/>
      <c r="E2977" s="16"/>
    </row>
    <row r="2978" spans="1:5" x14ac:dyDescent="0.2">
      <c r="A2978" s="28"/>
      <c r="B2978" s="28"/>
      <c r="C2978" s="28"/>
      <c r="D2978" s="28"/>
      <c r="E2978" s="16"/>
    </row>
    <row r="2979" spans="1:5" x14ac:dyDescent="0.2">
      <c r="A2979" s="28"/>
      <c r="B2979" s="28"/>
      <c r="C2979" s="28"/>
      <c r="D2979" s="28"/>
      <c r="E2979" s="16"/>
    </row>
    <row r="2980" spans="1:5" x14ac:dyDescent="0.2">
      <c r="A2980" s="28"/>
      <c r="B2980" s="28"/>
      <c r="C2980" s="28"/>
      <c r="D2980" s="28"/>
      <c r="E2980" s="16"/>
    </row>
    <row r="2981" spans="1:5" x14ac:dyDescent="0.2">
      <c r="A2981" s="28"/>
      <c r="B2981" s="28"/>
      <c r="C2981" s="28"/>
      <c r="D2981" s="28"/>
      <c r="E2981" s="16"/>
    </row>
    <row r="2982" spans="1:5" x14ac:dyDescent="0.2">
      <c r="A2982" s="28"/>
      <c r="B2982" s="28"/>
      <c r="C2982" s="28"/>
      <c r="D2982" s="28"/>
      <c r="E2982" s="16"/>
    </row>
    <row r="2983" spans="1:5" x14ac:dyDescent="0.2">
      <c r="A2983" s="28"/>
      <c r="B2983" s="28"/>
      <c r="C2983" s="28"/>
      <c r="D2983" s="28"/>
      <c r="E2983" s="16"/>
    </row>
    <row r="2984" spans="1:5" x14ac:dyDescent="0.2">
      <c r="A2984" s="28"/>
      <c r="B2984" s="28"/>
      <c r="C2984" s="28"/>
      <c r="D2984" s="28"/>
      <c r="E2984" s="16"/>
    </row>
    <row r="2985" spans="1:5" x14ac:dyDescent="0.2">
      <c r="A2985" s="28"/>
      <c r="B2985" s="28"/>
      <c r="C2985" s="28"/>
      <c r="D2985" s="28"/>
      <c r="E2985" s="16"/>
    </row>
    <row r="2986" spans="1:5" x14ac:dyDescent="0.2">
      <c r="A2986" s="28"/>
      <c r="B2986" s="28"/>
      <c r="C2986" s="28"/>
      <c r="D2986" s="28"/>
      <c r="E2986" s="16"/>
    </row>
    <row r="2987" spans="1:5" x14ac:dyDescent="0.2">
      <c r="A2987" s="28"/>
      <c r="B2987" s="28"/>
      <c r="C2987" s="28"/>
      <c r="D2987" s="28"/>
      <c r="E2987" s="16"/>
    </row>
    <row r="2988" spans="1:5" x14ac:dyDescent="0.2">
      <c r="A2988" s="28"/>
      <c r="B2988" s="28"/>
      <c r="C2988" s="28"/>
      <c r="D2988" s="28"/>
      <c r="E2988" s="16"/>
    </row>
    <row r="2989" spans="1:5" x14ac:dyDescent="0.2">
      <c r="A2989" s="28"/>
      <c r="B2989" s="28"/>
      <c r="C2989" s="28"/>
      <c r="D2989" s="28"/>
      <c r="E2989" s="16"/>
    </row>
    <row r="2990" spans="1:5" x14ac:dyDescent="0.2">
      <c r="A2990" s="28"/>
      <c r="B2990" s="28"/>
      <c r="C2990" s="28"/>
      <c r="D2990" s="28"/>
      <c r="E2990" s="16"/>
    </row>
    <row r="2991" spans="1:5" x14ac:dyDescent="0.2">
      <c r="A2991" s="28"/>
      <c r="B2991" s="28"/>
      <c r="C2991" s="28"/>
      <c r="D2991" s="28"/>
      <c r="E2991" s="16"/>
    </row>
    <row r="2992" spans="1:5" x14ac:dyDescent="0.2">
      <c r="A2992" s="28"/>
      <c r="B2992" s="28"/>
      <c r="C2992" s="28"/>
      <c r="D2992" s="28"/>
      <c r="E2992" s="16"/>
    </row>
    <row r="2993" spans="1:5" x14ac:dyDescent="0.2">
      <c r="A2993" s="28"/>
      <c r="B2993" s="28"/>
      <c r="C2993" s="28"/>
      <c r="D2993" s="28"/>
      <c r="E2993" s="16"/>
    </row>
    <row r="2994" spans="1:5" x14ac:dyDescent="0.2">
      <c r="A2994" s="28"/>
      <c r="B2994" s="28"/>
      <c r="C2994" s="28"/>
      <c r="D2994" s="28"/>
      <c r="E2994" s="16"/>
    </row>
    <row r="2995" spans="1:5" x14ac:dyDescent="0.2">
      <c r="A2995" s="28"/>
      <c r="B2995" s="28"/>
      <c r="C2995" s="28"/>
      <c r="D2995" s="28"/>
      <c r="E2995" s="16"/>
    </row>
    <row r="2996" spans="1:5" x14ac:dyDescent="0.2">
      <c r="A2996" s="28"/>
      <c r="B2996" s="28"/>
      <c r="C2996" s="28"/>
      <c r="D2996" s="28"/>
      <c r="E2996" s="16"/>
    </row>
    <row r="2997" spans="1:5" x14ac:dyDescent="0.2">
      <c r="A2997" s="28"/>
      <c r="B2997" s="28"/>
      <c r="C2997" s="28"/>
      <c r="D2997" s="28"/>
      <c r="E2997" s="16"/>
    </row>
    <row r="2998" spans="1:5" x14ac:dyDescent="0.2">
      <c r="A2998" s="28"/>
      <c r="B2998" s="28"/>
      <c r="C2998" s="28"/>
      <c r="D2998" s="28"/>
      <c r="E2998" s="16"/>
    </row>
    <row r="2999" spans="1:5" x14ac:dyDescent="0.2">
      <c r="A2999" s="28"/>
      <c r="B2999" s="28"/>
      <c r="C2999" s="28"/>
      <c r="D2999" s="28"/>
      <c r="E2999" s="16"/>
    </row>
    <row r="3000" spans="1:5" x14ac:dyDescent="0.2">
      <c r="A3000" s="28"/>
      <c r="B3000" s="28"/>
      <c r="C3000" s="28"/>
      <c r="D3000" s="28"/>
      <c r="E3000" s="16"/>
    </row>
    <row r="3001" spans="1:5" x14ac:dyDescent="0.2">
      <c r="A3001" s="28"/>
      <c r="B3001" s="28"/>
      <c r="C3001" s="28"/>
      <c r="D3001" s="28"/>
      <c r="E3001" s="16"/>
    </row>
    <row r="3002" spans="1:5" x14ac:dyDescent="0.2">
      <c r="A3002" s="28"/>
      <c r="B3002" s="28"/>
      <c r="C3002" s="28"/>
      <c r="D3002" s="28"/>
      <c r="E3002" s="16"/>
    </row>
    <row r="3003" spans="1:5" x14ac:dyDescent="0.2">
      <c r="A3003" s="28"/>
      <c r="B3003" s="28"/>
      <c r="C3003" s="28"/>
      <c r="D3003" s="28"/>
      <c r="E3003" s="16"/>
    </row>
    <row r="3004" spans="1:5" x14ac:dyDescent="0.2">
      <c r="A3004" s="28"/>
      <c r="B3004" s="28"/>
      <c r="C3004" s="28"/>
      <c r="D3004" s="28"/>
      <c r="E3004" s="16"/>
    </row>
    <row r="3005" spans="1:5" x14ac:dyDescent="0.2">
      <c r="A3005" s="28"/>
      <c r="B3005" s="28"/>
      <c r="C3005" s="28"/>
      <c r="D3005" s="28"/>
      <c r="E3005" s="16"/>
    </row>
    <row r="3006" spans="1:5" x14ac:dyDescent="0.2">
      <c r="A3006" s="28"/>
      <c r="B3006" s="28"/>
      <c r="C3006" s="28"/>
      <c r="D3006" s="28"/>
      <c r="E3006" s="16"/>
    </row>
    <row r="3007" spans="1:5" x14ac:dyDescent="0.2">
      <c r="A3007" s="28"/>
      <c r="B3007" s="28"/>
      <c r="C3007" s="28"/>
      <c r="D3007" s="28"/>
      <c r="E3007" s="16"/>
    </row>
    <row r="3008" spans="1:5" x14ac:dyDescent="0.2">
      <c r="A3008" s="28"/>
      <c r="B3008" s="28"/>
      <c r="C3008" s="28"/>
      <c r="D3008" s="28"/>
      <c r="E3008" s="16"/>
    </row>
    <row r="3009" spans="1:5" x14ac:dyDescent="0.2">
      <c r="A3009" s="28"/>
      <c r="B3009" s="28"/>
      <c r="C3009" s="28"/>
      <c r="D3009" s="28"/>
      <c r="E3009" s="16"/>
    </row>
    <row r="3010" spans="1:5" x14ac:dyDescent="0.2">
      <c r="A3010" s="28"/>
      <c r="B3010" s="28"/>
      <c r="C3010" s="28"/>
      <c r="D3010" s="28"/>
      <c r="E3010" s="16"/>
    </row>
    <row r="3011" spans="1:5" x14ac:dyDescent="0.2">
      <c r="A3011" s="28"/>
      <c r="B3011" s="28"/>
      <c r="C3011" s="28"/>
      <c r="D3011" s="28"/>
      <c r="E3011" s="16"/>
    </row>
    <row r="3012" spans="1:5" x14ac:dyDescent="0.2">
      <c r="A3012" s="28"/>
      <c r="B3012" s="28"/>
      <c r="C3012" s="28"/>
      <c r="D3012" s="28"/>
      <c r="E3012" s="16"/>
    </row>
    <row r="3013" spans="1:5" x14ac:dyDescent="0.2">
      <c r="A3013" s="28"/>
      <c r="B3013" s="28"/>
      <c r="C3013" s="28"/>
      <c r="D3013" s="28"/>
      <c r="E3013" s="16"/>
    </row>
    <row r="3014" spans="1:5" x14ac:dyDescent="0.2">
      <c r="A3014" s="28"/>
      <c r="B3014" s="28"/>
      <c r="C3014" s="28"/>
      <c r="D3014" s="28"/>
      <c r="E3014" s="16"/>
    </row>
    <row r="3015" spans="1:5" x14ac:dyDescent="0.2">
      <c r="A3015" s="28"/>
      <c r="B3015" s="28"/>
      <c r="C3015" s="28"/>
      <c r="D3015" s="28"/>
      <c r="E3015" s="16"/>
    </row>
    <row r="3016" spans="1:5" x14ac:dyDescent="0.2">
      <c r="A3016" s="28"/>
      <c r="B3016" s="28"/>
      <c r="C3016" s="28"/>
      <c r="D3016" s="28"/>
      <c r="E3016" s="16"/>
    </row>
    <row r="3017" spans="1:5" x14ac:dyDescent="0.2">
      <c r="A3017" s="28"/>
      <c r="B3017" s="28"/>
      <c r="C3017" s="28"/>
      <c r="D3017" s="28"/>
      <c r="E3017" s="16"/>
    </row>
    <row r="3018" spans="1:5" x14ac:dyDescent="0.2">
      <c r="A3018" s="28"/>
      <c r="B3018" s="28"/>
      <c r="C3018" s="28"/>
      <c r="D3018" s="28"/>
      <c r="E3018" s="16"/>
    </row>
    <row r="3019" spans="1:5" x14ac:dyDescent="0.2">
      <c r="A3019" s="28"/>
      <c r="B3019" s="28"/>
      <c r="C3019" s="28"/>
      <c r="D3019" s="28"/>
      <c r="E3019" s="16"/>
    </row>
    <row r="3020" spans="1:5" x14ac:dyDescent="0.2">
      <c r="A3020" s="28"/>
      <c r="B3020" s="28"/>
      <c r="C3020" s="28"/>
      <c r="D3020" s="28"/>
      <c r="E3020" s="16"/>
    </row>
    <row r="3021" spans="1:5" x14ac:dyDescent="0.2">
      <c r="A3021" s="28"/>
      <c r="B3021" s="28"/>
      <c r="C3021" s="28"/>
      <c r="D3021" s="28"/>
      <c r="E3021" s="16"/>
    </row>
    <row r="3022" spans="1:5" x14ac:dyDescent="0.2">
      <c r="A3022" s="28"/>
      <c r="B3022" s="28"/>
      <c r="C3022" s="28"/>
      <c r="D3022" s="28"/>
      <c r="E3022" s="16"/>
    </row>
    <row r="3023" spans="1:5" x14ac:dyDescent="0.2">
      <c r="A3023" s="28"/>
      <c r="B3023" s="28"/>
      <c r="C3023" s="28"/>
      <c r="D3023" s="28"/>
      <c r="E3023" s="16"/>
    </row>
    <row r="3024" spans="1:5" x14ac:dyDescent="0.2">
      <c r="A3024" s="28"/>
      <c r="B3024" s="28"/>
      <c r="C3024" s="28"/>
      <c r="D3024" s="28"/>
      <c r="E3024" s="16"/>
    </row>
    <row r="3025" spans="1:5" x14ac:dyDescent="0.2">
      <c r="A3025" s="28"/>
      <c r="B3025" s="28"/>
      <c r="C3025" s="28"/>
      <c r="D3025" s="28"/>
      <c r="E3025" s="16"/>
    </row>
    <row r="3026" spans="1:5" x14ac:dyDescent="0.2">
      <c r="A3026" s="28"/>
      <c r="B3026" s="28"/>
      <c r="C3026" s="28"/>
      <c r="D3026" s="28"/>
      <c r="E3026" s="16"/>
    </row>
    <row r="3027" spans="1:5" x14ac:dyDescent="0.2">
      <c r="A3027" s="28"/>
      <c r="B3027" s="28"/>
      <c r="C3027" s="28"/>
      <c r="D3027" s="28"/>
      <c r="E3027" s="16"/>
    </row>
    <row r="3028" spans="1:5" x14ac:dyDescent="0.2">
      <c r="A3028" s="28"/>
      <c r="B3028" s="28"/>
      <c r="C3028" s="28"/>
      <c r="D3028" s="28"/>
      <c r="E3028" s="16"/>
    </row>
    <row r="3029" spans="1:5" x14ac:dyDescent="0.2">
      <c r="A3029" s="28"/>
      <c r="B3029" s="28"/>
      <c r="C3029" s="28"/>
      <c r="D3029" s="28"/>
      <c r="E3029" s="16"/>
    </row>
    <row r="3030" spans="1:5" x14ac:dyDescent="0.2">
      <c r="A3030" s="28"/>
      <c r="B3030" s="28"/>
      <c r="C3030" s="28"/>
      <c r="D3030" s="28"/>
      <c r="E3030" s="16"/>
    </row>
    <row r="3031" spans="1:5" x14ac:dyDescent="0.2">
      <c r="A3031" s="28"/>
      <c r="B3031" s="28"/>
      <c r="C3031" s="28"/>
      <c r="D3031" s="28"/>
      <c r="E3031" s="16"/>
    </row>
    <row r="3032" spans="1:5" x14ac:dyDescent="0.2">
      <c r="A3032" s="28"/>
      <c r="B3032" s="28"/>
      <c r="C3032" s="28"/>
      <c r="D3032" s="28"/>
      <c r="E3032" s="16"/>
    </row>
    <row r="3033" spans="1:5" x14ac:dyDescent="0.2">
      <c r="A3033" s="28"/>
      <c r="B3033" s="28"/>
      <c r="C3033" s="28"/>
      <c r="D3033" s="28"/>
      <c r="E3033" s="16"/>
    </row>
    <row r="3034" spans="1:5" x14ac:dyDescent="0.2">
      <c r="A3034" s="28"/>
      <c r="B3034" s="28"/>
      <c r="C3034" s="28"/>
      <c r="D3034" s="28"/>
      <c r="E3034" s="16"/>
    </row>
    <row r="3035" spans="1:5" x14ac:dyDescent="0.2">
      <c r="A3035" s="28"/>
      <c r="B3035" s="28"/>
      <c r="C3035" s="28"/>
      <c r="D3035" s="28"/>
      <c r="E3035" s="16"/>
    </row>
    <row r="3036" spans="1:5" x14ac:dyDescent="0.2">
      <c r="A3036" s="28"/>
      <c r="B3036" s="28"/>
      <c r="C3036" s="28"/>
      <c r="D3036" s="28"/>
      <c r="E3036" s="16"/>
    </row>
    <row r="3037" spans="1:5" x14ac:dyDescent="0.2">
      <c r="A3037" s="28"/>
      <c r="B3037" s="28"/>
      <c r="C3037" s="28"/>
      <c r="D3037" s="28"/>
      <c r="E3037" s="16"/>
    </row>
    <row r="3038" spans="1:5" x14ac:dyDescent="0.2">
      <c r="A3038" s="28"/>
      <c r="B3038" s="28"/>
      <c r="C3038" s="28"/>
      <c r="D3038" s="28"/>
      <c r="E3038" s="16"/>
    </row>
    <row r="3039" spans="1:5" x14ac:dyDescent="0.2">
      <c r="A3039" s="28"/>
      <c r="B3039" s="28"/>
      <c r="C3039" s="28"/>
      <c r="D3039" s="28"/>
      <c r="E3039" s="16"/>
    </row>
    <row r="3040" spans="1:5" x14ac:dyDescent="0.2">
      <c r="A3040" s="28"/>
      <c r="B3040" s="28"/>
      <c r="C3040" s="28"/>
      <c r="D3040" s="28"/>
      <c r="E3040" s="16"/>
    </row>
    <row r="3041" spans="1:5" x14ac:dyDescent="0.2">
      <c r="A3041" s="28"/>
      <c r="B3041" s="28"/>
      <c r="C3041" s="28"/>
      <c r="D3041" s="28"/>
      <c r="E3041" s="16"/>
    </row>
    <row r="3042" spans="1:5" x14ac:dyDescent="0.2">
      <c r="A3042" s="28"/>
      <c r="B3042" s="28"/>
      <c r="C3042" s="28"/>
      <c r="D3042" s="28"/>
      <c r="E3042" s="16"/>
    </row>
    <row r="3043" spans="1:5" x14ac:dyDescent="0.2">
      <c r="A3043" s="28"/>
      <c r="B3043" s="28"/>
      <c r="C3043" s="28"/>
      <c r="D3043" s="28"/>
      <c r="E3043" s="16"/>
    </row>
    <row r="3044" spans="1:5" x14ac:dyDescent="0.2">
      <c r="A3044" s="28"/>
      <c r="B3044" s="28"/>
      <c r="C3044" s="28"/>
      <c r="D3044" s="28"/>
      <c r="E3044" s="16"/>
    </row>
    <row r="3045" spans="1:5" x14ac:dyDescent="0.2">
      <c r="A3045" s="28"/>
      <c r="B3045" s="28"/>
      <c r="C3045" s="28"/>
      <c r="D3045" s="28"/>
      <c r="E3045" s="16"/>
    </row>
    <row r="3046" spans="1:5" x14ac:dyDescent="0.2">
      <c r="A3046" s="28"/>
      <c r="B3046" s="28"/>
      <c r="C3046" s="28"/>
      <c r="D3046" s="28"/>
      <c r="E3046" s="16"/>
    </row>
    <row r="3047" spans="1:5" x14ac:dyDescent="0.2">
      <c r="A3047" s="28"/>
      <c r="B3047" s="28"/>
      <c r="C3047" s="28"/>
      <c r="D3047" s="28"/>
      <c r="E3047" s="16"/>
    </row>
    <row r="3048" spans="1:5" x14ac:dyDescent="0.2">
      <c r="A3048" s="28"/>
      <c r="B3048" s="28"/>
      <c r="C3048" s="28"/>
      <c r="D3048" s="28"/>
      <c r="E3048" s="16"/>
    </row>
    <row r="3049" spans="1:5" x14ac:dyDescent="0.2">
      <c r="A3049" s="28"/>
      <c r="B3049" s="28"/>
      <c r="C3049" s="28"/>
      <c r="D3049" s="28"/>
      <c r="E3049" s="16"/>
    </row>
    <row r="3050" spans="1:5" x14ac:dyDescent="0.2">
      <c r="A3050" s="28"/>
      <c r="B3050" s="28"/>
      <c r="C3050" s="28"/>
      <c r="D3050" s="28"/>
      <c r="E3050" s="16"/>
    </row>
    <row r="3051" spans="1:5" x14ac:dyDescent="0.2">
      <c r="A3051" s="28"/>
      <c r="B3051" s="28"/>
      <c r="C3051" s="28"/>
      <c r="D3051" s="28"/>
      <c r="E3051" s="16"/>
    </row>
    <row r="3052" spans="1:5" x14ac:dyDescent="0.2">
      <c r="A3052" s="28"/>
      <c r="B3052" s="28"/>
      <c r="C3052" s="28"/>
      <c r="D3052" s="28"/>
      <c r="E3052" s="16"/>
    </row>
    <row r="3053" spans="1:5" x14ac:dyDescent="0.2">
      <c r="A3053" s="28"/>
      <c r="B3053" s="28"/>
      <c r="C3053" s="28"/>
      <c r="D3053" s="28"/>
      <c r="E3053" s="16"/>
    </row>
    <row r="3054" spans="1:5" x14ac:dyDescent="0.2">
      <c r="A3054" s="28"/>
      <c r="B3054" s="28"/>
      <c r="C3054" s="28"/>
      <c r="D3054" s="28"/>
      <c r="E3054" s="16"/>
    </row>
    <row r="3055" spans="1:5" x14ac:dyDescent="0.2">
      <c r="A3055" s="28"/>
      <c r="B3055" s="28"/>
      <c r="C3055" s="28"/>
      <c r="D3055" s="28"/>
      <c r="E3055" s="16"/>
    </row>
    <row r="3056" spans="1:5" x14ac:dyDescent="0.2">
      <c r="A3056" s="28"/>
      <c r="B3056" s="28"/>
      <c r="C3056" s="28"/>
      <c r="D3056" s="28"/>
      <c r="E3056" s="16"/>
    </row>
    <row r="3057" spans="1:5" x14ac:dyDescent="0.2">
      <c r="A3057" s="28"/>
      <c r="B3057" s="28"/>
      <c r="C3057" s="28"/>
      <c r="D3057" s="28"/>
      <c r="E3057" s="16"/>
    </row>
    <row r="3058" spans="1:5" x14ac:dyDescent="0.2">
      <c r="A3058" s="28"/>
      <c r="B3058" s="28"/>
      <c r="C3058" s="28"/>
      <c r="D3058" s="28"/>
      <c r="E3058" s="16"/>
    </row>
    <row r="3059" spans="1:5" x14ac:dyDescent="0.2">
      <c r="A3059" s="28"/>
      <c r="B3059" s="28"/>
      <c r="C3059" s="28"/>
      <c r="D3059" s="28"/>
      <c r="E3059" s="16"/>
    </row>
    <row r="3060" spans="1:5" x14ac:dyDescent="0.2">
      <c r="A3060" s="28"/>
      <c r="B3060" s="28"/>
      <c r="C3060" s="28"/>
      <c r="D3060" s="28"/>
      <c r="E3060" s="16"/>
    </row>
    <row r="3061" spans="1:5" x14ac:dyDescent="0.2">
      <c r="A3061" s="28"/>
      <c r="B3061" s="28"/>
      <c r="C3061" s="28"/>
      <c r="D3061" s="28"/>
      <c r="E3061" s="16"/>
    </row>
    <row r="3062" spans="1:5" x14ac:dyDescent="0.2">
      <c r="A3062" s="28"/>
      <c r="B3062" s="28"/>
      <c r="C3062" s="28"/>
      <c r="D3062" s="28"/>
      <c r="E3062" s="16"/>
    </row>
    <row r="3063" spans="1:5" x14ac:dyDescent="0.2">
      <c r="A3063" s="28"/>
      <c r="B3063" s="28"/>
      <c r="C3063" s="28"/>
      <c r="D3063" s="28"/>
      <c r="E3063" s="16"/>
    </row>
    <row r="3064" spans="1:5" x14ac:dyDescent="0.2">
      <c r="A3064" s="28"/>
      <c r="B3064" s="28"/>
      <c r="C3064" s="28"/>
      <c r="D3064" s="28"/>
      <c r="E3064" s="16"/>
    </row>
    <row r="3065" spans="1:5" x14ac:dyDescent="0.2">
      <c r="A3065" s="28"/>
      <c r="B3065" s="28"/>
      <c r="C3065" s="28"/>
      <c r="D3065" s="28"/>
      <c r="E3065" s="16"/>
    </row>
    <row r="3066" spans="1:5" x14ac:dyDescent="0.2">
      <c r="A3066" s="28"/>
      <c r="B3066" s="28"/>
      <c r="C3066" s="28"/>
      <c r="D3066" s="28"/>
      <c r="E3066" s="16"/>
    </row>
    <row r="3067" spans="1:5" x14ac:dyDescent="0.2">
      <c r="A3067" s="28"/>
      <c r="B3067" s="28"/>
      <c r="C3067" s="28"/>
      <c r="D3067" s="28"/>
      <c r="E3067" s="16"/>
    </row>
    <row r="3068" spans="1:5" x14ac:dyDescent="0.2">
      <c r="A3068" s="28"/>
      <c r="B3068" s="28"/>
      <c r="C3068" s="28"/>
      <c r="D3068" s="28"/>
      <c r="E3068" s="16"/>
    </row>
    <row r="3069" spans="1:5" x14ac:dyDescent="0.2">
      <c r="A3069" s="28"/>
      <c r="B3069" s="28"/>
      <c r="C3069" s="28"/>
      <c r="D3069" s="28"/>
      <c r="E3069" s="16"/>
    </row>
    <row r="3070" spans="1:5" x14ac:dyDescent="0.2">
      <c r="A3070" s="28"/>
      <c r="B3070" s="28"/>
      <c r="C3070" s="28"/>
      <c r="D3070" s="28"/>
      <c r="E3070" s="16"/>
    </row>
    <row r="3071" spans="1:5" x14ac:dyDescent="0.2">
      <c r="A3071" s="28"/>
      <c r="B3071" s="28"/>
      <c r="C3071" s="28"/>
      <c r="D3071" s="28"/>
      <c r="E3071" s="16"/>
    </row>
    <row r="3072" spans="1:5" x14ac:dyDescent="0.2">
      <c r="A3072" s="28"/>
      <c r="B3072" s="28"/>
      <c r="C3072" s="28"/>
      <c r="D3072" s="28"/>
      <c r="E3072" s="16"/>
    </row>
    <row r="3073" spans="1:5" x14ac:dyDescent="0.2">
      <c r="A3073" s="28"/>
      <c r="B3073" s="28"/>
      <c r="C3073" s="28"/>
      <c r="D3073" s="28"/>
      <c r="E3073" s="16"/>
    </row>
    <row r="3074" spans="1:5" x14ac:dyDescent="0.2">
      <c r="A3074" s="28"/>
      <c r="B3074" s="28"/>
      <c r="C3074" s="28"/>
      <c r="D3074" s="28"/>
      <c r="E3074" s="16"/>
    </row>
    <row r="3075" spans="1:5" x14ac:dyDescent="0.2">
      <c r="A3075" s="28"/>
      <c r="B3075" s="28"/>
      <c r="C3075" s="28"/>
      <c r="D3075" s="28"/>
      <c r="E3075" s="16"/>
    </row>
    <row r="3076" spans="1:5" x14ac:dyDescent="0.2">
      <c r="A3076" s="28"/>
      <c r="B3076" s="28"/>
      <c r="C3076" s="28"/>
      <c r="D3076" s="28"/>
      <c r="E3076" s="16"/>
    </row>
    <row r="3077" spans="1:5" x14ac:dyDescent="0.2">
      <c r="A3077" s="28"/>
      <c r="B3077" s="28"/>
      <c r="C3077" s="28"/>
      <c r="D3077" s="28"/>
      <c r="E3077" s="16"/>
    </row>
    <row r="3078" spans="1:5" x14ac:dyDescent="0.2">
      <c r="A3078" s="28"/>
      <c r="B3078" s="28"/>
      <c r="C3078" s="28"/>
      <c r="D3078" s="28"/>
      <c r="E3078" s="16"/>
    </row>
    <row r="3079" spans="1:5" x14ac:dyDescent="0.2">
      <c r="A3079" s="28"/>
      <c r="B3079" s="28"/>
      <c r="C3079" s="28"/>
      <c r="D3079" s="28"/>
      <c r="E3079" s="16"/>
    </row>
    <row r="3080" spans="1:5" x14ac:dyDescent="0.2">
      <c r="A3080" s="28"/>
      <c r="B3080" s="28"/>
      <c r="C3080" s="28"/>
      <c r="D3080" s="28"/>
      <c r="E3080" s="16"/>
    </row>
    <row r="3081" spans="1:5" x14ac:dyDescent="0.2">
      <c r="A3081" s="28"/>
      <c r="B3081" s="28"/>
      <c r="C3081" s="28"/>
      <c r="D3081" s="28"/>
      <c r="E3081" s="16"/>
    </row>
    <row r="3082" spans="1:5" x14ac:dyDescent="0.2">
      <c r="A3082" s="28"/>
      <c r="B3082" s="28"/>
      <c r="C3082" s="28"/>
      <c r="D3082" s="28"/>
      <c r="E3082" s="16"/>
    </row>
    <row r="3083" spans="1:5" x14ac:dyDescent="0.2">
      <c r="A3083" s="28"/>
      <c r="B3083" s="28"/>
      <c r="C3083" s="28"/>
      <c r="D3083" s="28"/>
      <c r="E3083" s="16"/>
    </row>
    <row r="3084" spans="1:5" x14ac:dyDescent="0.2">
      <c r="A3084" s="28"/>
      <c r="B3084" s="28"/>
      <c r="C3084" s="28"/>
      <c r="D3084" s="28"/>
      <c r="E3084" s="16"/>
    </row>
    <row r="3085" spans="1:5" x14ac:dyDescent="0.2">
      <c r="A3085" s="28"/>
      <c r="B3085" s="28"/>
      <c r="C3085" s="28"/>
      <c r="D3085" s="28"/>
      <c r="E3085" s="16"/>
    </row>
    <row r="3086" spans="1:5" x14ac:dyDescent="0.2">
      <c r="A3086" s="28"/>
      <c r="B3086" s="28"/>
      <c r="C3086" s="28"/>
      <c r="D3086" s="28"/>
      <c r="E3086" s="16"/>
    </row>
    <row r="3087" spans="1:5" x14ac:dyDescent="0.2">
      <c r="A3087" s="28"/>
      <c r="B3087" s="28"/>
      <c r="C3087" s="28"/>
      <c r="D3087" s="28"/>
      <c r="E3087" s="16"/>
    </row>
    <row r="3088" spans="1:5" x14ac:dyDescent="0.2">
      <c r="A3088" s="28"/>
      <c r="B3088" s="28"/>
      <c r="C3088" s="28"/>
      <c r="D3088" s="28"/>
      <c r="E3088" s="16"/>
    </row>
    <row r="3089" spans="1:5" x14ac:dyDescent="0.2">
      <c r="A3089" s="28"/>
      <c r="B3089" s="28"/>
      <c r="C3089" s="28"/>
      <c r="D3089" s="28"/>
      <c r="E3089" s="16"/>
    </row>
    <row r="3090" spans="1:5" x14ac:dyDescent="0.2">
      <c r="A3090" s="28"/>
      <c r="B3090" s="28"/>
      <c r="C3090" s="28"/>
      <c r="D3090" s="28"/>
      <c r="E3090" s="16"/>
    </row>
    <row r="3091" spans="1:5" x14ac:dyDescent="0.2">
      <c r="A3091" s="28"/>
      <c r="B3091" s="28"/>
      <c r="C3091" s="28"/>
      <c r="D3091" s="28"/>
      <c r="E3091" s="16"/>
    </row>
    <row r="3092" spans="1:5" x14ac:dyDescent="0.2">
      <c r="A3092" s="28"/>
      <c r="B3092" s="28"/>
      <c r="C3092" s="28"/>
      <c r="D3092" s="28"/>
      <c r="E3092" s="16"/>
    </row>
    <row r="3093" spans="1:5" x14ac:dyDescent="0.2">
      <c r="A3093" s="28"/>
      <c r="B3093" s="28"/>
      <c r="C3093" s="28"/>
      <c r="D3093" s="28"/>
      <c r="E3093" s="16"/>
    </row>
    <row r="3094" spans="1:5" x14ac:dyDescent="0.2">
      <c r="A3094" s="28"/>
      <c r="B3094" s="28"/>
      <c r="C3094" s="28"/>
      <c r="D3094" s="28"/>
      <c r="E3094" s="16"/>
    </row>
    <row r="3095" spans="1:5" x14ac:dyDescent="0.2">
      <c r="A3095" s="28"/>
      <c r="B3095" s="28"/>
      <c r="C3095" s="28"/>
      <c r="D3095" s="28"/>
      <c r="E3095" s="16"/>
    </row>
    <row r="3096" spans="1:5" x14ac:dyDescent="0.2">
      <c r="A3096" s="28"/>
      <c r="B3096" s="28"/>
      <c r="C3096" s="28"/>
      <c r="D3096" s="28"/>
      <c r="E3096" s="16"/>
    </row>
    <row r="3097" spans="1:5" x14ac:dyDescent="0.2">
      <c r="A3097" s="28"/>
      <c r="B3097" s="28"/>
      <c r="C3097" s="28"/>
      <c r="D3097" s="28"/>
      <c r="E3097" s="16"/>
    </row>
    <row r="3098" spans="1:5" x14ac:dyDescent="0.2">
      <c r="A3098" s="28"/>
      <c r="B3098" s="28"/>
      <c r="C3098" s="28"/>
      <c r="D3098" s="28"/>
      <c r="E3098" s="16"/>
    </row>
    <row r="3099" spans="1:5" x14ac:dyDescent="0.2">
      <c r="A3099" s="28"/>
      <c r="B3099" s="28"/>
      <c r="C3099" s="28"/>
      <c r="D3099" s="28"/>
      <c r="E3099" s="16"/>
    </row>
    <row r="3100" spans="1:5" x14ac:dyDescent="0.2">
      <c r="A3100" s="28"/>
      <c r="B3100" s="28"/>
      <c r="C3100" s="28"/>
      <c r="D3100" s="28"/>
      <c r="E3100" s="16"/>
    </row>
    <row r="3101" spans="1:5" x14ac:dyDescent="0.2">
      <c r="A3101" s="28"/>
      <c r="B3101" s="28"/>
      <c r="C3101" s="28"/>
      <c r="D3101" s="28"/>
      <c r="E3101" s="16"/>
    </row>
    <row r="3102" spans="1:5" x14ac:dyDescent="0.2">
      <c r="A3102" s="28"/>
      <c r="B3102" s="28"/>
      <c r="C3102" s="28"/>
      <c r="D3102" s="28"/>
      <c r="E3102" s="16"/>
    </row>
    <row r="3103" spans="1:5" x14ac:dyDescent="0.2">
      <c r="A3103" s="28"/>
      <c r="B3103" s="28"/>
      <c r="C3103" s="28"/>
      <c r="D3103" s="28"/>
      <c r="E3103" s="16"/>
    </row>
    <row r="3104" spans="1:5" x14ac:dyDescent="0.2">
      <c r="A3104" s="28"/>
      <c r="B3104" s="28"/>
      <c r="C3104" s="28"/>
      <c r="D3104" s="28"/>
      <c r="E3104" s="16"/>
    </row>
    <row r="3105" spans="1:5" x14ac:dyDescent="0.2">
      <c r="A3105" s="28"/>
      <c r="B3105" s="28"/>
      <c r="C3105" s="28"/>
      <c r="D3105" s="28"/>
      <c r="E3105" s="16"/>
    </row>
    <row r="3106" spans="1:5" x14ac:dyDescent="0.2">
      <c r="A3106" s="28"/>
      <c r="B3106" s="28"/>
      <c r="C3106" s="28"/>
      <c r="D3106" s="28"/>
      <c r="E3106" s="16"/>
    </row>
    <row r="3107" spans="1:5" x14ac:dyDescent="0.2">
      <c r="A3107" s="28"/>
      <c r="B3107" s="28"/>
      <c r="C3107" s="28"/>
      <c r="D3107" s="28"/>
      <c r="E3107" s="16"/>
    </row>
    <row r="3108" spans="1:5" x14ac:dyDescent="0.2">
      <c r="A3108" s="28"/>
      <c r="B3108" s="28"/>
      <c r="C3108" s="28"/>
      <c r="D3108" s="28"/>
      <c r="E3108" s="16"/>
    </row>
    <row r="3109" spans="1:5" x14ac:dyDescent="0.2">
      <c r="A3109" s="28"/>
      <c r="B3109" s="28"/>
      <c r="C3109" s="28"/>
      <c r="D3109" s="28"/>
      <c r="E3109" s="16"/>
    </row>
    <row r="3110" spans="1:5" x14ac:dyDescent="0.2">
      <c r="A3110" s="28"/>
      <c r="B3110" s="28"/>
      <c r="C3110" s="28"/>
      <c r="D3110" s="28"/>
      <c r="E3110" s="16"/>
    </row>
    <row r="3111" spans="1:5" x14ac:dyDescent="0.2">
      <c r="A3111" s="28"/>
      <c r="B3111" s="28"/>
      <c r="C3111" s="28"/>
      <c r="D3111" s="28"/>
      <c r="E3111" s="16"/>
    </row>
    <row r="3112" spans="1:5" x14ac:dyDescent="0.2">
      <c r="A3112" s="28"/>
      <c r="B3112" s="28"/>
      <c r="C3112" s="28"/>
      <c r="D3112" s="28"/>
      <c r="E3112" s="16"/>
    </row>
    <row r="3113" spans="1:5" x14ac:dyDescent="0.2">
      <c r="A3113" s="28"/>
      <c r="B3113" s="28"/>
      <c r="C3113" s="28"/>
      <c r="D3113" s="28"/>
      <c r="E3113" s="16"/>
    </row>
    <row r="3114" spans="1:5" x14ac:dyDescent="0.2">
      <c r="A3114" s="28"/>
      <c r="B3114" s="28"/>
      <c r="C3114" s="28"/>
      <c r="D3114" s="28"/>
      <c r="E3114" s="16"/>
    </row>
    <row r="3115" spans="1:5" x14ac:dyDescent="0.2">
      <c r="A3115" s="28"/>
      <c r="B3115" s="28"/>
      <c r="C3115" s="28"/>
      <c r="D3115" s="28"/>
      <c r="E3115" s="16"/>
    </row>
    <row r="3116" spans="1:5" x14ac:dyDescent="0.2">
      <c r="A3116" s="28"/>
      <c r="B3116" s="28"/>
      <c r="C3116" s="28"/>
      <c r="D3116" s="28"/>
      <c r="E3116" s="16"/>
    </row>
    <row r="3117" spans="1:5" x14ac:dyDescent="0.2">
      <c r="A3117" s="28"/>
      <c r="B3117" s="28"/>
      <c r="C3117" s="28"/>
      <c r="D3117" s="28"/>
      <c r="E3117" s="16"/>
    </row>
    <row r="3118" spans="1:5" x14ac:dyDescent="0.2">
      <c r="A3118" s="28"/>
      <c r="B3118" s="28"/>
      <c r="C3118" s="28"/>
      <c r="D3118" s="28"/>
      <c r="E3118" s="16"/>
    </row>
    <row r="3119" spans="1:5" x14ac:dyDescent="0.2">
      <c r="A3119" s="28"/>
      <c r="B3119" s="28"/>
      <c r="C3119" s="28"/>
      <c r="D3119" s="28"/>
      <c r="E3119" s="16"/>
    </row>
    <row r="3120" spans="1:5" x14ac:dyDescent="0.2">
      <c r="A3120" s="28"/>
      <c r="B3120" s="28"/>
      <c r="C3120" s="28"/>
      <c r="D3120" s="28"/>
      <c r="E3120" s="16"/>
    </row>
    <row r="3121" spans="1:5" x14ac:dyDescent="0.2">
      <c r="A3121" s="28"/>
      <c r="B3121" s="28"/>
      <c r="C3121" s="28"/>
      <c r="D3121" s="28"/>
      <c r="E3121" s="16"/>
    </row>
    <row r="3122" spans="1:5" x14ac:dyDescent="0.2">
      <c r="A3122" s="28"/>
      <c r="B3122" s="28"/>
      <c r="C3122" s="28"/>
      <c r="D3122" s="28"/>
      <c r="E3122" s="16"/>
    </row>
    <row r="3123" spans="1:5" x14ac:dyDescent="0.2">
      <c r="A3123" s="28"/>
      <c r="B3123" s="28"/>
      <c r="C3123" s="28"/>
      <c r="D3123" s="28"/>
      <c r="E3123" s="16"/>
    </row>
    <row r="3124" spans="1:5" x14ac:dyDescent="0.2">
      <c r="A3124" s="28"/>
      <c r="B3124" s="28"/>
      <c r="C3124" s="28"/>
      <c r="D3124" s="28"/>
      <c r="E3124" s="16"/>
    </row>
    <row r="3125" spans="1:5" x14ac:dyDescent="0.2">
      <c r="A3125" s="28"/>
      <c r="B3125" s="28"/>
      <c r="C3125" s="28"/>
      <c r="D3125" s="28"/>
      <c r="E3125" s="16"/>
    </row>
    <row r="3126" spans="1:5" x14ac:dyDescent="0.2">
      <c r="A3126" s="28"/>
      <c r="B3126" s="28"/>
      <c r="C3126" s="28"/>
      <c r="D3126" s="28"/>
      <c r="E3126" s="16"/>
    </row>
    <row r="3127" spans="1:5" x14ac:dyDescent="0.2">
      <c r="A3127" s="28"/>
      <c r="B3127" s="28"/>
      <c r="C3127" s="28"/>
      <c r="D3127" s="28"/>
      <c r="E3127" s="16"/>
    </row>
    <row r="3128" spans="1:5" x14ac:dyDescent="0.2">
      <c r="A3128" s="28"/>
      <c r="B3128" s="28"/>
      <c r="C3128" s="28"/>
      <c r="D3128" s="28"/>
      <c r="E3128" s="16"/>
    </row>
    <row r="3129" spans="1:5" x14ac:dyDescent="0.2">
      <c r="A3129" s="28"/>
      <c r="B3129" s="28"/>
      <c r="C3129" s="28"/>
      <c r="D3129" s="28"/>
      <c r="E3129" s="16"/>
    </row>
    <row r="3130" spans="1:5" x14ac:dyDescent="0.2">
      <c r="A3130" s="28"/>
      <c r="B3130" s="28"/>
      <c r="C3130" s="28"/>
      <c r="D3130" s="28"/>
      <c r="E3130" s="16"/>
    </row>
    <row r="3131" spans="1:5" x14ac:dyDescent="0.2">
      <c r="A3131" s="28"/>
      <c r="B3131" s="28"/>
      <c r="C3131" s="28"/>
      <c r="D3131" s="28"/>
      <c r="E3131" s="16"/>
    </row>
    <row r="3132" spans="1:5" x14ac:dyDescent="0.2">
      <c r="A3132" s="28"/>
      <c r="B3132" s="28"/>
      <c r="C3132" s="28"/>
      <c r="D3132" s="28"/>
      <c r="E3132" s="16"/>
    </row>
    <row r="3133" spans="1:5" x14ac:dyDescent="0.2">
      <c r="A3133" s="28"/>
      <c r="B3133" s="28"/>
      <c r="C3133" s="28"/>
      <c r="D3133" s="28"/>
      <c r="E3133" s="16"/>
    </row>
    <row r="3134" spans="1:5" x14ac:dyDescent="0.2">
      <c r="A3134" s="28"/>
      <c r="B3134" s="28"/>
      <c r="C3134" s="28"/>
      <c r="D3134" s="28"/>
      <c r="E3134" s="16"/>
    </row>
    <row r="3135" spans="1:5" x14ac:dyDescent="0.2">
      <c r="A3135" s="28"/>
      <c r="B3135" s="28"/>
      <c r="C3135" s="28"/>
      <c r="D3135" s="28"/>
      <c r="E3135" s="16"/>
    </row>
    <row r="3136" spans="1:5" x14ac:dyDescent="0.2">
      <c r="A3136" s="28"/>
      <c r="B3136" s="28"/>
      <c r="C3136" s="28"/>
      <c r="D3136" s="28"/>
      <c r="E3136" s="16"/>
    </row>
    <row r="3137" spans="1:5" x14ac:dyDescent="0.2">
      <c r="A3137" s="28"/>
      <c r="B3137" s="28"/>
      <c r="C3137" s="28"/>
      <c r="D3137" s="28"/>
      <c r="E3137" s="16"/>
    </row>
    <row r="3138" spans="1:5" x14ac:dyDescent="0.2">
      <c r="A3138" s="28"/>
      <c r="B3138" s="28"/>
      <c r="C3138" s="28"/>
      <c r="D3138" s="28"/>
      <c r="E3138" s="16"/>
    </row>
    <row r="3139" spans="1:5" x14ac:dyDescent="0.2">
      <c r="A3139" s="28"/>
      <c r="B3139" s="28"/>
      <c r="C3139" s="28"/>
      <c r="D3139" s="28"/>
      <c r="E3139" s="16"/>
    </row>
    <row r="3140" spans="1:5" x14ac:dyDescent="0.2">
      <c r="A3140" s="28"/>
      <c r="B3140" s="28"/>
      <c r="C3140" s="28"/>
      <c r="D3140" s="28"/>
      <c r="E3140" s="16"/>
    </row>
    <row r="3141" spans="1:5" x14ac:dyDescent="0.2">
      <c r="A3141" s="28"/>
      <c r="B3141" s="28"/>
      <c r="C3141" s="28"/>
      <c r="D3141" s="28"/>
      <c r="E3141" s="16"/>
    </row>
    <row r="3142" spans="1:5" x14ac:dyDescent="0.2">
      <c r="A3142" s="28"/>
      <c r="B3142" s="28"/>
      <c r="C3142" s="28"/>
      <c r="D3142" s="28"/>
      <c r="E3142" s="16"/>
    </row>
    <row r="3143" spans="1:5" x14ac:dyDescent="0.2">
      <c r="A3143" s="28"/>
      <c r="B3143" s="28"/>
      <c r="C3143" s="28"/>
      <c r="D3143" s="28"/>
      <c r="E3143" s="16"/>
    </row>
    <row r="3144" spans="1:5" x14ac:dyDescent="0.2">
      <c r="A3144" s="28"/>
      <c r="B3144" s="28"/>
      <c r="C3144" s="28"/>
      <c r="D3144" s="28"/>
      <c r="E3144" s="16"/>
    </row>
    <row r="3145" spans="1:5" x14ac:dyDescent="0.2">
      <c r="A3145" s="28"/>
      <c r="B3145" s="28"/>
      <c r="C3145" s="28"/>
      <c r="D3145" s="28"/>
      <c r="E3145" s="16"/>
    </row>
    <row r="3146" spans="1:5" x14ac:dyDescent="0.2">
      <c r="A3146" s="28"/>
      <c r="B3146" s="28"/>
      <c r="C3146" s="28"/>
      <c r="D3146" s="28"/>
      <c r="E3146" s="16"/>
    </row>
    <row r="3147" spans="1:5" x14ac:dyDescent="0.2">
      <c r="A3147" s="28"/>
      <c r="B3147" s="28"/>
      <c r="C3147" s="28"/>
      <c r="D3147" s="28"/>
      <c r="E3147" s="16"/>
    </row>
    <row r="3148" spans="1:5" x14ac:dyDescent="0.2">
      <c r="A3148" s="28"/>
      <c r="B3148" s="28"/>
      <c r="C3148" s="28"/>
      <c r="D3148" s="28"/>
      <c r="E3148" s="16"/>
    </row>
    <row r="3149" spans="1:5" x14ac:dyDescent="0.2">
      <c r="A3149" s="28"/>
      <c r="B3149" s="28"/>
      <c r="C3149" s="28"/>
      <c r="D3149" s="28"/>
      <c r="E3149" s="16"/>
    </row>
    <row r="3150" spans="1:5" x14ac:dyDescent="0.2">
      <c r="A3150" s="28"/>
      <c r="B3150" s="28"/>
      <c r="C3150" s="28"/>
      <c r="D3150" s="28"/>
      <c r="E3150" s="16"/>
    </row>
    <row r="3151" spans="1:5" x14ac:dyDescent="0.2">
      <c r="A3151" s="28"/>
      <c r="B3151" s="28"/>
      <c r="C3151" s="28"/>
      <c r="D3151" s="28"/>
      <c r="E3151" s="16"/>
    </row>
    <row r="3152" spans="1:5" x14ac:dyDescent="0.2">
      <c r="A3152" s="28"/>
      <c r="B3152" s="28"/>
      <c r="C3152" s="28"/>
      <c r="D3152" s="28"/>
      <c r="E3152" s="16"/>
    </row>
    <row r="3153" spans="1:5" x14ac:dyDescent="0.2">
      <c r="A3153" s="28"/>
      <c r="B3153" s="28"/>
      <c r="C3153" s="28"/>
      <c r="D3153" s="28"/>
      <c r="E3153" s="16"/>
    </row>
    <row r="3154" spans="1:5" x14ac:dyDescent="0.2">
      <c r="A3154" s="28"/>
      <c r="B3154" s="28"/>
      <c r="C3154" s="28"/>
      <c r="D3154" s="28"/>
      <c r="E3154" s="16"/>
    </row>
    <row r="3155" spans="1:5" x14ac:dyDescent="0.2">
      <c r="A3155" s="28"/>
      <c r="B3155" s="28"/>
      <c r="C3155" s="28"/>
      <c r="D3155" s="28"/>
      <c r="E3155" s="16"/>
    </row>
    <row r="3156" spans="1:5" x14ac:dyDescent="0.2">
      <c r="A3156" s="28"/>
      <c r="B3156" s="28"/>
      <c r="C3156" s="28"/>
      <c r="D3156" s="28"/>
      <c r="E3156" s="16"/>
    </row>
    <row r="3157" spans="1:5" x14ac:dyDescent="0.2">
      <c r="A3157" s="28"/>
      <c r="B3157" s="28"/>
      <c r="C3157" s="28"/>
      <c r="D3157" s="28"/>
      <c r="E3157" s="16"/>
    </row>
    <row r="3158" spans="1:5" x14ac:dyDescent="0.2">
      <c r="A3158" s="28"/>
      <c r="B3158" s="28"/>
      <c r="C3158" s="28"/>
      <c r="D3158" s="28"/>
      <c r="E3158" s="16"/>
    </row>
    <row r="3159" spans="1:5" x14ac:dyDescent="0.2">
      <c r="A3159" s="28"/>
      <c r="B3159" s="28"/>
      <c r="C3159" s="28"/>
      <c r="D3159" s="28"/>
      <c r="E3159" s="16"/>
    </row>
    <row r="3160" spans="1:5" x14ac:dyDescent="0.2">
      <c r="A3160" s="28"/>
      <c r="B3160" s="28"/>
      <c r="C3160" s="28"/>
      <c r="D3160" s="28"/>
      <c r="E3160" s="16"/>
    </row>
    <row r="3161" spans="1:5" x14ac:dyDescent="0.2">
      <c r="A3161" s="28"/>
      <c r="B3161" s="28"/>
      <c r="C3161" s="28"/>
      <c r="D3161" s="28"/>
      <c r="E3161" s="16"/>
    </row>
    <row r="3162" spans="1:5" x14ac:dyDescent="0.2">
      <c r="A3162" s="28"/>
      <c r="B3162" s="28"/>
      <c r="C3162" s="28"/>
      <c r="D3162" s="28"/>
      <c r="E3162" s="16"/>
    </row>
    <row r="3163" spans="1:5" x14ac:dyDescent="0.2">
      <c r="A3163" s="28"/>
      <c r="B3163" s="28"/>
      <c r="C3163" s="28"/>
      <c r="D3163" s="28"/>
      <c r="E3163" s="16"/>
    </row>
    <row r="3164" spans="1:5" x14ac:dyDescent="0.2">
      <c r="A3164" s="28"/>
      <c r="B3164" s="28"/>
      <c r="C3164" s="28"/>
      <c r="D3164" s="28"/>
      <c r="E3164" s="16"/>
    </row>
    <row r="3165" spans="1:5" x14ac:dyDescent="0.2">
      <c r="A3165" s="28"/>
      <c r="B3165" s="28"/>
      <c r="C3165" s="28"/>
      <c r="D3165" s="28"/>
      <c r="E3165" s="16"/>
    </row>
    <row r="3166" spans="1:5" x14ac:dyDescent="0.2">
      <c r="A3166" s="28"/>
      <c r="B3166" s="28"/>
      <c r="C3166" s="28"/>
      <c r="D3166" s="28"/>
      <c r="E3166" s="16"/>
    </row>
    <row r="3167" spans="1:5" x14ac:dyDescent="0.2">
      <c r="A3167" s="28"/>
      <c r="B3167" s="28"/>
      <c r="C3167" s="28"/>
      <c r="D3167" s="28"/>
      <c r="E3167" s="16"/>
    </row>
    <row r="3168" spans="1:5" x14ac:dyDescent="0.2">
      <c r="A3168" s="28"/>
      <c r="B3168" s="28"/>
      <c r="C3168" s="28"/>
      <c r="D3168" s="28"/>
      <c r="E3168" s="16"/>
    </row>
    <row r="3169" spans="1:5" x14ac:dyDescent="0.2">
      <c r="A3169" s="28"/>
      <c r="B3169" s="28"/>
      <c r="C3169" s="28"/>
      <c r="D3169" s="28"/>
      <c r="E3169" s="16"/>
    </row>
    <row r="3170" spans="1:5" x14ac:dyDescent="0.2">
      <c r="A3170" s="28"/>
      <c r="B3170" s="28"/>
      <c r="C3170" s="28"/>
      <c r="D3170" s="28"/>
      <c r="E3170" s="16"/>
    </row>
    <row r="3171" spans="1:5" x14ac:dyDescent="0.2">
      <c r="A3171" s="28"/>
      <c r="B3171" s="28"/>
      <c r="C3171" s="28"/>
      <c r="D3171" s="28"/>
      <c r="E3171" s="16"/>
    </row>
    <row r="3172" spans="1:5" x14ac:dyDescent="0.2">
      <c r="A3172" s="28"/>
      <c r="B3172" s="28"/>
      <c r="C3172" s="28"/>
      <c r="D3172" s="28"/>
      <c r="E3172" s="16"/>
    </row>
    <row r="3173" spans="1:5" x14ac:dyDescent="0.2">
      <c r="A3173" s="28"/>
      <c r="B3173" s="28"/>
      <c r="C3173" s="28"/>
      <c r="D3173" s="28"/>
      <c r="E3173" s="16"/>
    </row>
    <row r="3174" spans="1:5" x14ac:dyDescent="0.2">
      <c r="A3174" s="28"/>
      <c r="B3174" s="28"/>
      <c r="C3174" s="28"/>
      <c r="D3174" s="28"/>
      <c r="E3174" s="16"/>
    </row>
    <row r="3175" spans="1:5" x14ac:dyDescent="0.2">
      <c r="A3175" s="28"/>
      <c r="B3175" s="28"/>
      <c r="C3175" s="28"/>
      <c r="D3175" s="28"/>
      <c r="E3175" s="16"/>
    </row>
    <row r="3176" spans="1:5" x14ac:dyDescent="0.2">
      <c r="A3176" s="28"/>
      <c r="B3176" s="28"/>
      <c r="C3176" s="28"/>
      <c r="D3176" s="28"/>
      <c r="E3176" s="16"/>
    </row>
    <row r="3177" spans="1:5" x14ac:dyDescent="0.2">
      <c r="A3177" s="28"/>
      <c r="B3177" s="28"/>
      <c r="C3177" s="28"/>
      <c r="D3177" s="28"/>
      <c r="E3177" s="16"/>
    </row>
    <row r="3178" spans="1:5" x14ac:dyDescent="0.2">
      <c r="A3178" s="28"/>
      <c r="B3178" s="28"/>
      <c r="C3178" s="28"/>
      <c r="D3178" s="28"/>
      <c r="E3178" s="16"/>
    </row>
    <row r="3179" spans="1:5" x14ac:dyDescent="0.2">
      <c r="A3179" s="28"/>
      <c r="B3179" s="28"/>
      <c r="C3179" s="28"/>
      <c r="D3179" s="28"/>
      <c r="E3179" s="16"/>
    </row>
    <row r="3180" spans="1:5" x14ac:dyDescent="0.2">
      <c r="A3180" s="28"/>
      <c r="B3180" s="28"/>
      <c r="C3180" s="28"/>
      <c r="D3180" s="28"/>
      <c r="E3180" s="16"/>
    </row>
    <row r="3181" spans="1:5" x14ac:dyDescent="0.2">
      <c r="A3181" s="28"/>
      <c r="B3181" s="28"/>
      <c r="C3181" s="28"/>
      <c r="D3181" s="28"/>
      <c r="E3181" s="16"/>
    </row>
    <row r="3182" spans="1:5" x14ac:dyDescent="0.2">
      <c r="A3182" s="28"/>
      <c r="B3182" s="28"/>
      <c r="C3182" s="28"/>
      <c r="D3182" s="28"/>
      <c r="E3182" s="16"/>
    </row>
    <row r="3183" spans="1:5" x14ac:dyDescent="0.2">
      <c r="A3183" s="28"/>
      <c r="B3183" s="28"/>
      <c r="C3183" s="28"/>
      <c r="D3183" s="28"/>
      <c r="E3183" s="16"/>
    </row>
    <row r="3184" spans="1:5" x14ac:dyDescent="0.2">
      <c r="A3184" s="28"/>
      <c r="B3184" s="28"/>
      <c r="C3184" s="28"/>
      <c r="D3184" s="28"/>
      <c r="E3184" s="16"/>
    </row>
    <row r="3185" spans="1:5" x14ac:dyDescent="0.2">
      <c r="A3185" s="28"/>
      <c r="B3185" s="28"/>
      <c r="C3185" s="28"/>
      <c r="D3185" s="28"/>
      <c r="E3185" s="16"/>
    </row>
    <row r="3186" spans="1:5" x14ac:dyDescent="0.2">
      <c r="A3186" s="28"/>
      <c r="B3186" s="28"/>
      <c r="C3186" s="28"/>
      <c r="D3186" s="28"/>
      <c r="E3186" s="16"/>
    </row>
    <row r="3187" spans="1:5" x14ac:dyDescent="0.2">
      <c r="A3187" s="28"/>
      <c r="B3187" s="28"/>
      <c r="C3187" s="28"/>
      <c r="D3187" s="28"/>
      <c r="E3187" s="16"/>
    </row>
    <row r="3188" spans="1:5" x14ac:dyDescent="0.2">
      <c r="A3188" s="28"/>
      <c r="B3188" s="28"/>
      <c r="C3188" s="28"/>
      <c r="D3188" s="28"/>
      <c r="E3188" s="16"/>
    </row>
    <row r="3189" spans="1:5" x14ac:dyDescent="0.2">
      <c r="A3189" s="28"/>
      <c r="B3189" s="28"/>
      <c r="C3189" s="28"/>
      <c r="D3189" s="28"/>
      <c r="E3189" s="16"/>
    </row>
    <row r="3190" spans="1:5" x14ac:dyDescent="0.2">
      <c r="A3190" s="28"/>
      <c r="B3190" s="28"/>
      <c r="C3190" s="28"/>
      <c r="D3190" s="28"/>
      <c r="E3190" s="16"/>
    </row>
    <row r="3191" spans="1:5" x14ac:dyDescent="0.2">
      <c r="A3191" s="28"/>
      <c r="B3191" s="28"/>
      <c r="C3191" s="28"/>
      <c r="D3191" s="28"/>
      <c r="E3191" s="16"/>
    </row>
    <row r="3192" spans="1:5" x14ac:dyDescent="0.2">
      <c r="A3192" s="28"/>
      <c r="B3192" s="28"/>
      <c r="C3192" s="28"/>
      <c r="D3192" s="28"/>
      <c r="E3192" s="16"/>
    </row>
    <row r="3193" spans="1:5" x14ac:dyDescent="0.2">
      <c r="A3193" s="28"/>
      <c r="B3193" s="28"/>
      <c r="C3193" s="28"/>
      <c r="D3193" s="28"/>
      <c r="E3193" s="16"/>
    </row>
    <row r="3194" spans="1:5" x14ac:dyDescent="0.2">
      <c r="A3194" s="28"/>
      <c r="B3194" s="28"/>
      <c r="C3194" s="28"/>
      <c r="D3194" s="28"/>
      <c r="E3194" s="16"/>
    </row>
    <row r="3195" spans="1:5" x14ac:dyDescent="0.2">
      <c r="A3195" s="28"/>
      <c r="B3195" s="28"/>
      <c r="C3195" s="28"/>
      <c r="D3195" s="28"/>
      <c r="E3195" s="16"/>
    </row>
    <row r="3196" spans="1:5" x14ac:dyDescent="0.2">
      <c r="A3196" s="28"/>
      <c r="B3196" s="28"/>
      <c r="C3196" s="28"/>
      <c r="D3196" s="28"/>
      <c r="E3196" s="16"/>
    </row>
    <row r="3197" spans="1:5" x14ac:dyDescent="0.2">
      <c r="A3197" s="28"/>
      <c r="B3197" s="28"/>
      <c r="C3197" s="28"/>
      <c r="D3197" s="28"/>
      <c r="E3197" s="16"/>
    </row>
    <row r="3198" spans="1:5" x14ac:dyDescent="0.2">
      <c r="A3198" s="28"/>
      <c r="B3198" s="28"/>
      <c r="C3198" s="28"/>
      <c r="D3198" s="28"/>
      <c r="E3198" s="16"/>
    </row>
    <row r="3199" spans="1:5" x14ac:dyDescent="0.2">
      <c r="A3199" s="28"/>
      <c r="B3199" s="28"/>
      <c r="C3199" s="28"/>
      <c r="D3199" s="28"/>
      <c r="E3199" s="16"/>
    </row>
    <row r="3200" spans="1:5" x14ac:dyDescent="0.2">
      <c r="A3200" s="28"/>
      <c r="B3200" s="28"/>
      <c r="C3200" s="28"/>
      <c r="D3200" s="28"/>
      <c r="E3200" s="16"/>
    </row>
    <row r="3201" spans="1:5" x14ac:dyDescent="0.2">
      <c r="A3201" s="28"/>
      <c r="B3201" s="28"/>
      <c r="C3201" s="28"/>
      <c r="D3201" s="28"/>
      <c r="E3201" s="16"/>
    </row>
    <row r="3202" spans="1:5" x14ac:dyDescent="0.2">
      <c r="A3202" s="28"/>
      <c r="B3202" s="28"/>
      <c r="C3202" s="28"/>
      <c r="D3202" s="28"/>
      <c r="E3202" s="16"/>
    </row>
    <row r="3203" spans="1:5" x14ac:dyDescent="0.2">
      <c r="A3203" s="28"/>
      <c r="B3203" s="28"/>
      <c r="C3203" s="28"/>
      <c r="D3203" s="28"/>
      <c r="E3203" s="16"/>
    </row>
    <row r="3204" spans="1:5" x14ac:dyDescent="0.2">
      <c r="A3204" s="28"/>
      <c r="B3204" s="28"/>
      <c r="C3204" s="28"/>
      <c r="D3204" s="28"/>
      <c r="E3204" s="16"/>
    </row>
    <row r="3205" spans="1:5" x14ac:dyDescent="0.2">
      <c r="A3205" s="28"/>
      <c r="B3205" s="28"/>
      <c r="C3205" s="28"/>
      <c r="D3205" s="28"/>
      <c r="E3205" s="16"/>
    </row>
    <row r="3206" spans="1:5" x14ac:dyDescent="0.2">
      <c r="A3206" s="28"/>
      <c r="B3206" s="28"/>
      <c r="C3206" s="28"/>
      <c r="D3206" s="28"/>
      <c r="E3206" s="16"/>
    </row>
    <row r="3207" spans="1:5" x14ac:dyDescent="0.2">
      <c r="A3207" s="28"/>
      <c r="B3207" s="28"/>
      <c r="C3207" s="28"/>
      <c r="D3207" s="28"/>
      <c r="E3207" s="16"/>
    </row>
    <row r="3208" spans="1:5" x14ac:dyDescent="0.2">
      <c r="A3208" s="28"/>
      <c r="B3208" s="28"/>
      <c r="C3208" s="28"/>
      <c r="D3208" s="28"/>
      <c r="E3208" s="16"/>
    </row>
    <row r="3209" spans="1:5" x14ac:dyDescent="0.2">
      <c r="A3209" s="28"/>
      <c r="B3209" s="28"/>
      <c r="C3209" s="28"/>
      <c r="D3209" s="28"/>
      <c r="E3209" s="16"/>
    </row>
    <row r="3210" spans="1:5" x14ac:dyDescent="0.2">
      <c r="A3210" s="28"/>
      <c r="B3210" s="28"/>
      <c r="C3210" s="28"/>
      <c r="D3210" s="28"/>
      <c r="E3210" s="16"/>
    </row>
    <row r="3211" spans="1:5" x14ac:dyDescent="0.2">
      <c r="A3211" s="28"/>
      <c r="B3211" s="28"/>
      <c r="C3211" s="28"/>
      <c r="D3211" s="28"/>
      <c r="E3211" s="16"/>
    </row>
    <row r="3212" spans="1:5" x14ac:dyDescent="0.2">
      <c r="A3212" s="28"/>
      <c r="B3212" s="28"/>
      <c r="C3212" s="28"/>
      <c r="D3212" s="28"/>
      <c r="E3212" s="16"/>
    </row>
    <row r="3213" spans="1:5" x14ac:dyDescent="0.2">
      <c r="A3213" s="28"/>
      <c r="B3213" s="28"/>
      <c r="C3213" s="28"/>
      <c r="D3213" s="28"/>
      <c r="E3213" s="16"/>
    </row>
    <row r="3214" spans="1:5" x14ac:dyDescent="0.2">
      <c r="A3214" s="28"/>
      <c r="B3214" s="28"/>
      <c r="C3214" s="28"/>
      <c r="D3214" s="28"/>
      <c r="E3214" s="16"/>
    </row>
    <row r="3215" spans="1:5" x14ac:dyDescent="0.2">
      <c r="A3215" s="28"/>
      <c r="B3215" s="28"/>
      <c r="C3215" s="28"/>
      <c r="D3215" s="28"/>
      <c r="E3215" s="16"/>
    </row>
    <row r="3216" spans="1:5" x14ac:dyDescent="0.2">
      <c r="A3216" s="28"/>
      <c r="B3216" s="28"/>
      <c r="C3216" s="28"/>
      <c r="D3216" s="28"/>
      <c r="E3216" s="16"/>
    </row>
    <row r="3217" spans="1:5" x14ac:dyDescent="0.2">
      <c r="A3217" s="28"/>
      <c r="B3217" s="28"/>
      <c r="C3217" s="28"/>
      <c r="D3217" s="28"/>
      <c r="E3217" s="16"/>
    </row>
    <row r="3218" spans="1:5" x14ac:dyDescent="0.2">
      <c r="A3218" s="28"/>
      <c r="B3218" s="28"/>
      <c r="C3218" s="28"/>
      <c r="D3218" s="28"/>
      <c r="E3218" s="16"/>
    </row>
    <row r="3219" spans="1:5" x14ac:dyDescent="0.2">
      <c r="A3219" s="28"/>
      <c r="B3219" s="28"/>
      <c r="C3219" s="28"/>
      <c r="D3219" s="28"/>
      <c r="E3219" s="16"/>
    </row>
    <row r="3220" spans="1:5" x14ac:dyDescent="0.2">
      <c r="A3220" s="28"/>
      <c r="B3220" s="28"/>
      <c r="C3220" s="28"/>
      <c r="D3220" s="28"/>
      <c r="E3220" s="16"/>
    </row>
    <row r="3221" spans="1:5" x14ac:dyDescent="0.2">
      <c r="A3221" s="28"/>
      <c r="B3221" s="28"/>
      <c r="C3221" s="28"/>
      <c r="D3221" s="28"/>
      <c r="E3221" s="16"/>
    </row>
    <row r="3222" spans="1:5" x14ac:dyDescent="0.2">
      <c r="A3222" s="28"/>
      <c r="B3222" s="28"/>
      <c r="C3222" s="28"/>
      <c r="D3222" s="28"/>
      <c r="E3222" s="16"/>
    </row>
    <row r="3223" spans="1:5" x14ac:dyDescent="0.2">
      <c r="A3223" s="28"/>
      <c r="B3223" s="28"/>
      <c r="C3223" s="28"/>
      <c r="D3223" s="28"/>
      <c r="E3223" s="16"/>
    </row>
    <row r="3224" spans="1:5" x14ac:dyDescent="0.2">
      <c r="A3224" s="28"/>
      <c r="B3224" s="28"/>
      <c r="C3224" s="28"/>
      <c r="D3224" s="28"/>
      <c r="E3224" s="16"/>
    </row>
    <row r="3225" spans="1:5" x14ac:dyDescent="0.2">
      <c r="A3225" s="28"/>
      <c r="B3225" s="28"/>
      <c r="C3225" s="28"/>
      <c r="D3225" s="28"/>
      <c r="E3225" s="16"/>
    </row>
    <row r="3226" spans="1:5" x14ac:dyDescent="0.2">
      <c r="A3226" s="28"/>
      <c r="B3226" s="28"/>
      <c r="C3226" s="28"/>
      <c r="D3226" s="28"/>
      <c r="E3226" s="16"/>
    </row>
    <row r="3227" spans="1:5" x14ac:dyDescent="0.2">
      <c r="A3227" s="28"/>
      <c r="B3227" s="28"/>
      <c r="C3227" s="28"/>
      <c r="D3227" s="28"/>
      <c r="E3227" s="16"/>
    </row>
    <row r="3228" spans="1:5" x14ac:dyDescent="0.2">
      <c r="A3228" s="28"/>
      <c r="B3228" s="28"/>
      <c r="C3228" s="28"/>
      <c r="D3228" s="28"/>
      <c r="E3228" s="16"/>
    </row>
    <row r="3229" spans="1:5" x14ac:dyDescent="0.2">
      <c r="A3229" s="28"/>
      <c r="B3229" s="28"/>
      <c r="C3229" s="28"/>
      <c r="D3229" s="28"/>
      <c r="E3229" s="16"/>
    </row>
    <row r="3230" spans="1:5" x14ac:dyDescent="0.2">
      <c r="A3230" s="28"/>
      <c r="B3230" s="28"/>
      <c r="C3230" s="28"/>
      <c r="D3230" s="28"/>
      <c r="E3230" s="16"/>
    </row>
    <row r="3231" spans="1:5" x14ac:dyDescent="0.2">
      <c r="A3231" s="28"/>
      <c r="B3231" s="28"/>
      <c r="C3231" s="28"/>
      <c r="D3231" s="28"/>
      <c r="E3231" s="16"/>
    </row>
    <row r="3232" spans="1:5" x14ac:dyDescent="0.2">
      <c r="A3232" s="28"/>
      <c r="B3232" s="28"/>
      <c r="C3232" s="28"/>
      <c r="D3232" s="28"/>
      <c r="E3232" s="16"/>
    </row>
    <row r="3233" spans="1:5" x14ac:dyDescent="0.2">
      <c r="A3233" s="28"/>
      <c r="B3233" s="28"/>
      <c r="C3233" s="28"/>
      <c r="D3233" s="28"/>
      <c r="E3233" s="16"/>
    </row>
    <row r="3234" spans="1:5" x14ac:dyDescent="0.2">
      <c r="A3234" s="28"/>
      <c r="B3234" s="28"/>
      <c r="C3234" s="28"/>
      <c r="D3234" s="28"/>
      <c r="E3234" s="16"/>
    </row>
    <row r="3235" spans="1:5" x14ac:dyDescent="0.2">
      <c r="A3235" s="28"/>
      <c r="B3235" s="28"/>
      <c r="C3235" s="28"/>
      <c r="D3235" s="28"/>
      <c r="E3235" s="16"/>
    </row>
    <row r="3236" spans="1:5" x14ac:dyDescent="0.2">
      <c r="A3236" s="28"/>
      <c r="B3236" s="28"/>
      <c r="C3236" s="28"/>
      <c r="D3236" s="28"/>
      <c r="E3236" s="16"/>
    </row>
    <row r="3237" spans="1:5" x14ac:dyDescent="0.2">
      <c r="A3237" s="28"/>
      <c r="B3237" s="28"/>
      <c r="C3237" s="28"/>
      <c r="D3237" s="28"/>
      <c r="E3237" s="16"/>
    </row>
    <row r="3238" spans="1:5" x14ac:dyDescent="0.2">
      <c r="A3238" s="28"/>
      <c r="B3238" s="28"/>
      <c r="C3238" s="28"/>
      <c r="D3238" s="28"/>
      <c r="E3238" s="16"/>
    </row>
    <row r="3239" spans="1:5" x14ac:dyDescent="0.2">
      <c r="A3239" s="28"/>
      <c r="B3239" s="28"/>
      <c r="C3239" s="28"/>
      <c r="D3239" s="28"/>
      <c r="E3239" s="16"/>
    </row>
    <row r="3240" spans="1:5" x14ac:dyDescent="0.2">
      <c r="A3240" s="28"/>
      <c r="B3240" s="28"/>
      <c r="C3240" s="28"/>
      <c r="D3240" s="28"/>
      <c r="E3240" s="16"/>
    </row>
    <row r="3241" spans="1:5" x14ac:dyDescent="0.2">
      <c r="A3241" s="28"/>
      <c r="B3241" s="28"/>
      <c r="C3241" s="28"/>
      <c r="D3241" s="28"/>
      <c r="E3241" s="16"/>
    </row>
    <row r="3242" spans="1:5" x14ac:dyDescent="0.2">
      <c r="A3242" s="28"/>
      <c r="B3242" s="28"/>
      <c r="C3242" s="28"/>
      <c r="D3242" s="28"/>
      <c r="E3242" s="16"/>
    </row>
    <row r="3243" spans="1:5" x14ac:dyDescent="0.2">
      <c r="A3243" s="28"/>
      <c r="B3243" s="28"/>
      <c r="C3243" s="28"/>
      <c r="D3243" s="28"/>
      <c r="E3243" s="16"/>
    </row>
    <row r="3244" spans="1:5" x14ac:dyDescent="0.2">
      <c r="A3244" s="28"/>
      <c r="B3244" s="28"/>
      <c r="C3244" s="28"/>
      <c r="D3244" s="28"/>
      <c r="E3244" s="16"/>
    </row>
    <row r="3245" spans="1:5" x14ac:dyDescent="0.2">
      <c r="A3245" s="28"/>
      <c r="B3245" s="28"/>
      <c r="C3245" s="28"/>
      <c r="D3245" s="28"/>
      <c r="E3245" s="16"/>
    </row>
    <row r="3246" spans="1:5" x14ac:dyDescent="0.2">
      <c r="A3246" s="28"/>
      <c r="B3246" s="28"/>
      <c r="C3246" s="28"/>
      <c r="D3246" s="28"/>
      <c r="E3246" s="16"/>
    </row>
    <row r="3247" spans="1:5" x14ac:dyDescent="0.2">
      <c r="A3247" s="28"/>
      <c r="B3247" s="28"/>
      <c r="C3247" s="28"/>
      <c r="D3247" s="28"/>
      <c r="E3247" s="16"/>
    </row>
    <row r="3248" spans="1:5" x14ac:dyDescent="0.2">
      <c r="A3248" s="28"/>
      <c r="B3248" s="28"/>
      <c r="C3248" s="28"/>
      <c r="D3248" s="28"/>
      <c r="E3248" s="16"/>
    </row>
    <row r="3249" spans="1:5" x14ac:dyDescent="0.2">
      <c r="A3249" s="28"/>
      <c r="B3249" s="28"/>
      <c r="C3249" s="28"/>
      <c r="D3249" s="28"/>
      <c r="E3249" s="16"/>
    </row>
    <row r="3250" spans="1:5" x14ac:dyDescent="0.2">
      <c r="A3250" s="28"/>
      <c r="B3250" s="28"/>
      <c r="C3250" s="28"/>
      <c r="D3250" s="28"/>
      <c r="E3250" s="16"/>
    </row>
    <row r="3251" spans="1:5" x14ac:dyDescent="0.2">
      <c r="A3251" s="28"/>
      <c r="B3251" s="28"/>
      <c r="C3251" s="28"/>
      <c r="D3251" s="28"/>
      <c r="E3251" s="16"/>
    </row>
    <row r="3252" spans="1:5" x14ac:dyDescent="0.2">
      <c r="A3252" s="28"/>
      <c r="B3252" s="28"/>
      <c r="C3252" s="28"/>
      <c r="D3252" s="28"/>
      <c r="E3252" s="16"/>
    </row>
    <row r="3253" spans="1:5" x14ac:dyDescent="0.2">
      <c r="A3253" s="28"/>
      <c r="B3253" s="28"/>
      <c r="C3253" s="28"/>
      <c r="D3253" s="28"/>
      <c r="E3253" s="16"/>
    </row>
    <row r="3254" spans="1:5" x14ac:dyDescent="0.2">
      <c r="A3254" s="28"/>
      <c r="B3254" s="28"/>
      <c r="C3254" s="28"/>
      <c r="D3254" s="28"/>
      <c r="E3254" s="16"/>
    </row>
    <row r="3255" spans="1:5" x14ac:dyDescent="0.2">
      <c r="A3255" s="28"/>
      <c r="B3255" s="28"/>
      <c r="C3255" s="28"/>
      <c r="D3255" s="28"/>
      <c r="E3255" s="16"/>
    </row>
    <row r="3256" spans="1:5" x14ac:dyDescent="0.2">
      <c r="A3256" s="28"/>
      <c r="B3256" s="28"/>
      <c r="C3256" s="28"/>
      <c r="D3256" s="28"/>
      <c r="E3256" s="16"/>
    </row>
    <row r="3257" spans="1:5" x14ac:dyDescent="0.2">
      <c r="A3257" s="28"/>
      <c r="B3257" s="28"/>
      <c r="C3257" s="28"/>
      <c r="D3257" s="28"/>
      <c r="E3257" s="16"/>
    </row>
    <row r="3258" spans="1:5" x14ac:dyDescent="0.2">
      <c r="A3258" s="28"/>
      <c r="B3258" s="28"/>
      <c r="C3258" s="28"/>
      <c r="D3258" s="28"/>
      <c r="E3258" s="16"/>
    </row>
    <row r="3259" spans="1:5" x14ac:dyDescent="0.2">
      <c r="A3259" s="28"/>
      <c r="B3259" s="28"/>
      <c r="C3259" s="28"/>
      <c r="D3259" s="28"/>
      <c r="E3259" s="16"/>
    </row>
    <row r="3260" spans="1:5" x14ac:dyDescent="0.2">
      <c r="A3260" s="28"/>
      <c r="B3260" s="28"/>
      <c r="C3260" s="28"/>
      <c r="D3260" s="28"/>
      <c r="E3260" s="16"/>
    </row>
    <row r="3261" spans="1:5" x14ac:dyDescent="0.2">
      <c r="A3261" s="28"/>
      <c r="B3261" s="28"/>
      <c r="C3261" s="28"/>
      <c r="D3261" s="28"/>
      <c r="E3261" s="16"/>
    </row>
    <row r="3262" spans="1:5" x14ac:dyDescent="0.2">
      <c r="A3262" s="28"/>
      <c r="B3262" s="28"/>
      <c r="C3262" s="28"/>
      <c r="D3262" s="28"/>
      <c r="E3262" s="16"/>
    </row>
    <row r="3263" spans="1:5" x14ac:dyDescent="0.2">
      <c r="A3263" s="28"/>
      <c r="B3263" s="28"/>
      <c r="C3263" s="28"/>
      <c r="D3263" s="28"/>
      <c r="E3263" s="16"/>
    </row>
    <row r="3264" spans="1:5" x14ac:dyDescent="0.2">
      <c r="A3264" s="28"/>
      <c r="B3264" s="28"/>
      <c r="C3264" s="28"/>
      <c r="D3264" s="28"/>
      <c r="E3264" s="16"/>
    </row>
    <row r="3265" spans="1:5" x14ac:dyDescent="0.2">
      <c r="A3265" s="28"/>
      <c r="B3265" s="28"/>
      <c r="C3265" s="28"/>
      <c r="D3265" s="28"/>
      <c r="E3265" s="16"/>
    </row>
    <row r="3266" spans="1:5" x14ac:dyDescent="0.2">
      <c r="A3266" s="28"/>
      <c r="B3266" s="28"/>
      <c r="C3266" s="28"/>
      <c r="D3266" s="28"/>
      <c r="E3266" s="16"/>
    </row>
    <row r="3267" spans="1:5" x14ac:dyDescent="0.2">
      <c r="A3267" s="28"/>
      <c r="B3267" s="28"/>
      <c r="C3267" s="28"/>
      <c r="D3267" s="28"/>
      <c r="E3267" s="16"/>
    </row>
    <row r="3268" spans="1:5" x14ac:dyDescent="0.2">
      <c r="A3268" s="28"/>
      <c r="B3268" s="28"/>
      <c r="C3268" s="28"/>
      <c r="D3268" s="28"/>
      <c r="E3268" s="16"/>
    </row>
    <row r="3269" spans="1:5" x14ac:dyDescent="0.2">
      <c r="A3269" s="28"/>
      <c r="B3269" s="28"/>
      <c r="C3269" s="28"/>
      <c r="D3269" s="28"/>
      <c r="E3269" s="16"/>
    </row>
    <row r="3270" spans="1:5" x14ac:dyDescent="0.2">
      <c r="A3270" s="28"/>
      <c r="B3270" s="28"/>
      <c r="C3270" s="28"/>
      <c r="D3270" s="28"/>
      <c r="E3270" s="16"/>
    </row>
    <row r="3271" spans="1:5" x14ac:dyDescent="0.2">
      <c r="A3271" s="28"/>
      <c r="B3271" s="28"/>
      <c r="C3271" s="28"/>
      <c r="D3271" s="28"/>
      <c r="E3271" s="16"/>
    </row>
    <row r="3272" spans="1:5" x14ac:dyDescent="0.2">
      <c r="A3272" s="28"/>
      <c r="B3272" s="28"/>
      <c r="C3272" s="28"/>
      <c r="D3272" s="28"/>
      <c r="E3272" s="16"/>
    </row>
    <row r="3273" spans="1:5" x14ac:dyDescent="0.2">
      <c r="A3273" s="28"/>
      <c r="B3273" s="28"/>
      <c r="C3273" s="28"/>
      <c r="D3273" s="28"/>
      <c r="E3273" s="16"/>
    </row>
    <row r="3274" spans="1:5" x14ac:dyDescent="0.2">
      <c r="A3274" s="28"/>
      <c r="B3274" s="28"/>
      <c r="C3274" s="28"/>
      <c r="D3274" s="28"/>
      <c r="E3274" s="16"/>
    </row>
    <row r="3275" spans="1:5" x14ac:dyDescent="0.2">
      <c r="A3275" s="28"/>
      <c r="B3275" s="28"/>
      <c r="C3275" s="28"/>
      <c r="D3275" s="28"/>
      <c r="E3275" s="16"/>
    </row>
    <row r="3276" spans="1:5" x14ac:dyDescent="0.2">
      <c r="A3276" s="28"/>
      <c r="B3276" s="28"/>
      <c r="C3276" s="28"/>
      <c r="D3276" s="28"/>
      <c r="E3276" s="16"/>
    </row>
    <row r="3277" spans="1:5" x14ac:dyDescent="0.2">
      <c r="A3277" s="28"/>
      <c r="B3277" s="28"/>
      <c r="C3277" s="28"/>
      <c r="D3277" s="28"/>
      <c r="E3277" s="16"/>
    </row>
    <row r="3278" spans="1:5" x14ac:dyDescent="0.2">
      <c r="A3278" s="28"/>
      <c r="B3278" s="28"/>
      <c r="C3278" s="28"/>
      <c r="D3278" s="28"/>
      <c r="E3278" s="16"/>
    </row>
    <row r="3279" spans="1:5" x14ac:dyDescent="0.2">
      <c r="A3279" s="28"/>
      <c r="B3279" s="28"/>
      <c r="C3279" s="28"/>
      <c r="D3279" s="28"/>
      <c r="E3279" s="16"/>
    </row>
    <row r="3280" spans="1:5" x14ac:dyDescent="0.2">
      <c r="A3280" s="28"/>
      <c r="B3280" s="28"/>
      <c r="C3280" s="28"/>
      <c r="D3280" s="28"/>
      <c r="E3280" s="16"/>
    </row>
    <row r="3281" spans="1:5" x14ac:dyDescent="0.2">
      <c r="A3281" s="28"/>
      <c r="B3281" s="28"/>
      <c r="C3281" s="28"/>
      <c r="D3281" s="28"/>
      <c r="E3281" s="16"/>
    </row>
    <row r="3282" spans="1:5" x14ac:dyDescent="0.2">
      <c r="A3282" s="28"/>
      <c r="B3282" s="28"/>
      <c r="C3282" s="28"/>
      <c r="D3282" s="28"/>
      <c r="E3282" s="16"/>
    </row>
    <row r="3283" spans="1:5" x14ac:dyDescent="0.2">
      <c r="A3283" s="28"/>
      <c r="B3283" s="28"/>
      <c r="C3283" s="28"/>
      <c r="D3283" s="28"/>
      <c r="E3283" s="16"/>
    </row>
    <row r="3284" spans="1:5" x14ac:dyDescent="0.2">
      <c r="A3284" s="28"/>
      <c r="B3284" s="28"/>
      <c r="C3284" s="28"/>
      <c r="D3284" s="28"/>
      <c r="E3284" s="16"/>
    </row>
    <row r="3285" spans="1:5" x14ac:dyDescent="0.2">
      <c r="A3285" s="28"/>
      <c r="B3285" s="28"/>
      <c r="C3285" s="28"/>
      <c r="D3285" s="28"/>
      <c r="E3285" s="16"/>
    </row>
    <row r="3286" spans="1:5" x14ac:dyDescent="0.2">
      <c r="A3286" s="28"/>
      <c r="B3286" s="28"/>
      <c r="C3286" s="28"/>
      <c r="D3286" s="28"/>
      <c r="E3286" s="16"/>
    </row>
    <row r="3287" spans="1:5" x14ac:dyDescent="0.2">
      <c r="A3287" s="28"/>
      <c r="B3287" s="28"/>
      <c r="C3287" s="28"/>
      <c r="D3287" s="28"/>
      <c r="E3287" s="16"/>
    </row>
    <row r="3288" spans="1:5" x14ac:dyDescent="0.2">
      <c r="A3288" s="28"/>
      <c r="B3288" s="28"/>
      <c r="C3288" s="28"/>
      <c r="D3288" s="28"/>
      <c r="E3288" s="16"/>
    </row>
    <row r="3289" spans="1:5" x14ac:dyDescent="0.2">
      <c r="A3289" s="28"/>
      <c r="B3289" s="28"/>
      <c r="C3289" s="28"/>
      <c r="D3289" s="28"/>
      <c r="E3289" s="16"/>
    </row>
    <row r="3290" spans="1:5" x14ac:dyDescent="0.2">
      <c r="A3290" s="28"/>
      <c r="B3290" s="28"/>
      <c r="C3290" s="28"/>
      <c r="D3290" s="28"/>
      <c r="E3290" s="16"/>
    </row>
    <row r="3291" spans="1:5" x14ac:dyDescent="0.2">
      <c r="A3291" s="28"/>
      <c r="B3291" s="28"/>
      <c r="C3291" s="28"/>
      <c r="D3291" s="28"/>
      <c r="E3291" s="16"/>
    </row>
    <row r="3292" spans="1:5" x14ac:dyDescent="0.2">
      <c r="A3292" s="28"/>
      <c r="B3292" s="28"/>
      <c r="C3292" s="28"/>
      <c r="D3292" s="28"/>
      <c r="E3292" s="16"/>
    </row>
    <row r="3293" spans="1:5" x14ac:dyDescent="0.2">
      <c r="A3293" s="28"/>
      <c r="B3293" s="28"/>
      <c r="C3293" s="28"/>
      <c r="D3293" s="28"/>
      <c r="E3293" s="16"/>
    </row>
    <row r="3294" spans="1:5" x14ac:dyDescent="0.2">
      <c r="A3294" s="28"/>
      <c r="B3294" s="28"/>
      <c r="C3294" s="28"/>
      <c r="D3294" s="28"/>
      <c r="E3294" s="16"/>
    </row>
    <row r="3295" spans="1:5" x14ac:dyDescent="0.2">
      <c r="A3295" s="28"/>
      <c r="B3295" s="28"/>
      <c r="C3295" s="28"/>
      <c r="D3295" s="28"/>
      <c r="E3295" s="16"/>
    </row>
    <row r="3296" spans="1:5" x14ac:dyDescent="0.2">
      <c r="A3296" s="28"/>
      <c r="B3296" s="28"/>
      <c r="C3296" s="28"/>
      <c r="D3296" s="28"/>
      <c r="E3296" s="16"/>
    </row>
    <row r="3297" spans="1:5" x14ac:dyDescent="0.2">
      <c r="A3297" s="28"/>
      <c r="B3297" s="28"/>
      <c r="C3297" s="28"/>
      <c r="D3297" s="28"/>
      <c r="E3297" s="16"/>
    </row>
    <row r="3298" spans="1:5" x14ac:dyDescent="0.2">
      <c r="A3298" s="28"/>
      <c r="B3298" s="28"/>
      <c r="C3298" s="28"/>
      <c r="D3298" s="28"/>
      <c r="E3298" s="16"/>
    </row>
    <row r="3299" spans="1:5" x14ac:dyDescent="0.2">
      <c r="A3299" s="28"/>
      <c r="B3299" s="28"/>
      <c r="C3299" s="28"/>
      <c r="D3299" s="28"/>
      <c r="E3299" s="16"/>
    </row>
    <row r="3300" spans="1:5" x14ac:dyDescent="0.2">
      <c r="A3300" s="28"/>
      <c r="B3300" s="28"/>
      <c r="C3300" s="28"/>
      <c r="D3300" s="28"/>
      <c r="E3300" s="16"/>
    </row>
    <row r="3301" spans="1:5" x14ac:dyDescent="0.2">
      <c r="A3301" s="28"/>
      <c r="B3301" s="28"/>
      <c r="C3301" s="28"/>
      <c r="D3301" s="28"/>
      <c r="E3301" s="16"/>
    </row>
    <row r="3302" spans="1:5" x14ac:dyDescent="0.2">
      <c r="A3302" s="28"/>
      <c r="B3302" s="28"/>
      <c r="C3302" s="28"/>
      <c r="D3302" s="28"/>
      <c r="E3302" s="16"/>
    </row>
    <row r="3303" spans="1:5" x14ac:dyDescent="0.2">
      <c r="A3303" s="28"/>
      <c r="B3303" s="28"/>
      <c r="C3303" s="28"/>
      <c r="D3303" s="28"/>
      <c r="E3303" s="16"/>
    </row>
    <row r="3304" spans="1:5" x14ac:dyDescent="0.2">
      <c r="A3304" s="28"/>
      <c r="B3304" s="28"/>
      <c r="C3304" s="28"/>
      <c r="D3304" s="28"/>
      <c r="E3304" s="16"/>
    </row>
    <row r="3305" spans="1:5" x14ac:dyDescent="0.2">
      <c r="A3305" s="28"/>
      <c r="B3305" s="28"/>
      <c r="C3305" s="28"/>
      <c r="D3305" s="28"/>
      <c r="E3305" s="16"/>
    </row>
    <row r="3306" spans="1:5" x14ac:dyDescent="0.2">
      <c r="A3306" s="28"/>
      <c r="B3306" s="28"/>
      <c r="C3306" s="28"/>
      <c r="D3306" s="28"/>
      <c r="E3306" s="16"/>
    </row>
    <row r="3307" spans="1:5" x14ac:dyDescent="0.2">
      <c r="A3307" s="28"/>
      <c r="B3307" s="28"/>
      <c r="C3307" s="28"/>
      <c r="D3307" s="28"/>
      <c r="E3307" s="16"/>
    </row>
    <row r="3308" spans="1:5" x14ac:dyDescent="0.2">
      <c r="A3308" s="28"/>
      <c r="B3308" s="28"/>
      <c r="C3308" s="28"/>
      <c r="D3308" s="28"/>
      <c r="E3308" s="16"/>
    </row>
    <row r="3309" spans="1:5" x14ac:dyDescent="0.2">
      <c r="A3309" s="28"/>
      <c r="B3309" s="28"/>
      <c r="C3309" s="28"/>
      <c r="D3309" s="28"/>
      <c r="E3309" s="16"/>
    </row>
    <row r="3310" spans="1:5" x14ac:dyDescent="0.2">
      <c r="A3310" s="28"/>
      <c r="B3310" s="28"/>
      <c r="C3310" s="28"/>
      <c r="D3310" s="28"/>
      <c r="E3310" s="16"/>
    </row>
    <row r="3311" spans="1:5" x14ac:dyDescent="0.2">
      <c r="A3311" s="28"/>
      <c r="B3311" s="28"/>
      <c r="C3311" s="28"/>
      <c r="D3311" s="28"/>
      <c r="E3311" s="16"/>
    </row>
    <row r="3312" spans="1:5" x14ac:dyDescent="0.2">
      <c r="A3312" s="28"/>
      <c r="B3312" s="28"/>
      <c r="C3312" s="28"/>
      <c r="D3312" s="28"/>
      <c r="E3312" s="16"/>
    </row>
    <row r="3313" spans="1:5" x14ac:dyDescent="0.2">
      <c r="A3313" s="28"/>
      <c r="B3313" s="28"/>
      <c r="C3313" s="28"/>
      <c r="D3313" s="28"/>
      <c r="E3313" s="16"/>
    </row>
    <row r="3314" spans="1:5" x14ac:dyDescent="0.2">
      <c r="A3314" s="28"/>
      <c r="B3314" s="28"/>
      <c r="C3314" s="28"/>
      <c r="D3314" s="28"/>
      <c r="E3314" s="16"/>
    </row>
    <row r="3315" spans="1:5" x14ac:dyDescent="0.2">
      <c r="A3315" s="28"/>
      <c r="B3315" s="28"/>
      <c r="C3315" s="28"/>
      <c r="D3315" s="28"/>
      <c r="E3315" s="16"/>
    </row>
    <row r="3316" spans="1:5" x14ac:dyDescent="0.2">
      <c r="A3316" s="28"/>
      <c r="B3316" s="28"/>
      <c r="C3316" s="28"/>
      <c r="D3316" s="28"/>
      <c r="E3316" s="16"/>
    </row>
    <row r="3317" spans="1:5" x14ac:dyDescent="0.2">
      <c r="A3317" s="28"/>
      <c r="B3317" s="28"/>
      <c r="C3317" s="28"/>
      <c r="D3317" s="28"/>
      <c r="E3317" s="16"/>
    </row>
    <row r="3318" spans="1:5" x14ac:dyDescent="0.2">
      <c r="A3318" s="28"/>
      <c r="B3318" s="28"/>
      <c r="C3318" s="28"/>
      <c r="D3318" s="28"/>
      <c r="E3318" s="16"/>
    </row>
    <row r="3319" spans="1:5" x14ac:dyDescent="0.2">
      <c r="A3319" s="28"/>
      <c r="B3319" s="28"/>
      <c r="C3319" s="28"/>
      <c r="D3319" s="28"/>
      <c r="E3319" s="16"/>
    </row>
    <row r="3320" spans="1:5" x14ac:dyDescent="0.2">
      <c r="A3320" s="28"/>
      <c r="B3320" s="28"/>
      <c r="C3320" s="28"/>
      <c r="D3320" s="28"/>
      <c r="E3320" s="16"/>
    </row>
    <row r="3321" spans="1:5" x14ac:dyDescent="0.2">
      <c r="A3321" s="28"/>
      <c r="B3321" s="28"/>
      <c r="C3321" s="28"/>
      <c r="D3321" s="28"/>
      <c r="E3321" s="16"/>
    </row>
    <row r="3322" spans="1:5" x14ac:dyDescent="0.2">
      <c r="A3322" s="28"/>
      <c r="B3322" s="28"/>
      <c r="C3322" s="28"/>
      <c r="D3322" s="28"/>
      <c r="E3322" s="16"/>
    </row>
    <row r="3323" spans="1:5" x14ac:dyDescent="0.2">
      <c r="A3323" s="28"/>
      <c r="B3323" s="28"/>
      <c r="C3323" s="28"/>
      <c r="D3323" s="28"/>
      <c r="E3323" s="16"/>
    </row>
    <row r="3324" spans="1:5" x14ac:dyDescent="0.2">
      <c r="A3324" s="28"/>
      <c r="B3324" s="28"/>
      <c r="C3324" s="28"/>
      <c r="D3324" s="28"/>
      <c r="E3324" s="16"/>
    </row>
    <row r="3325" spans="1:5" x14ac:dyDescent="0.2">
      <c r="A3325" s="28"/>
      <c r="B3325" s="28"/>
      <c r="C3325" s="28"/>
      <c r="D3325" s="28"/>
      <c r="E3325" s="16"/>
    </row>
    <row r="3326" spans="1:5" x14ac:dyDescent="0.2">
      <c r="A3326" s="28"/>
      <c r="B3326" s="28"/>
      <c r="C3326" s="28"/>
      <c r="D3326" s="28"/>
      <c r="E3326" s="16"/>
    </row>
    <row r="3327" spans="1:5" x14ac:dyDescent="0.2">
      <c r="A3327" s="28"/>
      <c r="B3327" s="28"/>
      <c r="C3327" s="28"/>
      <c r="D3327" s="28"/>
      <c r="E3327" s="16"/>
    </row>
    <row r="3328" spans="1:5" x14ac:dyDescent="0.2">
      <c r="A3328" s="28"/>
      <c r="B3328" s="28"/>
      <c r="C3328" s="28"/>
      <c r="D3328" s="28"/>
      <c r="E3328" s="16"/>
    </row>
    <row r="3329" spans="1:5" x14ac:dyDescent="0.2">
      <c r="A3329" s="28"/>
      <c r="B3329" s="28"/>
      <c r="C3329" s="28"/>
      <c r="D3329" s="28"/>
      <c r="E3329" s="16"/>
    </row>
    <row r="3330" spans="1:5" x14ac:dyDescent="0.2">
      <c r="A3330" s="28"/>
      <c r="B3330" s="28"/>
      <c r="C3330" s="28"/>
      <c r="D3330" s="28"/>
      <c r="E3330" s="16"/>
    </row>
    <row r="3331" spans="1:5" x14ac:dyDescent="0.2">
      <c r="A3331" s="28"/>
      <c r="B3331" s="28"/>
      <c r="C3331" s="28"/>
      <c r="D3331" s="28"/>
      <c r="E3331" s="16"/>
    </row>
    <row r="3332" spans="1:5" x14ac:dyDescent="0.2">
      <c r="A3332" s="28"/>
      <c r="B3332" s="28"/>
      <c r="C3332" s="28"/>
      <c r="D3332" s="28"/>
      <c r="E3332" s="16"/>
    </row>
    <row r="3333" spans="1:5" x14ac:dyDescent="0.2">
      <c r="A3333" s="28"/>
      <c r="B3333" s="28"/>
      <c r="C3333" s="28"/>
      <c r="D3333" s="28"/>
      <c r="E3333" s="16"/>
    </row>
    <row r="3334" spans="1:5" x14ac:dyDescent="0.2">
      <c r="A3334" s="28"/>
      <c r="B3334" s="28"/>
      <c r="C3334" s="28"/>
      <c r="D3334" s="28"/>
      <c r="E3334" s="16"/>
    </row>
    <row r="3335" spans="1:5" x14ac:dyDescent="0.2">
      <c r="A3335" s="28"/>
      <c r="B3335" s="28"/>
      <c r="C3335" s="28"/>
      <c r="D3335" s="28"/>
      <c r="E3335" s="16"/>
    </row>
    <row r="3336" spans="1:5" x14ac:dyDescent="0.2">
      <c r="A3336" s="28"/>
      <c r="B3336" s="28"/>
      <c r="C3336" s="28"/>
      <c r="D3336" s="28"/>
      <c r="E3336" s="16"/>
    </row>
    <row r="3337" spans="1:5" x14ac:dyDescent="0.2">
      <c r="A3337" s="28"/>
      <c r="B3337" s="28"/>
      <c r="C3337" s="28"/>
      <c r="D3337" s="28"/>
      <c r="E3337" s="16"/>
    </row>
    <row r="3338" spans="1:5" x14ac:dyDescent="0.2">
      <c r="A3338" s="28"/>
      <c r="B3338" s="28"/>
      <c r="C3338" s="28"/>
      <c r="D3338" s="28"/>
      <c r="E3338" s="16"/>
    </row>
    <row r="3339" spans="1:5" x14ac:dyDescent="0.2">
      <c r="A3339" s="28"/>
      <c r="B3339" s="28"/>
      <c r="C3339" s="28"/>
      <c r="D3339" s="28"/>
      <c r="E3339" s="16"/>
    </row>
    <row r="3340" spans="1:5" x14ac:dyDescent="0.2">
      <c r="A3340" s="28"/>
      <c r="B3340" s="28"/>
      <c r="C3340" s="28"/>
      <c r="D3340" s="28"/>
      <c r="E3340" s="16"/>
    </row>
    <row r="3341" spans="1:5" x14ac:dyDescent="0.2">
      <c r="A3341" s="28"/>
      <c r="B3341" s="28"/>
      <c r="C3341" s="28"/>
      <c r="D3341" s="28"/>
      <c r="E3341" s="16"/>
    </row>
    <row r="3342" spans="1:5" x14ac:dyDescent="0.2">
      <c r="A3342" s="28"/>
      <c r="B3342" s="28"/>
      <c r="C3342" s="28"/>
      <c r="D3342" s="28"/>
      <c r="E3342" s="16"/>
    </row>
    <row r="3343" spans="1:5" x14ac:dyDescent="0.2">
      <c r="A3343" s="28"/>
      <c r="B3343" s="28"/>
      <c r="C3343" s="28"/>
      <c r="D3343" s="28"/>
      <c r="E3343" s="16"/>
    </row>
    <row r="3344" spans="1:5" x14ac:dyDescent="0.2">
      <c r="A3344" s="28"/>
      <c r="B3344" s="28"/>
      <c r="C3344" s="28"/>
      <c r="D3344" s="28"/>
      <c r="E3344" s="16"/>
    </row>
    <row r="3345" spans="1:5" x14ac:dyDescent="0.2">
      <c r="A3345" s="28"/>
      <c r="B3345" s="28"/>
      <c r="C3345" s="28"/>
      <c r="D3345" s="28"/>
      <c r="E3345" s="16"/>
    </row>
    <row r="3346" spans="1:5" x14ac:dyDescent="0.2">
      <c r="A3346" s="28"/>
      <c r="B3346" s="28"/>
      <c r="C3346" s="28"/>
      <c r="D3346" s="28"/>
      <c r="E3346" s="16"/>
    </row>
    <row r="3347" spans="1:5" x14ac:dyDescent="0.2">
      <c r="A3347" s="28"/>
      <c r="B3347" s="28"/>
      <c r="C3347" s="28"/>
      <c r="D3347" s="28"/>
      <c r="E3347" s="16"/>
    </row>
    <row r="3348" spans="1:5" x14ac:dyDescent="0.2">
      <c r="A3348" s="28"/>
      <c r="B3348" s="28"/>
      <c r="C3348" s="28"/>
      <c r="D3348" s="28"/>
      <c r="E3348" s="16"/>
    </row>
    <row r="3349" spans="1:5" x14ac:dyDescent="0.2">
      <c r="A3349" s="28"/>
      <c r="B3349" s="28"/>
      <c r="C3349" s="28"/>
      <c r="D3349" s="28"/>
      <c r="E3349" s="16"/>
    </row>
    <row r="3350" spans="1:5" x14ac:dyDescent="0.2">
      <c r="A3350" s="28"/>
      <c r="B3350" s="28"/>
      <c r="C3350" s="28"/>
      <c r="D3350" s="28"/>
      <c r="E3350" s="16"/>
    </row>
    <row r="3351" spans="1:5" x14ac:dyDescent="0.2">
      <c r="A3351" s="28"/>
      <c r="B3351" s="28"/>
      <c r="C3351" s="28"/>
      <c r="D3351" s="28"/>
      <c r="E3351" s="16"/>
    </row>
    <row r="3352" spans="1:5" x14ac:dyDescent="0.2">
      <c r="A3352" s="28"/>
      <c r="B3352" s="28"/>
      <c r="C3352" s="28"/>
      <c r="D3352" s="28"/>
      <c r="E3352" s="16"/>
    </row>
    <row r="3353" spans="1:5" x14ac:dyDescent="0.2">
      <c r="A3353" s="28"/>
      <c r="B3353" s="28"/>
      <c r="C3353" s="28"/>
      <c r="D3353" s="28"/>
      <c r="E3353" s="16"/>
    </row>
    <row r="3354" spans="1:5" x14ac:dyDescent="0.2">
      <c r="A3354" s="28"/>
      <c r="B3354" s="28"/>
      <c r="C3354" s="28"/>
      <c r="D3354" s="28"/>
      <c r="E3354" s="16"/>
    </row>
    <row r="3355" spans="1:5" x14ac:dyDescent="0.2">
      <c r="A3355" s="28"/>
      <c r="B3355" s="28"/>
      <c r="C3355" s="28"/>
      <c r="D3355" s="28"/>
      <c r="E3355" s="16"/>
    </row>
    <row r="3356" spans="1:5" x14ac:dyDescent="0.2">
      <c r="A3356" s="28"/>
      <c r="B3356" s="28"/>
      <c r="C3356" s="28"/>
      <c r="D3356" s="28"/>
      <c r="E3356" s="16"/>
    </row>
    <row r="3357" spans="1:5" x14ac:dyDescent="0.2">
      <c r="A3357" s="28"/>
      <c r="B3357" s="28"/>
      <c r="C3357" s="28"/>
      <c r="D3357" s="28"/>
      <c r="E3357" s="16"/>
    </row>
    <row r="3358" spans="1:5" x14ac:dyDescent="0.2">
      <c r="A3358" s="28"/>
      <c r="B3358" s="28"/>
      <c r="C3358" s="28"/>
      <c r="D3358" s="28"/>
      <c r="E3358" s="16"/>
    </row>
    <row r="3359" spans="1:5" x14ac:dyDescent="0.2">
      <c r="A3359" s="28"/>
      <c r="B3359" s="28"/>
      <c r="C3359" s="28"/>
      <c r="D3359" s="28"/>
      <c r="E3359" s="16"/>
    </row>
    <row r="3360" spans="1:5" x14ac:dyDescent="0.2">
      <c r="A3360" s="28"/>
      <c r="B3360" s="28"/>
      <c r="C3360" s="28"/>
      <c r="D3360" s="28"/>
      <c r="E3360" s="16"/>
    </row>
    <row r="3361" spans="1:5" x14ac:dyDescent="0.2">
      <c r="A3361" s="28"/>
      <c r="B3361" s="28"/>
      <c r="C3361" s="28"/>
      <c r="D3361" s="28"/>
      <c r="E3361" s="16"/>
    </row>
    <row r="3362" spans="1:5" x14ac:dyDescent="0.2">
      <c r="A3362" s="28"/>
      <c r="B3362" s="28"/>
      <c r="C3362" s="28"/>
      <c r="D3362" s="28"/>
      <c r="E3362" s="16"/>
    </row>
    <row r="3363" spans="1:5" x14ac:dyDescent="0.2">
      <c r="A3363" s="28"/>
      <c r="B3363" s="28"/>
      <c r="C3363" s="28"/>
      <c r="D3363" s="28"/>
      <c r="E3363" s="16"/>
    </row>
    <row r="3364" spans="1:5" x14ac:dyDescent="0.2">
      <c r="A3364" s="28"/>
      <c r="B3364" s="28"/>
      <c r="C3364" s="28"/>
      <c r="D3364" s="28"/>
      <c r="E3364" s="16"/>
    </row>
    <row r="3365" spans="1:5" x14ac:dyDescent="0.2">
      <c r="A3365" s="28"/>
      <c r="B3365" s="28"/>
      <c r="C3365" s="28"/>
      <c r="D3365" s="28"/>
      <c r="E3365" s="16"/>
    </row>
    <row r="3366" spans="1:5" x14ac:dyDescent="0.2">
      <c r="A3366" s="28"/>
      <c r="B3366" s="28"/>
      <c r="C3366" s="28"/>
      <c r="D3366" s="28"/>
      <c r="E3366" s="16"/>
    </row>
    <row r="3367" spans="1:5" x14ac:dyDescent="0.2">
      <c r="A3367" s="28"/>
      <c r="B3367" s="28"/>
      <c r="C3367" s="28"/>
      <c r="D3367" s="28"/>
      <c r="E3367" s="16"/>
    </row>
    <row r="3368" spans="1:5" x14ac:dyDescent="0.2">
      <c r="A3368" s="28"/>
      <c r="B3368" s="28"/>
      <c r="C3368" s="28"/>
      <c r="D3368" s="28"/>
      <c r="E3368" s="16"/>
    </row>
    <row r="3369" spans="1:5" x14ac:dyDescent="0.2">
      <c r="A3369" s="28"/>
      <c r="B3369" s="28"/>
      <c r="C3369" s="28"/>
      <c r="D3369" s="28"/>
      <c r="E3369" s="16"/>
    </row>
    <row r="3370" spans="1:5" x14ac:dyDescent="0.2">
      <c r="A3370" s="28"/>
      <c r="B3370" s="28"/>
      <c r="C3370" s="28"/>
      <c r="D3370" s="28"/>
      <c r="E3370" s="16"/>
    </row>
    <row r="3371" spans="1:5" x14ac:dyDescent="0.2">
      <c r="A3371" s="28"/>
      <c r="B3371" s="28"/>
      <c r="C3371" s="28"/>
      <c r="D3371" s="28"/>
      <c r="E3371" s="16"/>
    </row>
    <row r="3372" spans="1:5" x14ac:dyDescent="0.2">
      <c r="A3372" s="28"/>
      <c r="B3372" s="28"/>
      <c r="C3372" s="28"/>
      <c r="D3372" s="28"/>
      <c r="E3372" s="16"/>
    </row>
    <row r="3373" spans="1:5" x14ac:dyDescent="0.2">
      <c r="A3373" s="28"/>
      <c r="B3373" s="28"/>
      <c r="C3373" s="28"/>
      <c r="D3373" s="28"/>
      <c r="E3373" s="16"/>
    </row>
    <row r="3374" spans="1:5" x14ac:dyDescent="0.2">
      <c r="A3374" s="28"/>
      <c r="B3374" s="28"/>
      <c r="C3374" s="28"/>
      <c r="D3374" s="28"/>
      <c r="E3374" s="16"/>
    </row>
    <row r="3375" spans="1:5" x14ac:dyDescent="0.2">
      <c r="A3375" s="28"/>
      <c r="B3375" s="28"/>
      <c r="C3375" s="28"/>
      <c r="D3375" s="28"/>
      <c r="E3375" s="16"/>
    </row>
    <row r="3376" spans="1:5" x14ac:dyDescent="0.2">
      <c r="A3376" s="28"/>
      <c r="B3376" s="28"/>
      <c r="C3376" s="28"/>
      <c r="D3376" s="28"/>
      <c r="E3376" s="16"/>
    </row>
    <row r="3377" spans="1:5" x14ac:dyDescent="0.2">
      <c r="A3377" s="28"/>
      <c r="B3377" s="28"/>
      <c r="C3377" s="28"/>
      <c r="D3377" s="28"/>
      <c r="E3377" s="16"/>
    </row>
    <row r="3378" spans="1:5" x14ac:dyDescent="0.2">
      <c r="A3378" s="28"/>
      <c r="B3378" s="28"/>
      <c r="C3378" s="28"/>
      <c r="D3378" s="28"/>
      <c r="E3378" s="16"/>
    </row>
    <row r="3379" spans="1:5" x14ac:dyDescent="0.2">
      <c r="A3379" s="28"/>
      <c r="B3379" s="28"/>
      <c r="C3379" s="28"/>
      <c r="D3379" s="28"/>
      <c r="E3379" s="16"/>
    </row>
    <row r="3380" spans="1:5" x14ac:dyDescent="0.2">
      <c r="A3380" s="28"/>
      <c r="B3380" s="28"/>
      <c r="C3380" s="28"/>
      <c r="D3380" s="28"/>
      <c r="E3380" s="16"/>
    </row>
    <row r="3381" spans="1:5" x14ac:dyDescent="0.2">
      <c r="A3381" s="28"/>
      <c r="B3381" s="28"/>
      <c r="C3381" s="28"/>
      <c r="D3381" s="28"/>
      <c r="E3381" s="16"/>
    </row>
    <row r="3382" spans="1:5" x14ac:dyDescent="0.2">
      <c r="A3382" s="28"/>
      <c r="B3382" s="28"/>
      <c r="C3382" s="28"/>
      <c r="D3382" s="28"/>
      <c r="E3382" s="16"/>
    </row>
    <row r="3383" spans="1:5" x14ac:dyDescent="0.2">
      <c r="A3383" s="28"/>
      <c r="B3383" s="28"/>
      <c r="C3383" s="28"/>
      <c r="D3383" s="28"/>
      <c r="E3383" s="16"/>
    </row>
    <row r="3384" spans="1:5" x14ac:dyDescent="0.2">
      <c r="A3384" s="28"/>
      <c r="B3384" s="28"/>
      <c r="C3384" s="28"/>
      <c r="D3384" s="28"/>
      <c r="E3384" s="16"/>
    </row>
    <row r="3385" spans="1:5" x14ac:dyDescent="0.2">
      <c r="A3385" s="28"/>
      <c r="B3385" s="28"/>
      <c r="C3385" s="28"/>
      <c r="D3385" s="28"/>
      <c r="E3385" s="16"/>
    </row>
    <row r="3386" spans="1:5" x14ac:dyDescent="0.2">
      <c r="A3386" s="28"/>
      <c r="B3386" s="28"/>
      <c r="C3386" s="28"/>
      <c r="D3386" s="28"/>
      <c r="E3386" s="16"/>
    </row>
    <row r="3387" spans="1:5" x14ac:dyDescent="0.2">
      <c r="A3387" s="28"/>
      <c r="B3387" s="28"/>
      <c r="C3387" s="28"/>
      <c r="D3387" s="28"/>
      <c r="E3387" s="16"/>
    </row>
    <row r="3388" spans="1:5" x14ac:dyDescent="0.2">
      <c r="A3388" s="28"/>
      <c r="B3388" s="28"/>
      <c r="C3388" s="28"/>
      <c r="D3388" s="28"/>
      <c r="E3388" s="16"/>
    </row>
    <row r="3389" spans="1:5" x14ac:dyDescent="0.2">
      <c r="A3389" s="28"/>
      <c r="B3389" s="28"/>
      <c r="C3389" s="28"/>
      <c r="D3389" s="28"/>
      <c r="E3389" s="16"/>
    </row>
    <row r="3390" spans="1:5" x14ac:dyDescent="0.2">
      <c r="A3390" s="28"/>
      <c r="B3390" s="28"/>
      <c r="C3390" s="28"/>
      <c r="D3390" s="28"/>
      <c r="E3390" s="16"/>
    </row>
    <row r="3391" spans="1:5" x14ac:dyDescent="0.2">
      <c r="A3391" s="28"/>
      <c r="B3391" s="28"/>
      <c r="C3391" s="28"/>
      <c r="D3391" s="28"/>
      <c r="E3391" s="16"/>
    </row>
    <row r="3392" spans="1:5" x14ac:dyDescent="0.2">
      <c r="A3392" s="28"/>
      <c r="B3392" s="28"/>
      <c r="C3392" s="28"/>
      <c r="D3392" s="28"/>
      <c r="E3392" s="16"/>
    </row>
    <row r="3393" spans="1:5" x14ac:dyDescent="0.2">
      <c r="A3393" s="28"/>
      <c r="B3393" s="28"/>
      <c r="C3393" s="28"/>
      <c r="D3393" s="28"/>
      <c r="E3393" s="16"/>
    </row>
    <row r="3394" spans="1:5" x14ac:dyDescent="0.2">
      <c r="A3394" s="28"/>
      <c r="B3394" s="28"/>
      <c r="C3394" s="28"/>
      <c r="D3394" s="28"/>
      <c r="E3394" s="16"/>
    </row>
    <row r="3395" spans="1:5" x14ac:dyDescent="0.2">
      <c r="A3395" s="28"/>
      <c r="B3395" s="28"/>
      <c r="C3395" s="28"/>
      <c r="D3395" s="28"/>
      <c r="E3395" s="16"/>
    </row>
    <row r="3396" spans="1:5" x14ac:dyDescent="0.2">
      <c r="A3396" s="28"/>
      <c r="B3396" s="28"/>
      <c r="C3396" s="28"/>
      <c r="D3396" s="28"/>
      <c r="E3396" s="16"/>
    </row>
    <row r="3397" spans="1:5" x14ac:dyDescent="0.2">
      <c r="A3397" s="28"/>
      <c r="B3397" s="28"/>
      <c r="C3397" s="28"/>
      <c r="D3397" s="28"/>
      <c r="E3397" s="16"/>
    </row>
    <row r="3398" spans="1:5" x14ac:dyDescent="0.2">
      <c r="A3398" s="28"/>
      <c r="B3398" s="28"/>
      <c r="C3398" s="28"/>
      <c r="D3398" s="28"/>
      <c r="E3398" s="16"/>
    </row>
    <row r="3399" spans="1:5" x14ac:dyDescent="0.2">
      <c r="A3399" s="28"/>
      <c r="B3399" s="28"/>
      <c r="C3399" s="28"/>
      <c r="D3399" s="28"/>
      <c r="E3399" s="16"/>
    </row>
    <row r="3400" spans="1:5" x14ac:dyDescent="0.2">
      <c r="A3400" s="28"/>
      <c r="B3400" s="28"/>
      <c r="C3400" s="28"/>
      <c r="D3400" s="28"/>
      <c r="E3400" s="16"/>
    </row>
    <row r="3401" spans="1:5" x14ac:dyDescent="0.2">
      <c r="A3401" s="28"/>
      <c r="B3401" s="28"/>
      <c r="C3401" s="28"/>
      <c r="D3401" s="28"/>
      <c r="E3401" s="16"/>
    </row>
    <row r="3402" spans="1:5" x14ac:dyDescent="0.2">
      <c r="A3402" s="28"/>
      <c r="B3402" s="28"/>
      <c r="C3402" s="28"/>
      <c r="D3402" s="28"/>
      <c r="E3402" s="16"/>
    </row>
    <row r="3403" spans="1:5" x14ac:dyDescent="0.2">
      <c r="A3403" s="28"/>
      <c r="B3403" s="28"/>
      <c r="C3403" s="28"/>
      <c r="D3403" s="28"/>
      <c r="E3403" s="16"/>
    </row>
    <row r="3404" spans="1:5" x14ac:dyDescent="0.2">
      <c r="A3404" s="28"/>
      <c r="B3404" s="28"/>
      <c r="C3404" s="28"/>
      <c r="D3404" s="28"/>
      <c r="E3404" s="16"/>
    </row>
    <row r="3405" spans="1:5" x14ac:dyDescent="0.2">
      <c r="A3405" s="28"/>
      <c r="B3405" s="28"/>
      <c r="C3405" s="28"/>
      <c r="D3405" s="28"/>
      <c r="E3405" s="16"/>
    </row>
    <row r="3406" spans="1:5" x14ac:dyDescent="0.2">
      <c r="A3406" s="28"/>
      <c r="B3406" s="28"/>
      <c r="C3406" s="28"/>
      <c r="D3406" s="28"/>
      <c r="E3406" s="16"/>
    </row>
    <row r="3407" spans="1:5" x14ac:dyDescent="0.2">
      <c r="A3407" s="28"/>
      <c r="B3407" s="28"/>
      <c r="C3407" s="28"/>
      <c r="D3407" s="28"/>
      <c r="E3407" s="16"/>
    </row>
    <row r="3408" spans="1:5" x14ac:dyDescent="0.2">
      <c r="A3408" s="28"/>
      <c r="B3408" s="28"/>
      <c r="C3408" s="28"/>
      <c r="D3408" s="28"/>
      <c r="E3408" s="16"/>
    </row>
    <row r="3409" spans="1:5" x14ac:dyDescent="0.2">
      <c r="A3409" s="28"/>
      <c r="B3409" s="28"/>
      <c r="C3409" s="28"/>
      <c r="D3409" s="28"/>
      <c r="E3409" s="16"/>
    </row>
    <row r="3410" spans="1:5" x14ac:dyDescent="0.2">
      <c r="A3410" s="28"/>
      <c r="B3410" s="28"/>
      <c r="C3410" s="28"/>
      <c r="D3410" s="28"/>
      <c r="E3410" s="16"/>
    </row>
    <row r="3411" spans="1:5" x14ac:dyDescent="0.2">
      <c r="A3411" s="28"/>
      <c r="B3411" s="28"/>
      <c r="C3411" s="28"/>
      <c r="D3411" s="28"/>
      <c r="E3411" s="16"/>
    </row>
    <row r="3412" spans="1:5" x14ac:dyDescent="0.2">
      <c r="A3412" s="28"/>
      <c r="B3412" s="28"/>
      <c r="C3412" s="28"/>
      <c r="D3412" s="28"/>
      <c r="E3412" s="16"/>
    </row>
    <row r="3413" spans="1:5" x14ac:dyDescent="0.2">
      <c r="A3413" s="28"/>
      <c r="B3413" s="28"/>
      <c r="C3413" s="28"/>
      <c r="D3413" s="28"/>
      <c r="E3413" s="16"/>
    </row>
    <row r="3414" spans="1:5" x14ac:dyDescent="0.2">
      <c r="A3414" s="28"/>
      <c r="B3414" s="28"/>
      <c r="C3414" s="28"/>
      <c r="D3414" s="28"/>
      <c r="E3414" s="16"/>
    </row>
    <row r="3415" spans="1:5" x14ac:dyDescent="0.2">
      <c r="A3415" s="28"/>
      <c r="B3415" s="28"/>
      <c r="C3415" s="28"/>
      <c r="D3415" s="28"/>
      <c r="E3415" s="16"/>
    </row>
    <row r="3416" spans="1:5" x14ac:dyDescent="0.2">
      <c r="A3416" s="28"/>
      <c r="B3416" s="28"/>
      <c r="C3416" s="28"/>
      <c r="D3416" s="28"/>
      <c r="E3416" s="16"/>
    </row>
    <row r="3417" spans="1:5" x14ac:dyDescent="0.2">
      <c r="A3417" s="28"/>
      <c r="B3417" s="28"/>
      <c r="C3417" s="28"/>
      <c r="D3417" s="28"/>
      <c r="E3417" s="16"/>
    </row>
    <row r="3418" spans="1:5" x14ac:dyDescent="0.2">
      <c r="A3418" s="28"/>
      <c r="B3418" s="28"/>
      <c r="C3418" s="28"/>
      <c r="D3418" s="28"/>
      <c r="E3418" s="16"/>
    </row>
    <row r="3419" spans="1:5" x14ac:dyDescent="0.2">
      <c r="A3419" s="28"/>
      <c r="B3419" s="28"/>
      <c r="C3419" s="28"/>
      <c r="D3419" s="28"/>
      <c r="E3419" s="16"/>
    </row>
    <row r="3420" spans="1:5" x14ac:dyDescent="0.2">
      <c r="A3420" s="28"/>
      <c r="B3420" s="28"/>
      <c r="C3420" s="28"/>
      <c r="D3420" s="28"/>
      <c r="E3420" s="16"/>
    </row>
    <row r="3421" spans="1:5" x14ac:dyDescent="0.2">
      <c r="A3421" s="28"/>
      <c r="B3421" s="28"/>
      <c r="C3421" s="28"/>
      <c r="D3421" s="28"/>
      <c r="E3421" s="16"/>
    </row>
    <row r="3422" spans="1:5" x14ac:dyDescent="0.2">
      <c r="A3422" s="28"/>
      <c r="B3422" s="28"/>
      <c r="C3422" s="28"/>
      <c r="D3422" s="28"/>
      <c r="E3422" s="16"/>
    </row>
    <row r="3423" spans="1:5" x14ac:dyDescent="0.2">
      <c r="A3423" s="28"/>
      <c r="B3423" s="28"/>
      <c r="C3423" s="28"/>
      <c r="D3423" s="28"/>
      <c r="E3423" s="16"/>
    </row>
    <row r="3424" spans="1:5" x14ac:dyDescent="0.2">
      <c r="A3424" s="28"/>
      <c r="B3424" s="28"/>
      <c r="C3424" s="28"/>
      <c r="D3424" s="28"/>
      <c r="E3424" s="16"/>
    </row>
    <row r="3425" spans="1:5" x14ac:dyDescent="0.2">
      <c r="A3425" s="28"/>
      <c r="B3425" s="28"/>
      <c r="C3425" s="28"/>
      <c r="D3425" s="28"/>
      <c r="E3425" s="16"/>
    </row>
    <row r="3426" spans="1:5" x14ac:dyDescent="0.2">
      <c r="A3426" s="28"/>
      <c r="B3426" s="28"/>
      <c r="C3426" s="28"/>
      <c r="D3426" s="28"/>
      <c r="E3426" s="16"/>
    </row>
    <row r="3427" spans="1:5" x14ac:dyDescent="0.2">
      <c r="A3427" s="28"/>
      <c r="B3427" s="28"/>
      <c r="C3427" s="28"/>
      <c r="D3427" s="28"/>
      <c r="E3427" s="16"/>
    </row>
    <row r="3428" spans="1:5" x14ac:dyDescent="0.2">
      <c r="A3428" s="28"/>
      <c r="B3428" s="28"/>
      <c r="C3428" s="28"/>
      <c r="D3428" s="28"/>
      <c r="E3428" s="16"/>
    </row>
    <row r="3429" spans="1:5" x14ac:dyDescent="0.2">
      <c r="A3429" s="28"/>
      <c r="B3429" s="28"/>
      <c r="C3429" s="28"/>
      <c r="D3429" s="28"/>
      <c r="E3429" s="16"/>
    </row>
    <row r="3430" spans="1:5" x14ac:dyDescent="0.2">
      <c r="A3430" s="28"/>
      <c r="B3430" s="28"/>
      <c r="C3430" s="28"/>
      <c r="D3430" s="28"/>
      <c r="E3430" s="16"/>
    </row>
    <row r="3431" spans="1:5" x14ac:dyDescent="0.2">
      <c r="A3431" s="28"/>
      <c r="B3431" s="28"/>
      <c r="C3431" s="28"/>
      <c r="D3431" s="28"/>
      <c r="E3431" s="16"/>
    </row>
    <row r="3432" spans="1:5" x14ac:dyDescent="0.2">
      <c r="A3432" s="28"/>
      <c r="B3432" s="28"/>
      <c r="C3432" s="28"/>
      <c r="D3432" s="28"/>
      <c r="E3432" s="16"/>
    </row>
    <row r="3433" spans="1:5" x14ac:dyDescent="0.2">
      <c r="A3433" s="28"/>
      <c r="B3433" s="28"/>
      <c r="C3433" s="28"/>
      <c r="D3433" s="28"/>
      <c r="E3433" s="16"/>
    </row>
    <row r="3434" spans="1:5" x14ac:dyDescent="0.2">
      <c r="A3434" s="28"/>
      <c r="B3434" s="28"/>
      <c r="C3434" s="28"/>
      <c r="D3434" s="28"/>
      <c r="E3434" s="16"/>
    </row>
    <row r="3435" spans="1:5" x14ac:dyDescent="0.2">
      <c r="A3435" s="28"/>
      <c r="B3435" s="28"/>
      <c r="C3435" s="28"/>
      <c r="D3435" s="28"/>
      <c r="E3435" s="16"/>
    </row>
    <row r="3436" spans="1:5" x14ac:dyDescent="0.2">
      <c r="A3436" s="28"/>
      <c r="B3436" s="28"/>
      <c r="C3436" s="28"/>
      <c r="D3436" s="28"/>
      <c r="E3436" s="16"/>
    </row>
    <row r="3437" spans="1:5" x14ac:dyDescent="0.2">
      <c r="A3437" s="28"/>
      <c r="B3437" s="28"/>
      <c r="C3437" s="28"/>
      <c r="D3437" s="28"/>
      <c r="E3437" s="16"/>
    </row>
    <row r="3438" spans="1:5" x14ac:dyDescent="0.2">
      <c r="A3438" s="28"/>
      <c r="B3438" s="28"/>
      <c r="C3438" s="28"/>
      <c r="D3438" s="28"/>
      <c r="E3438" s="16"/>
    </row>
    <row r="3439" spans="1:5" x14ac:dyDescent="0.2">
      <c r="A3439" s="28"/>
      <c r="B3439" s="28"/>
      <c r="C3439" s="28"/>
      <c r="D3439" s="28"/>
      <c r="E3439" s="16"/>
    </row>
    <row r="3440" spans="1:5" x14ac:dyDescent="0.2">
      <c r="A3440" s="28"/>
      <c r="B3440" s="28"/>
      <c r="C3440" s="28"/>
      <c r="D3440" s="28"/>
      <c r="E3440" s="16"/>
    </row>
    <row r="3441" spans="1:5" x14ac:dyDescent="0.2">
      <c r="A3441" s="28"/>
      <c r="B3441" s="28"/>
      <c r="C3441" s="28"/>
      <c r="D3441" s="28"/>
      <c r="E3441" s="16"/>
    </row>
    <row r="3442" spans="1:5" x14ac:dyDescent="0.2">
      <c r="A3442" s="28"/>
      <c r="B3442" s="28"/>
      <c r="C3442" s="28"/>
      <c r="D3442" s="28"/>
      <c r="E3442" s="16"/>
    </row>
    <row r="3443" spans="1:5" x14ac:dyDescent="0.2">
      <c r="A3443" s="28"/>
      <c r="B3443" s="28"/>
      <c r="C3443" s="28"/>
      <c r="D3443" s="28"/>
      <c r="E3443" s="16"/>
    </row>
    <row r="3444" spans="1:5" x14ac:dyDescent="0.2">
      <c r="A3444" s="28"/>
      <c r="B3444" s="28"/>
      <c r="C3444" s="28"/>
      <c r="D3444" s="28"/>
      <c r="E3444" s="16"/>
    </row>
    <row r="3445" spans="1:5" x14ac:dyDescent="0.2">
      <c r="A3445" s="28"/>
      <c r="B3445" s="28"/>
      <c r="C3445" s="28"/>
      <c r="D3445" s="28"/>
      <c r="E3445" s="16"/>
    </row>
    <row r="3446" spans="1:5" x14ac:dyDescent="0.2">
      <c r="A3446" s="28"/>
      <c r="B3446" s="28"/>
      <c r="C3446" s="28"/>
      <c r="D3446" s="28"/>
      <c r="E3446" s="16"/>
    </row>
    <row r="3447" spans="1:5" x14ac:dyDescent="0.2">
      <c r="A3447" s="28"/>
      <c r="B3447" s="28"/>
      <c r="C3447" s="28"/>
      <c r="D3447" s="28"/>
      <c r="E3447" s="16"/>
    </row>
    <row r="3448" spans="1:5" x14ac:dyDescent="0.2">
      <c r="A3448" s="28"/>
      <c r="B3448" s="28"/>
      <c r="C3448" s="28"/>
      <c r="D3448" s="28"/>
      <c r="E3448" s="16"/>
    </row>
    <row r="3449" spans="1:5" x14ac:dyDescent="0.2">
      <c r="A3449" s="28"/>
      <c r="B3449" s="28"/>
      <c r="C3449" s="28"/>
      <c r="D3449" s="28"/>
      <c r="E3449" s="16"/>
    </row>
    <row r="3450" spans="1:5" x14ac:dyDescent="0.2">
      <c r="A3450" s="28"/>
      <c r="B3450" s="28"/>
      <c r="C3450" s="28"/>
      <c r="D3450" s="28"/>
      <c r="E3450" s="16"/>
    </row>
    <row r="3451" spans="1:5" x14ac:dyDescent="0.2">
      <c r="A3451" s="28"/>
      <c r="B3451" s="28"/>
      <c r="C3451" s="28"/>
      <c r="D3451" s="28"/>
      <c r="E3451" s="16"/>
    </row>
    <row r="3452" spans="1:5" x14ac:dyDescent="0.2">
      <c r="A3452" s="28"/>
      <c r="B3452" s="28"/>
      <c r="C3452" s="28"/>
      <c r="D3452" s="28"/>
      <c r="E3452" s="16"/>
    </row>
    <row r="3453" spans="1:5" x14ac:dyDescent="0.2">
      <c r="A3453" s="28"/>
      <c r="B3453" s="28"/>
      <c r="C3453" s="28"/>
      <c r="D3453" s="28"/>
      <c r="E3453" s="16"/>
    </row>
    <row r="3454" spans="1:5" x14ac:dyDescent="0.2">
      <c r="A3454" s="28"/>
      <c r="B3454" s="28"/>
      <c r="C3454" s="28"/>
      <c r="D3454" s="28"/>
      <c r="E3454" s="16"/>
    </row>
    <row r="3455" spans="1:5" x14ac:dyDescent="0.2">
      <c r="A3455" s="28"/>
      <c r="B3455" s="28"/>
      <c r="C3455" s="28"/>
      <c r="D3455" s="28"/>
      <c r="E3455" s="16"/>
    </row>
    <row r="3456" spans="1:5" x14ac:dyDescent="0.2">
      <c r="A3456" s="28"/>
      <c r="B3456" s="28"/>
      <c r="C3456" s="28"/>
      <c r="D3456" s="28"/>
      <c r="E3456" s="16"/>
    </row>
    <row r="3457" spans="1:5" x14ac:dyDescent="0.2">
      <c r="A3457" s="28"/>
      <c r="B3457" s="28"/>
      <c r="C3457" s="28"/>
      <c r="D3457" s="28"/>
      <c r="E3457" s="16"/>
    </row>
    <row r="3458" spans="1:5" x14ac:dyDescent="0.2">
      <c r="A3458" s="28"/>
      <c r="B3458" s="28"/>
      <c r="C3458" s="28"/>
      <c r="D3458" s="28"/>
      <c r="E3458" s="16"/>
    </row>
    <row r="3459" spans="1:5" x14ac:dyDescent="0.2">
      <c r="A3459" s="28"/>
      <c r="B3459" s="28"/>
      <c r="C3459" s="28"/>
      <c r="D3459" s="28"/>
      <c r="E3459" s="16"/>
    </row>
    <row r="3460" spans="1:5" x14ac:dyDescent="0.2">
      <c r="A3460" s="28"/>
      <c r="B3460" s="28"/>
      <c r="C3460" s="28"/>
      <c r="D3460" s="28"/>
      <c r="E3460" s="16"/>
    </row>
    <row r="3461" spans="1:5" x14ac:dyDescent="0.2">
      <c r="A3461" s="28"/>
      <c r="B3461" s="28"/>
      <c r="C3461" s="28"/>
      <c r="D3461" s="28"/>
      <c r="E3461" s="16"/>
    </row>
    <row r="3462" spans="1:5" x14ac:dyDescent="0.2">
      <c r="A3462" s="28"/>
      <c r="B3462" s="28"/>
      <c r="C3462" s="28"/>
      <c r="D3462" s="28"/>
      <c r="E3462" s="16"/>
    </row>
    <row r="3463" spans="1:5" x14ac:dyDescent="0.2">
      <c r="A3463" s="28"/>
      <c r="B3463" s="28"/>
      <c r="C3463" s="28"/>
      <c r="D3463" s="28"/>
      <c r="E3463" s="16"/>
    </row>
    <row r="3464" spans="1:5" x14ac:dyDescent="0.2">
      <c r="A3464" s="28"/>
      <c r="B3464" s="28"/>
      <c r="C3464" s="28"/>
      <c r="D3464" s="28"/>
      <c r="E3464" s="16"/>
    </row>
    <row r="3465" spans="1:5" x14ac:dyDescent="0.2">
      <c r="A3465" s="28"/>
      <c r="B3465" s="28"/>
      <c r="C3465" s="28"/>
      <c r="D3465" s="28"/>
      <c r="E3465" s="16"/>
    </row>
    <row r="3466" spans="1:5" x14ac:dyDescent="0.2">
      <c r="A3466" s="28"/>
      <c r="B3466" s="28"/>
      <c r="C3466" s="28"/>
      <c r="D3466" s="28"/>
      <c r="E3466" s="16"/>
    </row>
    <row r="3467" spans="1:5" x14ac:dyDescent="0.2">
      <c r="A3467" s="28"/>
      <c r="B3467" s="28"/>
      <c r="C3467" s="28"/>
      <c r="D3467" s="28"/>
      <c r="E3467" s="16"/>
    </row>
    <row r="3468" spans="1:5" x14ac:dyDescent="0.2">
      <c r="A3468" s="28"/>
      <c r="B3468" s="28"/>
      <c r="C3468" s="28"/>
      <c r="D3468" s="28"/>
      <c r="E3468" s="16"/>
    </row>
    <row r="3469" spans="1:5" x14ac:dyDescent="0.2">
      <c r="A3469" s="28"/>
      <c r="B3469" s="28"/>
      <c r="C3469" s="28"/>
      <c r="D3469" s="28"/>
      <c r="E3469" s="16"/>
    </row>
    <row r="3470" spans="1:5" x14ac:dyDescent="0.2">
      <c r="A3470" s="28"/>
      <c r="B3470" s="28"/>
      <c r="C3470" s="28"/>
      <c r="D3470" s="28"/>
      <c r="E3470" s="16"/>
    </row>
    <row r="3471" spans="1:5" x14ac:dyDescent="0.2">
      <c r="A3471" s="28"/>
      <c r="B3471" s="28"/>
      <c r="C3471" s="28"/>
      <c r="D3471" s="28"/>
      <c r="E3471" s="16"/>
    </row>
    <row r="3472" spans="1:5" x14ac:dyDescent="0.2">
      <c r="A3472" s="28"/>
      <c r="B3472" s="28"/>
      <c r="C3472" s="28"/>
      <c r="D3472" s="28"/>
      <c r="E3472" s="16"/>
    </row>
    <row r="3473" spans="1:5" x14ac:dyDescent="0.2">
      <c r="A3473" s="28"/>
      <c r="B3473" s="28"/>
      <c r="C3473" s="28"/>
      <c r="D3473" s="28"/>
      <c r="E3473" s="16"/>
    </row>
    <row r="3474" spans="1:5" x14ac:dyDescent="0.2">
      <c r="A3474" s="28"/>
      <c r="B3474" s="28"/>
      <c r="C3474" s="28"/>
      <c r="D3474" s="28"/>
      <c r="E3474" s="16"/>
    </row>
    <row r="3475" spans="1:5" x14ac:dyDescent="0.2">
      <c r="A3475" s="28"/>
      <c r="B3475" s="28"/>
      <c r="C3475" s="28"/>
      <c r="D3475" s="28"/>
      <c r="E3475" s="16"/>
    </row>
    <row r="3476" spans="1:5" x14ac:dyDescent="0.2">
      <c r="A3476" s="28"/>
      <c r="B3476" s="28"/>
      <c r="C3476" s="28"/>
      <c r="D3476" s="28"/>
      <c r="E3476" s="16"/>
    </row>
    <row r="3477" spans="1:5" x14ac:dyDescent="0.2">
      <c r="A3477" s="28"/>
      <c r="B3477" s="28"/>
      <c r="C3477" s="28"/>
      <c r="D3477" s="28"/>
      <c r="E3477" s="16"/>
    </row>
    <row r="3478" spans="1:5" x14ac:dyDescent="0.2">
      <c r="A3478" s="28"/>
      <c r="B3478" s="28"/>
      <c r="C3478" s="28"/>
      <c r="D3478" s="28"/>
      <c r="E3478" s="16"/>
    </row>
    <row r="3479" spans="1:5" x14ac:dyDescent="0.2">
      <c r="A3479" s="28"/>
      <c r="B3479" s="28"/>
      <c r="C3479" s="28"/>
      <c r="D3479" s="28"/>
      <c r="E3479" s="16"/>
    </row>
    <row r="3480" spans="1:5" x14ac:dyDescent="0.2">
      <c r="A3480" s="28"/>
      <c r="B3480" s="28"/>
      <c r="C3480" s="28"/>
      <c r="D3480" s="28"/>
      <c r="E3480" s="16"/>
    </row>
    <row r="3481" spans="1:5" x14ac:dyDescent="0.2">
      <c r="A3481" s="28"/>
      <c r="B3481" s="28"/>
      <c r="C3481" s="28"/>
      <c r="D3481" s="28"/>
      <c r="E3481" s="16"/>
    </row>
    <row r="3482" spans="1:5" x14ac:dyDescent="0.2">
      <c r="A3482" s="28"/>
      <c r="B3482" s="28"/>
      <c r="C3482" s="28"/>
      <c r="D3482" s="28"/>
      <c r="E3482" s="16"/>
    </row>
    <row r="3483" spans="1:5" x14ac:dyDescent="0.2">
      <c r="A3483" s="28"/>
      <c r="B3483" s="28"/>
      <c r="C3483" s="28"/>
      <c r="D3483" s="28"/>
      <c r="E3483" s="16"/>
    </row>
    <row r="3484" spans="1:5" x14ac:dyDescent="0.2">
      <c r="A3484" s="28"/>
      <c r="B3484" s="28"/>
      <c r="C3484" s="28"/>
      <c r="D3484" s="28"/>
      <c r="E3484" s="16"/>
    </row>
    <row r="3485" spans="1:5" x14ac:dyDescent="0.2">
      <c r="A3485" s="28"/>
      <c r="B3485" s="28"/>
      <c r="C3485" s="28"/>
      <c r="D3485" s="28"/>
      <c r="E3485" s="16"/>
    </row>
    <row r="3486" spans="1:5" x14ac:dyDescent="0.2">
      <c r="A3486" s="28"/>
      <c r="B3486" s="28"/>
      <c r="C3486" s="28"/>
      <c r="D3486" s="28"/>
      <c r="E3486" s="16"/>
    </row>
    <row r="3487" spans="1:5" x14ac:dyDescent="0.2">
      <c r="A3487" s="28"/>
      <c r="B3487" s="28"/>
      <c r="C3487" s="28"/>
      <c r="D3487" s="28"/>
      <c r="E3487" s="16"/>
    </row>
    <row r="3488" spans="1:5" x14ac:dyDescent="0.2">
      <c r="A3488" s="28"/>
      <c r="B3488" s="28"/>
      <c r="C3488" s="28"/>
      <c r="D3488" s="28"/>
      <c r="E3488" s="16"/>
    </row>
    <row r="3489" spans="1:5" x14ac:dyDescent="0.2">
      <c r="A3489" s="28"/>
      <c r="B3489" s="28"/>
      <c r="C3489" s="28"/>
      <c r="D3489" s="28"/>
      <c r="E3489" s="16"/>
    </row>
    <row r="3490" spans="1:5" x14ac:dyDescent="0.2">
      <c r="A3490" s="28"/>
      <c r="B3490" s="28"/>
      <c r="C3490" s="28"/>
      <c r="D3490" s="28"/>
      <c r="E3490" s="16"/>
    </row>
    <row r="3491" spans="1:5" x14ac:dyDescent="0.2">
      <c r="A3491" s="28"/>
      <c r="B3491" s="28"/>
      <c r="C3491" s="28"/>
      <c r="D3491" s="28"/>
      <c r="E3491" s="16"/>
    </row>
    <row r="3492" spans="1:5" x14ac:dyDescent="0.2">
      <c r="A3492" s="28"/>
      <c r="B3492" s="28"/>
      <c r="C3492" s="28"/>
      <c r="D3492" s="28"/>
      <c r="E3492" s="16"/>
    </row>
    <row r="3493" spans="1:5" x14ac:dyDescent="0.2">
      <c r="A3493" s="28"/>
      <c r="B3493" s="28"/>
      <c r="C3493" s="28"/>
      <c r="D3493" s="28"/>
      <c r="E3493" s="16"/>
    </row>
    <row r="3494" spans="1:5" x14ac:dyDescent="0.2">
      <c r="A3494" s="28"/>
      <c r="B3494" s="28"/>
      <c r="C3494" s="28"/>
      <c r="D3494" s="28"/>
      <c r="E3494" s="16"/>
    </row>
    <row r="3495" spans="1:5" x14ac:dyDescent="0.2">
      <c r="A3495" s="28"/>
      <c r="B3495" s="28"/>
      <c r="C3495" s="28"/>
      <c r="D3495" s="28"/>
      <c r="E3495" s="16"/>
    </row>
    <row r="3496" spans="1:5" x14ac:dyDescent="0.2">
      <c r="A3496" s="28"/>
      <c r="B3496" s="28"/>
      <c r="C3496" s="28"/>
      <c r="D3496" s="28"/>
      <c r="E3496" s="16"/>
    </row>
    <row r="3497" spans="1:5" x14ac:dyDescent="0.2">
      <c r="A3497" s="28"/>
      <c r="B3497" s="28"/>
      <c r="C3497" s="28"/>
      <c r="D3497" s="28"/>
      <c r="E3497" s="16"/>
    </row>
    <row r="3498" spans="1:5" x14ac:dyDescent="0.2">
      <c r="A3498" s="28"/>
      <c r="B3498" s="28"/>
      <c r="C3498" s="28"/>
      <c r="D3498" s="28"/>
      <c r="E3498" s="16"/>
    </row>
    <row r="3499" spans="1:5" x14ac:dyDescent="0.2">
      <c r="A3499" s="28"/>
      <c r="B3499" s="28"/>
      <c r="C3499" s="28"/>
      <c r="D3499" s="28"/>
      <c r="E3499" s="16"/>
    </row>
    <row r="3500" spans="1:5" x14ac:dyDescent="0.2">
      <c r="A3500" s="28"/>
      <c r="B3500" s="28"/>
      <c r="C3500" s="28"/>
      <c r="D3500" s="28"/>
      <c r="E3500" s="16"/>
    </row>
    <row r="3501" spans="1:5" x14ac:dyDescent="0.2">
      <c r="A3501" s="28"/>
      <c r="B3501" s="28"/>
      <c r="C3501" s="28"/>
      <c r="D3501" s="28"/>
      <c r="E3501" s="16"/>
    </row>
    <row r="3502" spans="1:5" x14ac:dyDescent="0.2">
      <c r="A3502" s="28"/>
      <c r="B3502" s="28"/>
      <c r="C3502" s="28"/>
      <c r="D3502" s="28"/>
      <c r="E3502" s="16"/>
    </row>
    <row r="3503" spans="1:5" x14ac:dyDescent="0.2">
      <c r="A3503" s="28"/>
      <c r="B3503" s="28"/>
      <c r="C3503" s="28"/>
      <c r="D3503" s="28"/>
      <c r="E3503" s="16"/>
    </row>
    <row r="3504" spans="1:5" x14ac:dyDescent="0.2">
      <c r="A3504" s="28"/>
      <c r="B3504" s="28"/>
      <c r="C3504" s="28"/>
      <c r="D3504" s="28"/>
      <c r="E3504" s="16"/>
    </row>
    <row r="3505" spans="1:5" x14ac:dyDescent="0.2">
      <c r="A3505" s="28"/>
      <c r="B3505" s="28"/>
      <c r="C3505" s="28"/>
      <c r="D3505" s="28"/>
      <c r="E3505" s="16"/>
    </row>
    <row r="3506" spans="1:5" x14ac:dyDescent="0.2">
      <c r="A3506" s="28"/>
      <c r="B3506" s="28"/>
      <c r="C3506" s="28"/>
      <c r="D3506" s="28"/>
      <c r="E3506" s="16"/>
    </row>
    <row r="3507" spans="1:5" x14ac:dyDescent="0.2">
      <c r="A3507" s="28"/>
      <c r="B3507" s="28"/>
      <c r="C3507" s="28"/>
      <c r="D3507" s="28"/>
      <c r="E3507" s="16"/>
    </row>
    <row r="3508" spans="1:5" x14ac:dyDescent="0.2">
      <c r="A3508" s="28"/>
      <c r="B3508" s="28"/>
      <c r="C3508" s="28"/>
      <c r="D3508" s="28"/>
      <c r="E3508" s="16"/>
    </row>
    <row r="3509" spans="1:5" x14ac:dyDescent="0.2">
      <c r="A3509" s="28"/>
      <c r="B3509" s="28"/>
      <c r="C3509" s="28"/>
      <c r="D3509" s="28"/>
      <c r="E3509" s="16"/>
    </row>
    <row r="3510" spans="1:5" x14ac:dyDescent="0.2">
      <c r="A3510" s="28"/>
      <c r="B3510" s="28"/>
      <c r="C3510" s="28"/>
      <c r="D3510" s="28"/>
      <c r="E3510" s="16"/>
    </row>
    <row r="3511" spans="1:5" x14ac:dyDescent="0.2">
      <c r="A3511" s="28"/>
      <c r="B3511" s="28"/>
      <c r="C3511" s="28"/>
      <c r="D3511" s="28"/>
      <c r="E3511" s="16"/>
    </row>
    <row r="3512" spans="1:5" x14ac:dyDescent="0.2">
      <c r="A3512" s="28"/>
      <c r="B3512" s="28"/>
      <c r="C3512" s="28"/>
      <c r="D3512" s="28"/>
      <c r="E3512" s="16"/>
    </row>
    <row r="3513" spans="1:5" x14ac:dyDescent="0.2">
      <c r="A3513" s="28"/>
      <c r="B3513" s="28"/>
      <c r="C3513" s="28"/>
      <c r="D3513" s="28"/>
      <c r="E3513" s="16"/>
    </row>
    <row r="3514" spans="1:5" x14ac:dyDescent="0.2">
      <c r="A3514" s="28"/>
      <c r="B3514" s="28"/>
      <c r="C3514" s="28"/>
      <c r="D3514" s="28"/>
      <c r="E3514" s="16"/>
    </row>
    <row r="3515" spans="1:5" x14ac:dyDescent="0.2">
      <c r="A3515" s="28"/>
      <c r="B3515" s="28"/>
      <c r="C3515" s="28"/>
      <c r="D3515" s="28"/>
      <c r="E3515" s="16"/>
    </row>
    <row r="3516" spans="1:5" x14ac:dyDescent="0.2">
      <c r="A3516" s="28"/>
      <c r="B3516" s="28"/>
      <c r="C3516" s="28"/>
      <c r="D3516" s="28"/>
      <c r="E3516" s="16"/>
    </row>
    <row r="3517" spans="1:5" x14ac:dyDescent="0.2">
      <c r="A3517" s="28"/>
      <c r="B3517" s="28"/>
      <c r="C3517" s="28"/>
      <c r="D3517" s="28"/>
      <c r="E3517" s="16"/>
    </row>
    <row r="3518" spans="1:5" x14ac:dyDescent="0.2">
      <c r="A3518" s="28"/>
      <c r="B3518" s="28"/>
      <c r="C3518" s="28"/>
      <c r="D3518" s="28"/>
      <c r="E3518" s="16"/>
    </row>
    <row r="3519" spans="1:5" x14ac:dyDescent="0.2">
      <c r="A3519" s="28"/>
      <c r="B3519" s="28"/>
      <c r="C3519" s="28"/>
      <c r="D3519" s="28"/>
      <c r="E3519" s="16"/>
    </row>
    <row r="3520" spans="1:5" x14ac:dyDescent="0.2">
      <c r="A3520" s="28"/>
      <c r="B3520" s="28"/>
      <c r="C3520" s="28"/>
      <c r="D3520" s="28"/>
      <c r="E3520" s="16"/>
    </row>
    <row r="3521" spans="1:5" x14ac:dyDescent="0.2">
      <c r="A3521" s="28"/>
      <c r="B3521" s="28"/>
      <c r="C3521" s="28"/>
      <c r="D3521" s="28"/>
      <c r="E3521" s="16"/>
    </row>
    <row r="3522" spans="1:5" x14ac:dyDescent="0.2">
      <c r="A3522" s="28"/>
      <c r="B3522" s="28"/>
      <c r="C3522" s="28"/>
      <c r="D3522" s="28"/>
      <c r="E3522" s="16"/>
    </row>
    <row r="3523" spans="1:5" x14ac:dyDescent="0.2">
      <c r="A3523" s="28"/>
      <c r="B3523" s="28"/>
      <c r="C3523" s="28"/>
      <c r="D3523" s="28"/>
      <c r="E3523" s="16"/>
    </row>
    <row r="3524" spans="1:5" x14ac:dyDescent="0.2">
      <c r="A3524" s="28"/>
      <c r="B3524" s="28"/>
      <c r="C3524" s="28"/>
      <c r="D3524" s="28"/>
      <c r="E3524" s="16"/>
    </row>
    <row r="3525" spans="1:5" x14ac:dyDescent="0.2">
      <c r="A3525" s="28"/>
      <c r="B3525" s="28"/>
      <c r="C3525" s="28"/>
      <c r="D3525" s="28"/>
      <c r="E3525" s="16"/>
    </row>
    <row r="3526" spans="1:5" x14ac:dyDescent="0.2">
      <c r="A3526" s="28"/>
      <c r="B3526" s="28"/>
      <c r="C3526" s="28"/>
      <c r="D3526" s="28"/>
      <c r="E3526" s="16"/>
    </row>
    <row r="3527" spans="1:5" x14ac:dyDescent="0.2">
      <c r="A3527" s="28"/>
      <c r="B3527" s="28"/>
      <c r="C3527" s="28"/>
      <c r="D3527" s="28"/>
      <c r="E3527" s="16"/>
    </row>
    <row r="3528" spans="1:5" x14ac:dyDescent="0.2">
      <c r="A3528" s="28"/>
      <c r="B3528" s="28"/>
      <c r="C3528" s="28"/>
      <c r="D3528" s="28"/>
      <c r="E3528" s="16"/>
    </row>
    <row r="3529" spans="1:5" x14ac:dyDescent="0.2">
      <c r="A3529" s="28"/>
      <c r="B3529" s="28"/>
      <c r="C3529" s="28"/>
      <c r="D3529" s="28"/>
      <c r="E3529" s="16"/>
    </row>
    <row r="3530" spans="1:5" x14ac:dyDescent="0.2">
      <c r="A3530" s="28"/>
      <c r="B3530" s="28"/>
      <c r="C3530" s="28"/>
      <c r="D3530" s="28"/>
      <c r="E3530" s="16"/>
    </row>
    <row r="3531" spans="1:5" x14ac:dyDescent="0.2">
      <c r="A3531" s="28"/>
      <c r="B3531" s="28"/>
      <c r="C3531" s="28"/>
      <c r="D3531" s="28"/>
      <c r="E3531" s="16"/>
    </row>
    <row r="3532" spans="1:5" x14ac:dyDescent="0.2">
      <c r="A3532" s="28"/>
      <c r="B3532" s="28"/>
      <c r="C3532" s="28"/>
      <c r="D3532" s="28"/>
      <c r="E3532" s="16"/>
    </row>
    <row r="3533" spans="1:5" x14ac:dyDescent="0.2">
      <c r="A3533" s="28"/>
      <c r="B3533" s="28"/>
      <c r="C3533" s="28"/>
      <c r="D3533" s="28"/>
      <c r="E3533" s="16"/>
    </row>
    <row r="3534" spans="1:5" x14ac:dyDescent="0.2">
      <c r="A3534" s="28"/>
      <c r="B3534" s="28"/>
      <c r="C3534" s="28"/>
      <c r="D3534" s="28"/>
      <c r="E3534" s="16"/>
    </row>
    <row r="3535" spans="1:5" x14ac:dyDescent="0.2">
      <c r="A3535" s="28"/>
      <c r="B3535" s="28"/>
      <c r="C3535" s="28"/>
      <c r="D3535" s="28"/>
      <c r="E3535" s="16"/>
    </row>
    <row r="3536" spans="1:5" x14ac:dyDescent="0.2">
      <c r="A3536" s="28"/>
      <c r="B3536" s="28"/>
      <c r="C3536" s="28"/>
      <c r="D3536" s="28"/>
      <c r="E3536" s="16"/>
    </row>
    <row r="3537" spans="1:5" x14ac:dyDescent="0.2">
      <c r="A3537" s="28"/>
      <c r="B3537" s="28"/>
      <c r="C3537" s="28"/>
      <c r="D3537" s="28"/>
      <c r="E3537" s="16"/>
    </row>
    <row r="3538" spans="1:5" x14ac:dyDescent="0.2">
      <c r="A3538" s="28"/>
      <c r="B3538" s="28"/>
      <c r="C3538" s="28"/>
      <c r="D3538" s="28"/>
      <c r="E3538" s="16"/>
    </row>
    <row r="3539" spans="1:5" x14ac:dyDescent="0.2">
      <c r="A3539" s="28"/>
      <c r="B3539" s="28"/>
      <c r="C3539" s="28"/>
      <c r="D3539" s="28"/>
      <c r="E3539" s="16"/>
    </row>
    <row r="3540" spans="1:5" x14ac:dyDescent="0.2">
      <c r="A3540" s="28"/>
      <c r="B3540" s="28"/>
      <c r="C3540" s="28"/>
      <c r="D3540" s="28"/>
      <c r="E3540" s="16"/>
    </row>
    <row r="3541" spans="1:5" x14ac:dyDescent="0.2">
      <c r="A3541" s="28"/>
      <c r="B3541" s="28"/>
      <c r="C3541" s="28"/>
      <c r="D3541" s="28"/>
      <c r="E3541" s="16"/>
    </row>
    <row r="3542" spans="1:5" x14ac:dyDescent="0.2">
      <c r="A3542" s="28"/>
      <c r="B3542" s="28"/>
      <c r="C3542" s="28"/>
      <c r="D3542" s="28"/>
      <c r="E3542" s="16"/>
    </row>
    <row r="3543" spans="1:5" x14ac:dyDescent="0.2">
      <c r="A3543" s="28"/>
      <c r="B3543" s="28"/>
      <c r="C3543" s="28"/>
      <c r="D3543" s="28"/>
      <c r="E3543" s="16"/>
    </row>
    <row r="3544" spans="1:5" x14ac:dyDescent="0.2">
      <c r="A3544" s="28"/>
      <c r="B3544" s="28"/>
      <c r="C3544" s="28"/>
      <c r="D3544" s="28"/>
      <c r="E3544" s="16"/>
    </row>
    <row r="3545" spans="1:5" x14ac:dyDescent="0.2">
      <c r="A3545" s="28"/>
      <c r="B3545" s="28"/>
      <c r="C3545" s="28"/>
      <c r="D3545" s="28"/>
      <c r="E3545" s="16"/>
    </row>
    <row r="3546" spans="1:5" x14ac:dyDescent="0.2">
      <c r="A3546" s="28"/>
      <c r="B3546" s="28"/>
      <c r="C3546" s="28"/>
      <c r="D3546" s="28"/>
      <c r="E3546" s="16"/>
    </row>
    <row r="3547" spans="1:5" x14ac:dyDescent="0.2">
      <c r="A3547" s="28"/>
      <c r="B3547" s="28"/>
      <c r="C3547" s="28"/>
      <c r="D3547" s="28"/>
      <c r="E3547" s="16"/>
    </row>
    <row r="3548" spans="1:5" x14ac:dyDescent="0.2">
      <c r="A3548" s="28"/>
      <c r="B3548" s="28"/>
      <c r="C3548" s="28"/>
      <c r="D3548" s="28"/>
      <c r="E3548" s="16"/>
    </row>
    <row r="3549" spans="1:5" x14ac:dyDescent="0.2">
      <c r="A3549" s="28"/>
      <c r="B3549" s="28"/>
      <c r="C3549" s="28"/>
      <c r="D3549" s="28"/>
      <c r="E3549" s="16"/>
    </row>
    <row r="3550" spans="1:5" x14ac:dyDescent="0.2">
      <c r="A3550" s="28"/>
      <c r="B3550" s="28"/>
      <c r="C3550" s="28"/>
      <c r="D3550" s="28"/>
      <c r="E3550" s="16"/>
    </row>
    <row r="3551" spans="1:5" x14ac:dyDescent="0.2">
      <c r="A3551" s="28"/>
      <c r="B3551" s="28"/>
      <c r="C3551" s="28"/>
      <c r="D3551" s="28"/>
      <c r="E3551" s="16"/>
    </row>
    <row r="3552" spans="1:5" x14ac:dyDescent="0.2">
      <c r="A3552" s="28"/>
      <c r="B3552" s="28"/>
      <c r="C3552" s="28"/>
      <c r="D3552" s="28"/>
      <c r="E3552" s="16"/>
    </row>
    <row r="3553" spans="1:5" x14ac:dyDescent="0.2">
      <c r="A3553" s="28"/>
      <c r="B3553" s="28"/>
      <c r="C3553" s="28"/>
      <c r="D3553" s="28"/>
      <c r="E3553" s="16"/>
    </row>
    <row r="3554" spans="1:5" x14ac:dyDescent="0.2">
      <c r="A3554" s="28"/>
      <c r="B3554" s="28"/>
      <c r="C3554" s="28"/>
      <c r="D3554" s="28"/>
      <c r="E3554" s="16"/>
    </row>
    <row r="3555" spans="1:5" x14ac:dyDescent="0.2">
      <c r="A3555" s="28"/>
      <c r="B3555" s="28"/>
      <c r="C3555" s="28"/>
      <c r="D3555" s="28"/>
      <c r="E3555" s="16"/>
    </row>
    <row r="3556" spans="1:5" x14ac:dyDescent="0.2">
      <c r="A3556" s="28"/>
      <c r="B3556" s="28"/>
      <c r="C3556" s="28"/>
      <c r="D3556" s="28"/>
      <c r="E3556" s="16"/>
    </row>
    <row r="3557" spans="1:5" x14ac:dyDescent="0.2">
      <c r="A3557" s="28"/>
      <c r="B3557" s="28"/>
      <c r="C3557" s="28"/>
      <c r="D3557" s="28"/>
      <c r="E3557" s="16"/>
    </row>
    <row r="3558" spans="1:5" x14ac:dyDescent="0.2">
      <c r="A3558" s="28"/>
      <c r="B3558" s="28"/>
      <c r="C3558" s="28"/>
      <c r="D3558" s="28"/>
      <c r="E3558" s="16"/>
    </row>
    <row r="3559" spans="1:5" x14ac:dyDescent="0.2">
      <c r="A3559" s="28"/>
      <c r="B3559" s="28"/>
      <c r="C3559" s="28"/>
      <c r="D3559" s="28"/>
      <c r="E3559" s="16"/>
    </row>
    <row r="3560" spans="1:5" x14ac:dyDescent="0.2">
      <c r="A3560" s="28"/>
      <c r="B3560" s="28"/>
      <c r="C3560" s="28"/>
      <c r="D3560" s="28"/>
      <c r="E3560" s="16"/>
    </row>
    <row r="3561" spans="1:5" x14ac:dyDescent="0.2">
      <c r="A3561" s="28"/>
      <c r="B3561" s="28"/>
      <c r="C3561" s="28"/>
      <c r="D3561" s="28"/>
      <c r="E3561" s="16"/>
    </row>
    <row r="3562" spans="1:5" x14ac:dyDescent="0.2">
      <c r="A3562" s="28"/>
      <c r="B3562" s="28"/>
      <c r="C3562" s="28"/>
      <c r="D3562" s="28"/>
      <c r="E3562" s="16"/>
    </row>
    <row r="3563" spans="1:5" x14ac:dyDescent="0.2">
      <c r="A3563" s="28"/>
      <c r="B3563" s="28"/>
      <c r="C3563" s="28"/>
      <c r="D3563" s="28"/>
      <c r="E3563" s="16"/>
    </row>
    <row r="3564" spans="1:5" x14ac:dyDescent="0.2">
      <c r="A3564" s="28"/>
      <c r="B3564" s="28"/>
      <c r="C3564" s="28"/>
      <c r="D3564" s="28"/>
      <c r="E3564" s="16"/>
    </row>
    <row r="3565" spans="1:5" x14ac:dyDescent="0.2">
      <c r="A3565" s="28"/>
      <c r="B3565" s="28"/>
      <c r="C3565" s="28"/>
      <c r="D3565" s="28"/>
      <c r="E3565" s="16"/>
    </row>
    <row r="3566" spans="1:5" x14ac:dyDescent="0.2">
      <c r="A3566" s="28"/>
      <c r="B3566" s="28"/>
      <c r="C3566" s="28"/>
      <c r="D3566" s="28"/>
      <c r="E3566" s="16"/>
    </row>
    <row r="3567" spans="1:5" x14ac:dyDescent="0.2">
      <c r="A3567" s="28"/>
      <c r="B3567" s="28"/>
      <c r="C3567" s="28"/>
      <c r="D3567" s="28"/>
      <c r="E3567" s="16"/>
    </row>
    <row r="3568" spans="1:5" x14ac:dyDescent="0.2">
      <c r="A3568" s="28"/>
      <c r="B3568" s="28"/>
      <c r="C3568" s="28"/>
      <c r="D3568" s="28"/>
      <c r="E3568" s="16"/>
    </row>
    <row r="3569" spans="1:5" x14ac:dyDescent="0.2">
      <c r="A3569" s="28"/>
      <c r="B3569" s="28"/>
      <c r="C3569" s="28"/>
      <c r="D3569" s="28"/>
      <c r="E3569" s="16"/>
    </row>
    <row r="3570" spans="1:5" x14ac:dyDescent="0.2">
      <c r="A3570" s="28"/>
      <c r="B3570" s="28"/>
      <c r="C3570" s="28"/>
      <c r="D3570" s="28"/>
      <c r="E3570" s="16"/>
    </row>
    <row r="3571" spans="1:5" x14ac:dyDescent="0.2">
      <c r="A3571" s="28"/>
      <c r="B3571" s="28"/>
      <c r="C3571" s="28"/>
      <c r="D3571" s="28"/>
      <c r="E3571" s="16"/>
    </row>
    <row r="3572" spans="1:5" x14ac:dyDescent="0.2">
      <c r="A3572" s="28"/>
      <c r="B3572" s="28"/>
      <c r="C3572" s="28"/>
      <c r="D3572" s="28"/>
      <c r="E3572" s="16"/>
    </row>
    <row r="3573" spans="1:5" x14ac:dyDescent="0.2">
      <c r="A3573" s="28"/>
      <c r="B3573" s="28"/>
      <c r="C3573" s="28"/>
      <c r="D3573" s="28"/>
      <c r="E3573" s="16"/>
    </row>
    <row r="3574" spans="1:5" x14ac:dyDescent="0.2">
      <c r="A3574" s="28"/>
      <c r="B3574" s="28"/>
      <c r="C3574" s="28"/>
      <c r="D3574" s="28"/>
      <c r="E3574" s="16"/>
    </row>
    <row r="3575" spans="1:5" x14ac:dyDescent="0.2">
      <c r="A3575" s="28"/>
      <c r="B3575" s="28"/>
      <c r="C3575" s="28"/>
      <c r="D3575" s="28"/>
      <c r="E3575" s="16"/>
    </row>
    <row r="3576" spans="1:5" x14ac:dyDescent="0.2">
      <c r="A3576" s="28"/>
      <c r="B3576" s="28"/>
      <c r="C3576" s="28"/>
      <c r="D3576" s="28"/>
      <c r="E3576" s="16"/>
    </row>
    <row r="3577" spans="1:5" x14ac:dyDescent="0.2">
      <c r="A3577" s="28"/>
      <c r="B3577" s="28"/>
      <c r="C3577" s="28"/>
      <c r="D3577" s="28"/>
      <c r="E3577" s="16"/>
    </row>
    <row r="3578" spans="1:5" x14ac:dyDescent="0.2">
      <c r="A3578" s="28"/>
      <c r="B3578" s="28"/>
      <c r="C3578" s="28"/>
      <c r="D3578" s="28"/>
      <c r="E3578" s="16"/>
    </row>
    <row r="3579" spans="1:5" x14ac:dyDescent="0.2">
      <c r="A3579" s="28"/>
      <c r="B3579" s="28"/>
      <c r="C3579" s="28"/>
      <c r="D3579" s="28"/>
      <c r="E3579" s="16"/>
    </row>
    <row r="3580" spans="1:5" x14ac:dyDescent="0.2">
      <c r="A3580" s="28"/>
      <c r="B3580" s="28"/>
      <c r="C3580" s="28"/>
      <c r="D3580" s="28"/>
      <c r="E3580" s="16"/>
    </row>
    <row r="3581" spans="1:5" x14ac:dyDescent="0.2">
      <c r="A3581" s="28"/>
      <c r="B3581" s="28"/>
      <c r="C3581" s="28"/>
      <c r="D3581" s="28"/>
      <c r="E3581" s="16"/>
    </row>
    <row r="3582" spans="1:5" x14ac:dyDescent="0.2">
      <c r="A3582" s="28"/>
      <c r="B3582" s="28"/>
      <c r="C3582" s="28"/>
      <c r="D3582" s="28"/>
      <c r="E3582" s="16"/>
    </row>
    <row r="3583" spans="1:5" x14ac:dyDescent="0.2">
      <c r="A3583" s="28"/>
      <c r="B3583" s="28"/>
      <c r="C3583" s="28"/>
      <c r="D3583" s="28"/>
      <c r="E3583" s="16"/>
    </row>
    <row r="3584" spans="1:5" x14ac:dyDescent="0.2">
      <c r="A3584" s="28"/>
      <c r="B3584" s="28"/>
      <c r="C3584" s="28"/>
      <c r="D3584" s="28"/>
      <c r="E3584" s="16"/>
    </row>
    <row r="3585" spans="1:5" x14ac:dyDescent="0.2">
      <c r="A3585" s="28"/>
      <c r="B3585" s="28"/>
      <c r="C3585" s="28"/>
      <c r="D3585" s="28"/>
      <c r="E3585" s="16"/>
    </row>
    <row r="3586" spans="1:5" x14ac:dyDescent="0.2">
      <c r="A3586" s="28"/>
      <c r="B3586" s="28"/>
      <c r="C3586" s="28"/>
      <c r="D3586" s="28"/>
      <c r="E3586" s="16"/>
    </row>
    <row r="3587" spans="1:5" x14ac:dyDescent="0.2">
      <c r="A3587" s="28"/>
      <c r="B3587" s="28"/>
      <c r="C3587" s="28"/>
      <c r="D3587" s="28"/>
      <c r="E3587" s="16"/>
    </row>
    <row r="3588" spans="1:5" x14ac:dyDescent="0.2">
      <c r="A3588" s="28"/>
      <c r="B3588" s="28"/>
      <c r="C3588" s="28"/>
      <c r="D3588" s="28"/>
      <c r="E3588" s="16"/>
    </row>
    <row r="3589" spans="1:5" x14ac:dyDescent="0.2">
      <c r="A3589" s="28"/>
      <c r="B3589" s="28"/>
      <c r="C3589" s="28"/>
      <c r="D3589" s="28"/>
      <c r="E3589" s="16"/>
    </row>
    <row r="3590" spans="1:5" x14ac:dyDescent="0.2">
      <c r="A3590" s="28"/>
      <c r="B3590" s="28"/>
      <c r="C3590" s="28"/>
      <c r="D3590" s="28"/>
      <c r="E3590" s="16"/>
    </row>
    <row r="3591" spans="1:5" x14ac:dyDescent="0.2">
      <c r="A3591" s="28"/>
      <c r="B3591" s="28"/>
      <c r="C3591" s="28"/>
      <c r="D3591" s="28"/>
      <c r="E3591" s="16"/>
    </row>
    <row r="3592" spans="1:5" x14ac:dyDescent="0.2">
      <c r="A3592" s="28"/>
      <c r="B3592" s="28"/>
      <c r="C3592" s="28"/>
      <c r="D3592" s="28"/>
      <c r="E3592" s="16"/>
    </row>
    <row r="3593" spans="1:5" x14ac:dyDescent="0.2">
      <c r="A3593" s="28"/>
      <c r="B3593" s="28"/>
      <c r="C3593" s="28"/>
      <c r="D3593" s="28"/>
      <c r="E3593" s="16"/>
    </row>
    <row r="3594" spans="1:5" x14ac:dyDescent="0.2">
      <c r="A3594" s="28"/>
      <c r="B3594" s="28"/>
      <c r="C3594" s="28"/>
      <c r="D3594" s="28"/>
      <c r="E3594" s="16"/>
    </row>
    <row r="3595" spans="1:5" x14ac:dyDescent="0.2">
      <c r="A3595" s="28"/>
      <c r="B3595" s="28"/>
      <c r="C3595" s="28"/>
      <c r="D3595" s="28"/>
      <c r="E3595" s="16"/>
    </row>
    <row r="3596" spans="1:5" x14ac:dyDescent="0.2">
      <c r="A3596" s="28"/>
      <c r="B3596" s="28"/>
      <c r="C3596" s="28"/>
      <c r="D3596" s="28"/>
      <c r="E3596" s="16"/>
    </row>
    <row r="3597" spans="1:5" x14ac:dyDescent="0.2">
      <c r="A3597" s="28"/>
      <c r="B3597" s="28"/>
      <c r="C3597" s="28"/>
      <c r="D3597" s="28"/>
      <c r="E3597" s="16"/>
    </row>
    <row r="3598" spans="1:5" x14ac:dyDescent="0.2">
      <c r="A3598" s="28"/>
      <c r="B3598" s="28"/>
      <c r="C3598" s="28"/>
      <c r="D3598" s="28"/>
      <c r="E3598" s="16"/>
    </row>
    <row r="3599" spans="1:5" x14ac:dyDescent="0.2">
      <c r="A3599" s="28"/>
      <c r="B3599" s="28"/>
      <c r="C3599" s="28"/>
      <c r="D3599" s="28"/>
      <c r="E3599" s="16"/>
    </row>
    <row r="3600" spans="1:5" x14ac:dyDescent="0.2">
      <c r="A3600" s="28"/>
      <c r="B3600" s="28"/>
      <c r="C3600" s="28"/>
      <c r="D3600" s="28"/>
      <c r="E3600" s="16"/>
    </row>
    <row r="3601" spans="1:5" x14ac:dyDescent="0.2">
      <c r="A3601" s="28"/>
      <c r="B3601" s="28"/>
      <c r="C3601" s="28"/>
      <c r="D3601" s="28"/>
      <c r="E3601" s="16"/>
    </row>
    <row r="3602" spans="1:5" x14ac:dyDescent="0.2">
      <c r="A3602" s="28"/>
      <c r="B3602" s="28"/>
      <c r="C3602" s="28"/>
      <c r="D3602" s="28"/>
      <c r="E3602" s="16"/>
    </row>
    <row r="3603" spans="1:5" x14ac:dyDescent="0.2">
      <c r="A3603" s="28"/>
      <c r="B3603" s="28"/>
      <c r="C3603" s="28"/>
      <c r="D3603" s="28"/>
      <c r="E3603" s="16"/>
    </row>
    <row r="3604" spans="1:5" x14ac:dyDescent="0.2">
      <c r="A3604" s="28"/>
      <c r="B3604" s="28"/>
      <c r="C3604" s="28"/>
      <c r="D3604" s="28"/>
      <c r="E3604" s="16"/>
    </row>
    <row r="3605" spans="1:5" x14ac:dyDescent="0.2">
      <c r="A3605" s="28"/>
      <c r="B3605" s="28"/>
      <c r="C3605" s="28"/>
      <c r="D3605" s="28"/>
      <c r="E3605" s="16"/>
    </row>
    <row r="3606" spans="1:5" x14ac:dyDescent="0.2">
      <c r="A3606" s="28"/>
      <c r="B3606" s="28"/>
      <c r="C3606" s="28"/>
      <c r="D3606" s="28"/>
      <c r="E3606" s="16"/>
    </row>
    <row r="3607" spans="1:5" x14ac:dyDescent="0.2">
      <c r="A3607" s="28"/>
      <c r="B3607" s="28"/>
      <c r="C3607" s="28"/>
      <c r="D3607" s="28"/>
      <c r="E3607" s="16"/>
    </row>
    <row r="3608" spans="1:5" x14ac:dyDescent="0.2">
      <c r="A3608" s="28"/>
      <c r="B3608" s="28"/>
      <c r="C3608" s="28"/>
      <c r="D3608" s="28"/>
      <c r="E3608" s="16"/>
    </row>
    <row r="3609" spans="1:5" x14ac:dyDescent="0.2">
      <c r="A3609" s="28"/>
      <c r="B3609" s="28"/>
      <c r="C3609" s="28"/>
      <c r="D3609" s="28"/>
      <c r="E3609" s="16"/>
    </row>
    <row r="3610" spans="1:5" x14ac:dyDescent="0.2">
      <c r="A3610" s="28"/>
      <c r="B3610" s="28"/>
      <c r="C3610" s="28"/>
      <c r="D3610" s="28"/>
      <c r="E3610" s="16"/>
    </row>
    <row r="3611" spans="1:5" x14ac:dyDescent="0.2">
      <c r="A3611" s="28"/>
      <c r="B3611" s="28"/>
      <c r="C3611" s="28"/>
      <c r="D3611" s="28"/>
      <c r="E3611" s="16"/>
    </row>
    <row r="3612" spans="1:5" x14ac:dyDescent="0.2">
      <c r="A3612" s="28"/>
      <c r="B3612" s="28"/>
      <c r="C3612" s="28"/>
      <c r="D3612" s="28"/>
      <c r="E3612" s="16"/>
    </row>
    <row r="3613" spans="1:5" x14ac:dyDescent="0.2">
      <c r="A3613" s="28"/>
      <c r="B3613" s="28"/>
      <c r="C3613" s="28"/>
      <c r="D3613" s="28"/>
      <c r="E3613" s="16"/>
    </row>
    <row r="3614" spans="1:5" x14ac:dyDescent="0.2">
      <c r="A3614" s="28"/>
      <c r="B3614" s="28"/>
      <c r="C3614" s="28"/>
      <c r="D3614" s="28"/>
      <c r="E3614" s="16"/>
    </row>
    <row r="3615" spans="1:5" x14ac:dyDescent="0.2">
      <c r="A3615" s="28"/>
      <c r="B3615" s="28"/>
      <c r="C3615" s="28"/>
      <c r="D3615" s="28"/>
      <c r="E3615" s="16"/>
    </row>
    <row r="3616" spans="1:5" x14ac:dyDescent="0.2">
      <c r="A3616" s="28"/>
      <c r="B3616" s="28"/>
      <c r="C3616" s="28"/>
      <c r="D3616" s="28"/>
      <c r="E3616" s="16"/>
    </row>
    <row r="3617" spans="1:5" x14ac:dyDescent="0.2">
      <c r="A3617" s="28"/>
      <c r="B3617" s="28"/>
      <c r="C3617" s="28"/>
      <c r="D3617" s="28"/>
      <c r="E3617" s="16"/>
    </row>
    <row r="3618" spans="1:5" x14ac:dyDescent="0.2">
      <c r="A3618" s="28"/>
      <c r="B3618" s="28"/>
      <c r="C3618" s="28"/>
      <c r="D3618" s="28"/>
      <c r="E3618" s="16"/>
    </row>
    <row r="3619" spans="1:5" x14ac:dyDescent="0.2">
      <c r="A3619" s="28"/>
      <c r="B3619" s="28"/>
      <c r="C3619" s="28"/>
      <c r="D3619" s="28"/>
      <c r="E3619" s="16"/>
    </row>
    <row r="3620" spans="1:5" x14ac:dyDescent="0.2">
      <c r="A3620" s="28"/>
      <c r="B3620" s="28"/>
      <c r="C3620" s="28"/>
      <c r="D3620" s="28"/>
      <c r="E3620" s="16"/>
    </row>
    <row r="3621" spans="1:5" x14ac:dyDescent="0.2">
      <c r="A3621" s="28"/>
      <c r="B3621" s="28"/>
      <c r="C3621" s="28"/>
      <c r="D3621" s="28"/>
      <c r="E3621" s="16"/>
    </row>
    <row r="3622" spans="1:5" x14ac:dyDescent="0.2">
      <c r="A3622" s="28"/>
      <c r="B3622" s="28"/>
      <c r="C3622" s="28"/>
      <c r="D3622" s="28"/>
      <c r="E3622" s="16"/>
    </row>
    <row r="3623" spans="1:5" x14ac:dyDescent="0.2">
      <c r="A3623" s="28"/>
      <c r="B3623" s="28"/>
      <c r="C3623" s="28"/>
      <c r="D3623" s="28"/>
      <c r="E3623" s="16"/>
    </row>
    <row r="3624" spans="1:5" x14ac:dyDescent="0.2">
      <c r="A3624" s="28"/>
      <c r="B3624" s="28"/>
      <c r="C3624" s="28"/>
      <c r="D3624" s="28"/>
      <c r="E3624" s="16"/>
    </row>
    <row r="3625" spans="1:5" x14ac:dyDescent="0.2">
      <c r="A3625" s="28"/>
      <c r="B3625" s="28"/>
      <c r="C3625" s="28"/>
      <c r="D3625" s="28"/>
      <c r="E3625" s="16"/>
    </row>
    <row r="3626" spans="1:5" x14ac:dyDescent="0.2">
      <c r="A3626" s="28"/>
      <c r="B3626" s="28"/>
      <c r="C3626" s="28"/>
      <c r="D3626" s="28"/>
      <c r="E3626" s="16"/>
    </row>
    <row r="3627" spans="1:5" x14ac:dyDescent="0.2">
      <c r="A3627" s="28"/>
      <c r="B3627" s="28"/>
      <c r="C3627" s="28"/>
      <c r="D3627" s="28"/>
      <c r="E3627" s="16"/>
    </row>
    <row r="3628" spans="1:5" x14ac:dyDescent="0.2">
      <c r="A3628" s="28"/>
      <c r="B3628" s="28"/>
      <c r="C3628" s="28"/>
      <c r="D3628" s="28"/>
      <c r="E3628" s="16"/>
    </row>
    <row r="3629" spans="1:5" x14ac:dyDescent="0.2">
      <c r="A3629" s="28"/>
      <c r="B3629" s="28"/>
      <c r="C3629" s="28"/>
      <c r="D3629" s="28"/>
      <c r="E3629" s="16"/>
    </row>
    <row r="3630" spans="1:5" x14ac:dyDescent="0.2">
      <c r="A3630" s="28"/>
      <c r="B3630" s="28"/>
      <c r="C3630" s="28"/>
      <c r="D3630" s="28"/>
      <c r="E3630" s="16"/>
    </row>
    <row r="3631" spans="1:5" x14ac:dyDescent="0.2">
      <c r="A3631" s="28"/>
      <c r="B3631" s="28"/>
      <c r="C3631" s="28"/>
      <c r="D3631" s="28"/>
      <c r="E3631" s="16"/>
    </row>
    <row r="3632" spans="1:5" x14ac:dyDescent="0.2">
      <c r="A3632" s="28"/>
      <c r="B3632" s="28"/>
      <c r="C3632" s="28"/>
      <c r="D3632" s="28"/>
      <c r="E3632" s="16"/>
    </row>
    <row r="3633" spans="1:5" x14ac:dyDescent="0.2">
      <c r="A3633" s="28"/>
      <c r="B3633" s="28"/>
      <c r="C3633" s="28"/>
      <c r="D3633" s="28"/>
      <c r="E3633" s="16"/>
    </row>
    <row r="3634" spans="1:5" x14ac:dyDescent="0.2">
      <c r="A3634" s="28"/>
      <c r="B3634" s="28"/>
      <c r="C3634" s="28"/>
      <c r="D3634" s="28"/>
      <c r="E3634" s="16"/>
    </row>
    <row r="3635" spans="1:5" x14ac:dyDescent="0.2">
      <c r="A3635" s="28"/>
      <c r="B3635" s="28"/>
      <c r="C3635" s="28"/>
      <c r="D3635" s="28"/>
      <c r="E3635" s="16"/>
    </row>
    <row r="3636" spans="1:5" x14ac:dyDescent="0.2">
      <c r="A3636" s="28"/>
      <c r="B3636" s="28"/>
      <c r="C3636" s="28"/>
      <c r="D3636" s="28"/>
      <c r="E3636" s="16"/>
    </row>
    <row r="3637" spans="1:5" x14ac:dyDescent="0.2">
      <c r="A3637" s="28"/>
      <c r="B3637" s="28"/>
      <c r="C3637" s="28"/>
      <c r="D3637" s="28"/>
      <c r="E3637" s="16"/>
    </row>
    <row r="3638" spans="1:5" x14ac:dyDescent="0.2">
      <c r="A3638" s="28"/>
      <c r="B3638" s="28"/>
      <c r="C3638" s="28"/>
      <c r="D3638" s="28"/>
      <c r="E3638" s="16"/>
    </row>
    <row r="3639" spans="1:5" x14ac:dyDescent="0.2">
      <c r="A3639" s="28"/>
      <c r="B3639" s="28"/>
      <c r="C3639" s="28"/>
      <c r="D3639" s="28"/>
      <c r="E3639" s="16"/>
    </row>
    <row r="3640" spans="1:5" x14ac:dyDescent="0.2">
      <c r="A3640" s="28"/>
      <c r="B3640" s="28"/>
      <c r="C3640" s="28"/>
      <c r="D3640" s="28"/>
      <c r="E3640" s="16"/>
    </row>
    <row r="3641" spans="1:5" x14ac:dyDescent="0.2">
      <c r="A3641" s="28"/>
      <c r="B3641" s="28"/>
      <c r="C3641" s="28"/>
      <c r="D3641" s="28"/>
      <c r="E3641" s="16"/>
    </row>
    <row r="3642" spans="1:5" x14ac:dyDescent="0.2">
      <c r="A3642" s="28"/>
      <c r="B3642" s="28"/>
      <c r="C3642" s="28"/>
      <c r="D3642" s="28"/>
      <c r="E3642" s="16"/>
    </row>
    <row r="3643" spans="1:5" x14ac:dyDescent="0.2">
      <c r="A3643" s="28"/>
      <c r="B3643" s="28"/>
      <c r="C3643" s="28"/>
      <c r="D3643" s="28"/>
      <c r="E3643" s="16"/>
    </row>
    <row r="3644" spans="1:5" x14ac:dyDescent="0.2">
      <c r="A3644" s="28"/>
      <c r="B3644" s="28"/>
      <c r="C3644" s="28"/>
      <c r="D3644" s="28"/>
      <c r="E3644" s="16"/>
    </row>
    <row r="3645" spans="1:5" x14ac:dyDescent="0.2">
      <c r="A3645" s="28"/>
      <c r="B3645" s="28"/>
      <c r="C3645" s="28"/>
      <c r="D3645" s="28"/>
      <c r="E3645" s="16"/>
    </row>
    <row r="3646" spans="1:5" x14ac:dyDescent="0.2">
      <c r="A3646" s="28"/>
      <c r="B3646" s="28"/>
      <c r="C3646" s="28"/>
      <c r="D3646" s="28"/>
      <c r="E3646" s="16"/>
    </row>
    <row r="3647" spans="1:5" x14ac:dyDescent="0.2">
      <c r="A3647" s="28"/>
      <c r="B3647" s="28"/>
      <c r="C3647" s="28"/>
      <c r="D3647" s="28"/>
      <c r="E3647" s="16"/>
    </row>
    <row r="3648" spans="1:5" x14ac:dyDescent="0.2">
      <c r="A3648" s="28"/>
      <c r="B3648" s="28"/>
      <c r="C3648" s="28"/>
      <c r="D3648" s="28"/>
      <c r="E3648" s="16"/>
    </row>
    <row r="3649" spans="1:5" x14ac:dyDescent="0.2">
      <c r="A3649" s="28"/>
      <c r="B3649" s="28"/>
      <c r="C3649" s="28"/>
      <c r="D3649" s="28"/>
      <c r="E3649" s="16"/>
    </row>
    <row r="3650" spans="1:5" x14ac:dyDescent="0.2">
      <c r="A3650" s="28"/>
      <c r="B3650" s="28"/>
      <c r="C3650" s="28"/>
      <c r="D3650" s="28"/>
      <c r="E3650" s="16"/>
    </row>
    <row r="3651" spans="1:5" x14ac:dyDescent="0.2">
      <c r="A3651" s="28"/>
      <c r="B3651" s="28"/>
      <c r="C3651" s="28"/>
      <c r="D3651" s="28"/>
      <c r="E3651" s="16"/>
    </row>
    <row r="3652" spans="1:5" x14ac:dyDescent="0.2">
      <c r="A3652" s="28"/>
      <c r="B3652" s="28"/>
      <c r="C3652" s="28"/>
      <c r="D3652" s="28"/>
      <c r="E3652" s="16"/>
    </row>
    <row r="3653" spans="1:5" x14ac:dyDescent="0.2">
      <c r="A3653" s="28"/>
      <c r="B3653" s="28"/>
      <c r="C3653" s="28"/>
      <c r="D3653" s="28"/>
      <c r="E3653" s="16"/>
    </row>
    <row r="3654" spans="1:5" x14ac:dyDescent="0.2">
      <c r="A3654" s="28"/>
      <c r="B3654" s="28"/>
      <c r="C3654" s="28"/>
      <c r="D3654" s="28"/>
      <c r="E3654" s="16"/>
    </row>
    <row r="3655" spans="1:5" x14ac:dyDescent="0.2">
      <c r="A3655" s="28"/>
      <c r="B3655" s="28"/>
      <c r="C3655" s="28"/>
      <c r="D3655" s="28"/>
      <c r="E3655" s="16"/>
    </row>
    <row r="3656" spans="1:5" x14ac:dyDescent="0.2">
      <c r="A3656" s="28"/>
      <c r="B3656" s="28"/>
      <c r="C3656" s="28"/>
      <c r="D3656" s="28"/>
      <c r="E3656" s="16"/>
    </row>
    <row r="3657" spans="1:5" x14ac:dyDescent="0.2">
      <c r="A3657" s="28"/>
      <c r="B3657" s="28"/>
      <c r="C3657" s="28"/>
      <c r="D3657" s="28"/>
      <c r="E3657" s="16"/>
    </row>
    <row r="3658" spans="1:5" x14ac:dyDescent="0.2">
      <c r="A3658" s="28"/>
      <c r="B3658" s="28"/>
      <c r="C3658" s="28"/>
      <c r="D3658" s="28"/>
      <c r="E3658" s="16"/>
    </row>
    <row r="3659" spans="1:5" x14ac:dyDescent="0.2">
      <c r="A3659" s="28"/>
      <c r="B3659" s="28"/>
      <c r="C3659" s="28"/>
      <c r="D3659" s="28"/>
      <c r="E3659" s="16"/>
    </row>
    <row r="3660" spans="1:5" x14ac:dyDescent="0.2">
      <c r="A3660" s="28"/>
      <c r="B3660" s="28"/>
      <c r="C3660" s="28"/>
      <c r="D3660" s="28"/>
      <c r="E3660" s="16"/>
    </row>
    <row r="3661" spans="1:5" x14ac:dyDescent="0.2">
      <c r="A3661" s="28"/>
      <c r="B3661" s="28"/>
      <c r="C3661" s="28"/>
      <c r="D3661" s="28"/>
      <c r="E3661" s="16"/>
    </row>
    <row r="3662" spans="1:5" x14ac:dyDescent="0.2">
      <c r="A3662" s="28"/>
      <c r="B3662" s="28"/>
      <c r="C3662" s="28"/>
      <c r="D3662" s="28"/>
      <c r="E3662" s="16"/>
    </row>
    <row r="3663" spans="1:5" x14ac:dyDescent="0.2">
      <c r="A3663" s="28"/>
      <c r="B3663" s="28"/>
      <c r="C3663" s="28"/>
      <c r="D3663" s="28"/>
      <c r="E3663" s="16"/>
    </row>
    <row r="3664" spans="1:5" x14ac:dyDescent="0.2">
      <c r="A3664" s="28"/>
      <c r="B3664" s="28"/>
      <c r="C3664" s="28"/>
      <c r="D3664" s="28"/>
      <c r="E3664" s="16"/>
    </row>
    <row r="3665" spans="1:5" x14ac:dyDescent="0.2">
      <c r="A3665" s="28"/>
      <c r="B3665" s="28"/>
      <c r="C3665" s="28"/>
      <c r="D3665" s="28"/>
      <c r="E3665" s="16"/>
    </row>
    <row r="3666" spans="1:5" x14ac:dyDescent="0.2">
      <c r="A3666" s="28"/>
      <c r="B3666" s="28"/>
      <c r="C3666" s="28"/>
      <c r="D3666" s="28"/>
      <c r="E3666" s="16"/>
    </row>
    <row r="3667" spans="1:5" x14ac:dyDescent="0.2">
      <c r="A3667" s="28"/>
      <c r="B3667" s="28"/>
      <c r="C3667" s="28"/>
      <c r="D3667" s="28"/>
      <c r="E3667" s="16"/>
    </row>
    <row r="3668" spans="1:5" x14ac:dyDescent="0.2">
      <c r="A3668" s="28"/>
      <c r="B3668" s="28"/>
      <c r="C3668" s="28"/>
      <c r="D3668" s="28"/>
      <c r="E3668" s="16"/>
    </row>
    <row r="3669" spans="1:5" x14ac:dyDescent="0.2">
      <c r="A3669" s="28"/>
      <c r="B3669" s="28"/>
      <c r="C3669" s="28"/>
      <c r="D3669" s="28"/>
      <c r="E3669" s="16"/>
    </row>
    <row r="3670" spans="1:5" x14ac:dyDescent="0.2">
      <c r="A3670" s="28"/>
      <c r="B3670" s="28"/>
      <c r="C3670" s="28"/>
      <c r="D3670" s="28"/>
      <c r="E3670" s="16"/>
    </row>
    <row r="3671" spans="1:5" x14ac:dyDescent="0.2">
      <c r="A3671" s="28"/>
      <c r="B3671" s="28"/>
      <c r="C3671" s="28"/>
      <c r="D3671" s="28"/>
      <c r="E3671" s="16"/>
    </row>
    <row r="3672" spans="1:5" x14ac:dyDescent="0.2">
      <c r="A3672" s="28"/>
      <c r="B3672" s="28"/>
      <c r="C3672" s="28"/>
      <c r="D3672" s="28"/>
      <c r="E3672" s="16"/>
    </row>
    <row r="3673" spans="1:5" x14ac:dyDescent="0.2">
      <c r="A3673" s="28"/>
      <c r="B3673" s="28"/>
      <c r="C3673" s="28"/>
      <c r="D3673" s="28"/>
      <c r="E3673" s="16"/>
    </row>
    <row r="3674" spans="1:5" x14ac:dyDescent="0.2">
      <c r="A3674" s="28"/>
      <c r="B3674" s="28"/>
      <c r="C3674" s="28"/>
      <c r="D3674" s="28"/>
      <c r="E3674" s="16"/>
    </row>
    <row r="3675" spans="1:5" x14ac:dyDescent="0.2">
      <c r="A3675" s="28"/>
      <c r="B3675" s="28"/>
      <c r="C3675" s="28"/>
      <c r="D3675" s="28"/>
      <c r="E3675" s="16"/>
    </row>
    <row r="3676" spans="1:5" x14ac:dyDescent="0.2">
      <c r="A3676" s="28"/>
      <c r="B3676" s="28"/>
      <c r="C3676" s="28"/>
      <c r="D3676" s="28"/>
      <c r="E3676" s="16"/>
    </row>
    <row r="3677" spans="1:5" x14ac:dyDescent="0.2">
      <c r="A3677" s="28"/>
      <c r="B3677" s="28"/>
      <c r="C3677" s="28"/>
      <c r="D3677" s="28"/>
      <c r="E3677" s="16"/>
    </row>
    <row r="3678" spans="1:5" x14ac:dyDescent="0.2">
      <c r="A3678" s="28"/>
      <c r="B3678" s="28"/>
      <c r="C3678" s="28"/>
      <c r="D3678" s="28"/>
      <c r="E3678" s="16"/>
    </row>
    <row r="3679" spans="1:5" x14ac:dyDescent="0.2">
      <c r="A3679" s="28"/>
      <c r="B3679" s="28"/>
      <c r="C3679" s="28"/>
      <c r="D3679" s="28"/>
      <c r="E3679" s="16"/>
    </row>
    <row r="3680" spans="1:5" x14ac:dyDescent="0.2">
      <c r="A3680" s="28"/>
      <c r="B3680" s="28"/>
      <c r="C3680" s="28"/>
      <c r="D3680" s="28"/>
      <c r="E3680" s="16"/>
    </row>
    <row r="3681" spans="1:5" x14ac:dyDescent="0.2">
      <c r="A3681" s="28"/>
      <c r="B3681" s="28"/>
      <c r="C3681" s="28"/>
      <c r="D3681" s="28"/>
      <c r="E3681" s="16"/>
    </row>
    <row r="3682" spans="1:5" x14ac:dyDescent="0.2">
      <c r="A3682" s="28"/>
      <c r="B3682" s="28"/>
      <c r="C3682" s="28"/>
      <c r="D3682" s="28"/>
      <c r="E3682" s="16"/>
    </row>
    <row r="3683" spans="1:5" x14ac:dyDescent="0.2">
      <c r="A3683" s="28"/>
      <c r="B3683" s="28"/>
      <c r="C3683" s="28"/>
      <c r="D3683" s="28"/>
      <c r="E3683" s="16"/>
    </row>
    <row r="3684" spans="1:5" x14ac:dyDescent="0.2">
      <c r="A3684" s="28"/>
      <c r="B3684" s="28"/>
      <c r="C3684" s="28"/>
      <c r="D3684" s="28"/>
      <c r="E3684" s="16"/>
    </row>
    <row r="3685" spans="1:5" x14ac:dyDescent="0.2">
      <c r="A3685" s="28"/>
      <c r="B3685" s="28"/>
      <c r="C3685" s="28"/>
      <c r="D3685" s="28"/>
      <c r="E3685" s="16"/>
    </row>
    <row r="3686" spans="1:5" x14ac:dyDescent="0.2">
      <c r="A3686" s="28"/>
      <c r="B3686" s="28"/>
      <c r="C3686" s="28"/>
      <c r="D3686" s="28"/>
      <c r="E3686" s="16"/>
    </row>
    <row r="3687" spans="1:5" x14ac:dyDescent="0.2">
      <c r="A3687" s="28"/>
      <c r="B3687" s="28"/>
      <c r="C3687" s="28"/>
      <c r="D3687" s="28"/>
      <c r="E3687" s="16"/>
    </row>
    <row r="3688" spans="1:5" x14ac:dyDescent="0.2">
      <c r="A3688" s="28"/>
      <c r="B3688" s="28"/>
      <c r="C3688" s="28"/>
      <c r="D3688" s="28"/>
      <c r="E3688" s="16"/>
    </row>
    <row r="3689" spans="1:5" x14ac:dyDescent="0.2">
      <c r="A3689" s="28"/>
      <c r="B3689" s="28"/>
      <c r="C3689" s="28"/>
      <c r="D3689" s="28"/>
      <c r="E3689" s="16"/>
    </row>
    <row r="3690" spans="1:5" x14ac:dyDescent="0.2">
      <c r="A3690" s="28"/>
      <c r="B3690" s="28"/>
      <c r="C3690" s="28"/>
      <c r="D3690" s="28"/>
      <c r="E3690" s="16"/>
    </row>
    <row r="3691" spans="1:5" x14ac:dyDescent="0.2">
      <c r="A3691" s="28"/>
      <c r="B3691" s="28"/>
      <c r="C3691" s="28"/>
      <c r="D3691" s="28"/>
      <c r="E3691" s="16"/>
    </row>
    <row r="3692" spans="1:5" x14ac:dyDescent="0.2">
      <c r="A3692" s="28"/>
      <c r="B3692" s="28"/>
      <c r="C3692" s="28"/>
      <c r="D3692" s="28"/>
      <c r="E3692" s="16"/>
    </row>
    <row r="3693" spans="1:5" x14ac:dyDescent="0.2">
      <c r="A3693" s="28"/>
      <c r="B3693" s="28"/>
      <c r="C3693" s="28"/>
      <c r="D3693" s="28"/>
      <c r="E3693" s="16"/>
    </row>
    <row r="3694" spans="1:5" x14ac:dyDescent="0.2">
      <c r="A3694" s="28"/>
      <c r="B3694" s="28"/>
      <c r="C3694" s="28"/>
      <c r="D3694" s="28"/>
      <c r="E3694" s="16"/>
    </row>
    <row r="3695" spans="1:5" x14ac:dyDescent="0.2">
      <c r="A3695" s="28"/>
      <c r="B3695" s="28"/>
      <c r="C3695" s="28"/>
      <c r="D3695" s="28"/>
      <c r="E3695" s="16"/>
    </row>
    <row r="3696" spans="1:5" x14ac:dyDescent="0.2">
      <c r="A3696" s="28"/>
      <c r="B3696" s="28"/>
      <c r="C3696" s="28"/>
      <c r="D3696" s="28"/>
      <c r="E3696" s="16"/>
    </row>
    <row r="3697" spans="1:5" x14ac:dyDescent="0.2">
      <c r="A3697" s="28"/>
      <c r="B3697" s="28"/>
      <c r="C3697" s="28"/>
      <c r="D3697" s="28"/>
      <c r="E3697" s="16"/>
    </row>
    <row r="3698" spans="1:5" x14ac:dyDescent="0.2">
      <c r="A3698" s="28"/>
      <c r="B3698" s="28"/>
      <c r="C3698" s="28"/>
      <c r="D3698" s="28"/>
      <c r="E3698" s="16"/>
    </row>
    <row r="3699" spans="1:5" x14ac:dyDescent="0.2">
      <c r="A3699" s="28"/>
      <c r="B3699" s="28"/>
      <c r="C3699" s="28"/>
      <c r="D3699" s="28"/>
      <c r="E3699" s="16"/>
    </row>
    <row r="3700" spans="1:5" x14ac:dyDescent="0.2">
      <c r="A3700" s="28"/>
      <c r="B3700" s="28"/>
      <c r="C3700" s="28"/>
      <c r="D3700" s="28"/>
      <c r="E3700" s="16"/>
    </row>
    <row r="3701" spans="1:5" x14ac:dyDescent="0.2">
      <c r="A3701" s="28"/>
      <c r="B3701" s="28"/>
      <c r="C3701" s="28"/>
      <c r="D3701" s="28"/>
      <c r="E3701" s="16"/>
    </row>
    <row r="3702" spans="1:5" x14ac:dyDescent="0.2">
      <c r="A3702" s="28"/>
      <c r="B3702" s="28"/>
      <c r="C3702" s="28"/>
      <c r="D3702" s="28"/>
      <c r="E3702" s="16"/>
    </row>
    <row r="3703" spans="1:5" x14ac:dyDescent="0.2">
      <c r="A3703" s="28"/>
      <c r="B3703" s="28"/>
      <c r="C3703" s="28"/>
      <c r="D3703" s="28"/>
      <c r="E3703" s="16"/>
    </row>
    <row r="3704" spans="1:5" x14ac:dyDescent="0.2">
      <c r="A3704" s="28"/>
      <c r="B3704" s="28"/>
      <c r="C3704" s="28"/>
      <c r="D3704" s="28"/>
      <c r="E3704" s="16"/>
    </row>
    <row r="3705" spans="1:5" x14ac:dyDescent="0.2">
      <c r="A3705" s="28"/>
      <c r="B3705" s="28"/>
      <c r="C3705" s="28"/>
      <c r="D3705" s="28"/>
      <c r="E3705" s="16"/>
    </row>
    <row r="3706" spans="1:5" x14ac:dyDescent="0.2">
      <c r="A3706" s="28"/>
      <c r="B3706" s="28"/>
      <c r="C3706" s="28"/>
      <c r="D3706" s="28"/>
      <c r="E3706" s="16"/>
    </row>
    <row r="3707" spans="1:5" x14ac:dyDescent="0.2">
      <c r="A3707" s="28"/>
      <c r="B3707" s="28"/>
      <c r="C3707" s="28"/>
      <c r="D3707" s="28"/>
      <c r="E3707" s="16"/>
    </row>
    <row r="3708" spans="1:5" x14ac:dyDescent="0.2">
      <c r="A3708" s="28"/>
      <c r="B3708" s="28"/>
      <c r="C3708" s="28"/>
      <c r="D3708" s="28"/>
      <c r="E3708" s="16"/>
    </row>
    <row r="3709" spans="1:5" x14ac:dyDescent="0.2">
      <c r="A3709" s="28"/>
      <c r="B3709" s="28"/>
      <c r="C3709" s="28"/>
      <c r="D3709" s="28"/>
      <c r="E3709" s="16"/>
    </row>
    <row r="3710" spans="1:5" x14ac:dyDescent="0.2">
      <c r="A3710" s="28"/>
      <c r="B3710" s="28"/>
      <c r="C3710" s="28"/>
      <c r="D3710" s="28"/>
      <c r="E3710" s="16"/>
    </row>
    <row r="3711" spans="1:5" x14ac:dyDescent="0.2">
      <c r="A3711" s="28"/>
      <c r="B3711" s="28"/>
      <c r="C3711" s="28"/>
      <c r="D3711" s="28"/>
      <c r="E3711" s="16"/>
    </row>
    <row r="3712" spans="1:5" x14ac:dyDescent="0.2">
      <c r="A3712" s="28"/>
      <c r="B3712" s="28"/>
      <c r="C3712" s="28"/>
      <c r="D3712" s="28"/>
      <c r="E3712" s="16"/>
    </row>
    <row r="3713" spans="1:5" x14ac:dyDescent="0.2">
      <c r="A3713" s="28"/>
      <c r="B3713" s="28"/>
      <c r="C3713" s="28"/>
      <c r="D3713" s="28"/>
      <c r="E3713" s="16"/>
    </row>
    <row r="3714" spans="1:5" x14ac:dyDescent="0.2">
      <c r="A3714" s="28"/>
      <c r="B3714" s="28"/>
      <c r="C3714" s="28"/>
      <c r="D3714" s="28"/>
      <c r="E3714" s="16"/>
    </row>
    <row r="3715" spans="1:5" x14ac:dyDescent="0.2">
      <c r="A3715" s="28"/>
      <c r="B3715" s="28"/>
      <c r="C3715" s="28"/>
      <c r="D3715" s="28"/>
      <c r="E3715" s="16"/>
    </row>
    <row r="3716" spans="1:5" x14ac:dyDescent="0.2">
      <c r="A3716" s="28"/>
      <c r="B3716" s="28"/>
      <c r="C3716" s="28"/>
      <c r="D3716" s="28"/>
      <c r="E3716" s="16"/>
    </row>
    <row r="3717" spans="1:5" x14ac:dyDescent="0.2">
      <c r="A3717" s="28"/>
      <c r="B3717" s="28"/>
      <c r="C3717" s="28"/>
      <c r="D3717" s="28"/>
      <c r="E3717" s="16"/>
    </row>
    <row r="3718" spans="1:5" x14ac:dyDescent="0.2">
      <c r="A3718" s="28"/>
      <c r="B3718" s="28"/>
      <c r="C3718" s="28"/>
      <c r="D3718" s="28"/>
      <c r="E3718" s="16"/>
    </row>
    <row r="3719" spans="1:5" x14ac:dyDescent="0.2">
      <c r="A3719" s="28"/>
      <c r="B3719" s="28"/>
      <c r="C3719" s="28"/>
      <c r="D3719" s="28"/>
      <c r="E3719" s="16"/>
    </row>
    <row r="3720" spans="1:5" x14ac:dyDescent="0.2">
      <c r="A3720" s="28"/>
      <c r="B3720" s="28"/>
      <c r="C3720" s="28"/>
      <c r="D3720" s="28"/>
      <c r="E3720" s="16"/>
    </row>
    <row r="3721" spans="1:5" x14ac:dyDescent="0.2">
      <c r="A3721" s="28"/>
      <c r="B3721" s="28"/>
      <c r="C3721" s="28"/>
      <c r="D3721" s="28"/>
      <c r="E3721" s="16"/>
    </row>
    <row r="3722" spans="1:5" x14ac:dyDescent="0.2">
      <c r="A3722" s="28"/>
      <c r="B3722" s="28"/>
      <c r="C3722" s="28"/>
      <c r="D3722" s="28"/>
      <c r="E3722" s="16"/>
    </row>
    <row r="3723" spans="1:5" x14ac:dyDescent="0.2">
      <c r="A3723" s="28"/>
      <c r="B3723" s="28"/>
      <c r="C3723" s="28"/>
      <c r="D3723" s="28"/>
      <c r="E3723" s="16"/>
    </row>
    <row r="3724" spans="1:5" x14ac:dyDescent="0.2">
      <c r="A3724" s="28"/>
      <c r="B3724" s="28"/>
      <c r="C3724" s="28"/>
      <c r="D3724" s="28"/>
      <c r="E3724" s="16"/>
    </row>
    <row r="3725" spans="1:5" x14ac:dyDescent="0.2">
      <c r="A3725" s="28"/>
      <c r="B3725" s="28"/>
      <c r="C3725" s="28"/>
      <c r="D3725" s="28"/>
      <c r="E3725" s="16"/>
    </row>
    <row r="3726" spans="1:5" x14ac:dyDescent="0.2">
      <c r="A3726" s="28"/>
      <c r="B3726" s="28"/>
      <c r="C3726" s="28"/>
      <c r="D3726" s="28"/>
      <c r="E3726" s="16"/>
    </row>
    <row r="3727" spans="1:5" x14ac:dyDescent="0.2">
      <c r="A3727" s="28"/>
      <c r="B3727" s="28"/>
      <c r="C3727" s="28"/>
      <c r="D3727" s="28"/>
      <c r="E3727" s="16"/>
    </row>
    <row r="3728" spans="1:5" x14ac:dyDescent="0.2">
      <c r="A3728" s="28"/>
      <c r="B3728" s="28"/>
      <c r="C3728" s="28"/>
      <c r="D3728" s="28"/>
      <c r="E3728" s="16"/>
    </row>
    <row r="3729" spans="1:5" x14ac:dyDescent="0.2">
      <c r="A3729" s="28"/>
      <c r="B3729" s="28"/>
      <c r="C3729" s="28"/>
      <c r="D3729" s="28"/>
      <c r="E3729" s="16"/>
    </row>
    <row r="3730" spans="1:5" x14ac:dyDescent="0.2">
      <c r="A3730" s="28"/>
      <c r="B3730" s="28"/>
      <c r="C3730" s="28"/>
      <c r="D3730" s="28"/>
      <c r="E3730" s="16"/>
    </row>
    <row r="3731" spans="1:5" x14ac:dyDescent="0.2">
      <c r="A3731" s="28"/>
      <c r="B3731" s="28"/>
      <c r="C3731" s="28"/>
      <c r="D3731" s="28"/>
      <c r="E3731" s="16"/>
    </row>
    <row r="3732" spans="1:5" x14ac:dyDescent="0.2">
      <c r="A3732" s="28"/>
      <c r="B3732" s="28"/>
      <c r="C3732" s="28"/>
      <c r="D3732" s="28"/>
      <c r="E3732" s="16"/>
    </row>
    <row r="3733" spans="1:5" x14ac:dyDescent="0.2">
      <c r="A3733" s="28"/>
      <c r="B3733" s="28"/>
      <c r="C3733" s="28"/>
      <c r="D3733" s="28"/>
      <c r="E3733" s="16"/>
    </row>
    <row r="3734" spans="1:5" x14ac:dyDescent="0.2">
      <c r="A3734" s="28"/>
      <c r="B3734" s="28"/>
      <c r="C3734" s="28"/>
      <c r="D3734" s="28"/>
      <c r="E3734" s="16"/>
    </row>
    <row r="3735" spans="1:5" x14ac:dyDescent="0.2">
      <c r="A3735" s="28"/>
      <c r="B3735" s="28"/>
      <c r="C3735" s="28"/>
      <c r="D3735" s="28"/>
      <c r="E3735" s="16"/>
    </row>
    <row r="3736" spans="1:5" x14ac:dyDescent="0.2">
      <c r="A3736" s="28"/>
      <c r="B3736" s="28"/>
      <c r="C3736" s="28"/>
      <c r="D3736" s="28"/>
      <c r="E3736" s="16"/>
    </row>
    <row r="3737" spans="1:5" x14ac:dyDescent="0.2">
      <c r="A3737" s="28"/>
      <c r="B3737" s="28"/>
      <c r="C3737" s="28"/>
      <c r="D3737" s="28"/>
      <c r="E3737" s="16"/>
    </row>
    <row r="3738" spans="1:5" x14ac:dyDescent="0.2">
      <c r="A3738" s="28"/>
      <c r="B3738" s="28"/>
      <c r="C3738" s="28"/>
      <c r="D3738" s="28"/>
      <c r="E3738" s="16"/>
    </row>
    <row r="3739" spans="1:5" x14ac:dyDescent="0.2">
      <c r="A3739" s="28"/>
      <c r="B3739" s="28"/>
      <c r="C3739" s="28"/>
      <c r="D3739" s="28"/>
      <c r="E3739" s="16"/>
    </row>
    <row r="3740" spans="1:5" x14ac:dyDescent="0.2">
      <c r="A3740" s="28"/>
      <c r="B3740" s="28"/>
      <c r="C3740" s="28"/>
      <c r="D3740" s="28"/>
      <c r="E3740" s="16"/>
    </row>
    <row r="3741" spans="1:5" x14ac:dyDescent="0.2">
      <c r="A3741" s="28"/>
      <c r="B3741" s="28"/>
      <c r="C3741" s="28"/>
      <c r="D3741" s="28"/>
      <c r="E3741" s="16"/>
    </row>
    <row r="3742" spans="1:5" x14ac:dyDescent="0.2">
      <c r="A3742" s="28"/>
      <c r="B3742" s="28"/>
      <c r="C3742" s="28"/>
      <c r="D3742" s="28"/>
      <c r="E3742" s="16"/>
    </row>
    <row r="3743" spans="1:5" x14ac:dyDescent="0.2">
      <c r="A3743" s="28"/>
      <c r="B3743" s="28"/>
      <c r="C3743" s="28"/>
      <c r="D3743" s="28"/>
      <c r="E3743" s="16"/>
    </row>
    <row r="3744" spans="1:5" x14ac:dyDescent="0.2">
      <c r="A3744" s="28"/>
      <c r="B3744" s="28"/>
      <c r="C3744" s="28"/>
      <c r="D3744" s="28"/>
      <c r="E3744" s="16"/>
    </row>
    <row r="3745" spans="1:5" x14ac:dyDescent="0.2">
      <c r="A3745" s="28"/>
      <c r="B3745" s="28"/>
      <c r="C3745" s="28"/>
      <c r="D3745" s="28"/>
      <c r="E3745" s="16"/>
    </row>
    <row r="3746" spans="1:5" x14ac:dyDescent="0.2">
      <c r="A3746" s="28"/>
      <c r="B3746" s="28"/>
      <c r="C3746" s="28"/>
      <c r="D3746" s="28"/>
      <c r="E3746" s="16"/>
    </row>
    <row r="3747" spans="1:5" x14ac:dyDescent="0.2">
      <c r="A3747" s="28"/>
      <c r="B3747" s="28"/>
      <c r="C3747" s="28"/>
      <c r="D3747" s="28"/>
      <c r="E3747" s="16"/>
    </row>
    <row r="3748" spans="1:5" x14ac:dyDescent="0.2">
      <c r="A3748" s="28"/>
      <c r="B3748" s="28"/>
      <c r="C3748" s="28"/>
      <c r="D3748" s="28"/>
      <c r="E3748" s="16"/>
    </row>
    <row r="3749" spans="1:5" x14ac:dyDescent="0.2">
      <c r="A3749" s="28"/>
      <c r="B3749" s="28"/>
      <c r="C3749" s="28"/>
      <c r="D3749" s="28"/>
      <c r="E3749" s="16"/>
    </row>
    <row r="3750" spans="1:5" x14ac:dyDescent="0.2">
      <c r="A3750" s="28"/>
      <c r="B3750" s="28"/>
      <c r="C3750" s="28"/>
      <c r="D3750" s="28"/>
      <c r="E3750" s="16"/>
    </row>
    <row r="3751" spans="1:5" x14ac:dyDescent="0.2">
      <c r="A3751" s="28"/>
      <c r="B3751" s="28"/>
      <c r="C3751" s="28"/>
      <c r="D3751" s="28"/>
      <c r="E3751" s="16"/>
    </row>
    <row r="3752" spans="1:5" x14ac:dyDescent="0.2">
      <c r="A3752" s="28"/>
      <c r="B3752" s="28"/>
      <c r="C3752" s="28"/>
      <c r="D3752" s="28"/>
      <c r="E3752" s="16"/>
    </row>
    <row r="3753" spans="1:5" x14ac:dyDescent="0.2">
      <c r="A3753" s="28"/>
      <c r="B3753" s="28"/>
      <c r="C3753" s="28"/>
      <c r="D3753" s="28"/>
      <c r="E3753" s="16"/>
    </row>
    <row r="3754" spans="1:5" x14ac:dyDescent="0.2">
      <c r="A3754" s="28"/>
      <c r="B3754" s="28"/>
      <c r="C3754" s="28"/>
      <c r="D3754" s="28"/>
      <c r="E3754" s="16"/>
    </row>
    <row r="3755" spans="1:5" x14ac:dyDescent="0.2">
      <c r="A3755" s="28"/>
      <c r="B3755" s="28"/>
      <c r="C3755" s="28"/>
      <c r="D3755" s="28"/>
      <c r="E3755" s="16"/>
    </row>
    <row r="3756" spans="1:5" x14ac:dyDescent="0.2">
      <c r="A3756" s="28"/>
      <c r="B3756" s="28"/>
      <c r="C3756" s="28"/>
      <c r="D3756" s="28"/>
      <c r="E3756" s="16"/>
    </row>
    <row r="3757" spans="1:5" x14ac:dyDescent="0.2">
      <c r="A3757" s="28"/>
      <c r="B3757" s="28"/>
      <c r="C3757" s="28"/>
      <c r="D3757" s="28"/>
      <c r="E3757" s="16"/>
    </row>
    <row r="3758" spans="1:5" x14ac:dyDescent="0.2">
      <c r="A3758" s="28"/>
      <c r="B3758" s="28"/>
      <c r="C3758" s="28"/>
      <c r="D3758" s="28"/>
      <c r="E3758" s="16"/>
    </row>
    <row r="3759" spans="1:5" x14ac:dyDescent="0.2">
      <c r="A3759" s="28"/>
      <c r="B3759" s="28"/>
      <c r="C3759" s="28"/>
      <c r="D3759" s="28"/>
      <c r="E3759" s="16"/>
    </row>
    <row r="3760" spans="1:5" x14ac:dyDescent="0.2">
      <c r="A3760" s="28"/>
      <c r="B3760" s="28"/>
      <c r="C3760" s="28"/>
      <c r="D3760" s="28"/>
      <c r="E3760" s="16"/>
    </row>
    <row r="3761" spans="1:5" x14ac:dyDescent="0.2">
      <c r="A3761" s="28"/>
      <c r="B3761" s="28"/>
      <c r="C3761" s="28"/>
      <c r="D3761" s="28"/>
      <c r="E3761" s="16"/>
    </row>
    <row r="3762" spans="1:5" x14ac:dyDescent="0.2">
      <c r="A3762" s="28"/>
      <c r="B3762" s="28"/>
      <c r="C3762" s="28"/>
      <c r="D3762" s="28"/>
      <c r="E3762" s="16"/>
    </row>
    <row r="3763" spans="1:5" x14ac:dyDescent="0.2">
      <c r="A3763" s="28"/>
      <c r="B3763" s="28"/>
      <c r="C3763" s="28"/>
      <c r="D3763" s="28"/>
      <c r="E3763" s="16"/>
    </row>
    <row r="3764" spans="1:5" x14ac:dyDescent="0.2">
      <c r="A3764" s="28"/>
      <c r="B3764" s="28"/>
      <c r="C3764" s="28"/>
      <c r="D3764" s="28"/>
      <c r="E3764" s="16"/>
    </row>
    <row r="3765" spans="1:5" x14ac:dyDescent="0.2">
      <c r="A3765" s="28"/>
      <c r="B3765" s="28"/>
      <c r="C3765" s="28"/>
      <c r="D3765" s="28"/>
      <c r="E3765" s="16"/>
    </row>
    <row r="3766" spans="1:5" x14ac:dyDescent="0.2">
      <c r="A3766" s="28"/>
      <c r="B3766" s="28"/>
      <c r="C3766" s="28"/>
      <c r="D3766" s="28"/>
      <c r="E3766" s="16"/>
    </row>
    <row r="3767" spans="1:5" x14ac:dyDescent="0.2">
      <c r="A3767" s="28"/>
      <c r="B3767" s="28"/>
      <c r="C3767" s="28"/>
      <c r="D3767" s="28"/>
      <c r="E3767" s="16"/>
    </row>
    <row r="3768" spans="1:5" x14ac:dyDescent="0.2">
      <c r="A3768" s="28"/>
      <c r="B3768" s="28"/>
      <c r="C3768" s="28"/>
      <c r="D3768" s="28"/>
      <c r="E3768" s="16"/>
    </row>
    <row r="3769" spans="1:5" x14ac:dyDescent="0.2">
      <c r="A3769" s="28"/>
      <c r="B3769" s="28"/>
      <c r="C3769" s="28"/>
      <c r="D3769" s="28"/>
      <c r="E3769" s="16"/>
    </row>
    <row r="3770" spans="1:5" x14ac:dyDescent="0.2">
      <c r="A3770" s="28"/>
      <c r="B3770" s="28"/>
      <c r="C3770" s="28"/>
      <c r="D3770" s="28"/>
      <c r="E3770" s="16"/>
    </row>
    <row r="3771" spans="1:5" x14ac:dyDescent="0.2">
      <c r="A3771" s="28"/>
      <c r="B3771" s="28"/>
      <c r="C3771" s="28"/>
      <c r="D3771" s="28"/>
      <c r="E3771" s="16"/>
    </row>
    <row r="3772" spans="1:5" x14ac:dyDescent="0.2">
      <c r="A3772" s="28"/>
      <c r="B3772" s="28"/>
      <c r="C3772" s="28"/>
      <c r="D3772" s="28"/>
      <c r="E3772" s="16"/>
    </row>
    <row r="3773" spans="1:5" x14ac:dyDescent="0.2">
      <c r="A3773" s="28"/>
      <c r="B3773" s="28"/>
      <c r="C3773" s="28"/>
      <c r="D3773" s="28"/>
      <c r="E3773" s="16"/>
    </row>
    <row r="3774" spans="1:5" x14ac:dyDescent="0.2">
      <c r="A3774" s="28"/>
      <c r="B3774" s="28"/>
      <c r="C3774" s="28"/>
      <c r="D3774" s="28"/>
      <c r="E3774" s="16"/>
    </row>
    <row r="3775" spans="1:5" x14ac:dyDescent="0.2">
      <c r="A3775" s="28"/>
      <c r="B3775" s="28"/>
      <c r="C3775" s="28"/>
      <c r="D3775" s="28"/>
      <c r="E3775" s="16"/>
    </row>
    <row r="3776" spans="1:5" x14ac:dyDescent="0.2">
      <c r="A3776" s="28"/>
      <c r="B3776" s="28"/>
      <c r="C3776" s="28"/>
      <c r="D3776" s="28"/>
      <c r="E3776" s="16"/>
    </row>
    <row r="3777" spans="1:5" x14ac:dyDescent="0.2">
      <c r="A3777" s="28"/>
      <c r="B3777" s="28"/>
      <c r="C3777" s="28"/>
      <c r="D3777" s="28"/>
      <c r="E3777" s="16"/>
    </row>
    <row r="3778" spans="1:5" x14ac:dyDescent="0.2">
      <c r="A3778" s="28"/>
      <c r="B3778" s="28"/>
      <c r="C3778" s="28"/>
      <c r="D3778" s="28"/>
      <c r="E3778" s="16"/>
    </row>
    <row r="3779" spans="1:5" x14ac:dyDescent="0.2">
      <c r="A3779" s="28"/>
      <c r="B3779" s="28"/>
      <c r="C3779" s="28"/>
      <c r="D3779" s="28"/>
      <c r="E3779" s="16"/>
    </row>
    <row r="3780" spans="1:5" x14ac:dyDescent="0.2">
      <c r="A3780" s="28"/>
      <c r="B3780" s="28"/>
      <c r="C3780" s="28"/>
      <c r="D3780" s="28"/>
      <c r="E3780" s="16"/>
    </row>
    <row r="3781" spans="1:5" x14ac:dyDescent="0.2">
      <c r="A3781" s="28"/>
      <c r="B3781" s="28"/>
      <c r="C3781" s="28"/>
      <c r="D3781" s="28"/>
      <c r="E3781" s="16"/>
    </row>
    <row r="3782" spans="1:5" x14ac:dyDescent="0.2">
      <c r="A3782" s="28"/>
      <c r="B3782" s="28"/>
      <c r="C3782" s="28"/>
      <c r="D3782" s="28"/>
      <c r="E3782" s="16"/>
    </row>
    <row r="3783" spans="1:5" x14ac:dyDescent="0.2">
      <c r="A3783" s="28"/>
      <c r="B3783" s="28"/>
      <c r="C3783" s="28"/>
      <c r="D3783" s="28"/>
      <c r="E3783" s="16"/>
    </row>
    <row r="3784" spans="1:5" x14ac:dyDescent="0.2">
      <c r="A3784" s="28"/>
      <c r="B3784" s="28"/>
      <c r="C3784" s="28"/>
      <c r="D3784" s="28"/>
      <c r="E3784" s="16"/>
    </row>
    <row r="3785" spans="1:5" x14ac:dyDescent="0.2">
      <c r="A3785" s="28"/>
      <c r="B3785" s="28"/>
      <c r="C3785" s="28"/>
      <c r="D3785" s="28"/>
      <c r="E3785" s="16"/>
    </row>
    <row r="3786" spans="1:5" x14ac:dyDescent="0.2">
      <c r="A3786" s="28"/>
      <c r="B3786" s="28"/>
      <c r="C3786" s="28"/>
      <c r="D3786" s="28"/>
      <c r="E3786" s="16"/>
    </row>
    <row r="3787" spans="1:5" x14ac:dyDescent="0.2">
      <c r="A3787" s="28"/>
      <c r="B3787" s="28"/>
      <c r="C3787" s="28"/>
      <c r="D3787" s="28"/>
      <c r="E3787" s="16"/>
    </row>
    <row r="3788" spans="1:5" x14ac:dyDescent="0.2">
      <c r="A3788" s="28"/>
      <c r="B3788" s="28"/>
      <c r="C3788" s="28"/>
      <c r="D3788" s="28"/>
      <c r="E3788" s="16"/>
    </row>
    <row r="3789" spans="1:5" x14ac:dyDescent="0.2">
      <c r="A3789" s="28"/>
      <c r="B3789" s="28"/>
      <c r="C3789" s="28"/>
      <c r="D3789" s="28"/>
      <c r="E3789" s="16"/>
    </row>
    <row r="3790" spans="1:5" x14ac:dyDescent="0.2">
      <c r="A3790" s="28"/>
      <c r="B3790" s="28"/>
      <c r="C3790" s="28"/>
      <c r="D3790" s="28"/>
      <c r="E3790" s="16"/>
    </row>
    <row r="3791" spans="1:5" x14ac:dyDescent="0.2">
      <c r="A3791" s="28"/>
      <c r="B3791" s="28"/>
      <c r="C3791" s="28"/>
      <c r="D3791" s="28"/>
      <c r="E3791" s="16"/>
    </row>
    <row r="3792" spans="1:5" x14ac:dyDescent="0.2">
      <c r="A3792" s="28"/>
      <c r="B3792" s="28"/>
      <c r="C3792" s="28"/>
      <c r="D3792" s="28"/>
      <c r="E3792" s="16"/>
    </row>
    <row r="3793" spans="1:5" x14ac:dyDescent="0.2">
      <c r="A3793" s="28"/>
      <c r="B3793" s="28"/>
      <c r="C3793" s="28"/>
      <c r="D3793" s="28"/>
      <c r="E3793" s="16"/>
    </row>
    <row r="3794" spans="1:5" x14ac:dyDescent="0.2">
      <c r="A3794" s="28"/>
      <c r="B3794" s="28"/>
      <c r="C3794" s="28"/>
      <c r="D3794" s="28"/>
      <c r="E3794" s="16"/>
    </row>
    <row r="3795" spans="1:5" x14ac:dyDescent="0.2">
      <c r="A3795" s="28"/>
      <c r="B3795" s="28"/>
      <c r="C3795" s="28"/>
      <c r="D3795" s="28"/>
      <c r="E3795" s="16"/>
    </row>
    <row r="3796" spans="1:5" x14ac:dyDescent="0.2">
      <c r="A3796" s="28"/>
      <c r="B3796" s="28"/>
      <c r="C3796" s="28"/>
      <c r="D3796" s="28"/>
      <c r="E3796" s="16"/>
    </row>
    <row r="3797" spans="1:5" x14ac:dyDescent="0.2">
      <c r="A3797" s="28"/>
      <c r="B3797" s="28"/>
      <c r="C3797" s="28"/>
      <c r="D3797" s="28"/>
      <c r="E3797" s="16"/>
    </row>
    <row r="3798" spans="1:5" x14ac:dyDescent="0.2">
      <c r="A3798" s="28"/>
      <c r="B3798" s="28"/>
      <c r="C3798" s="28"/>
      <c r="D3798" s="28"/>
      <c r="E3798" s="16"/>
    </row>
    <row r="3799" spans="1:5" x14ac:dyDescent="0.2">
      <c r="A3799" s="28"/>
      <c r="B3799" s="28"/>
      <c r="C3799" s="28"/>
      <c r="D3799" s="28"/>
      <c r="E3799" s="16"/>
    </row>
    <row r="3800" spans="1:5" x14ac:dyDescent="0.2">
      <c r="A3800" s="28"/>
      <c r="B3800" s="28"/>
      <c r="C3800" s="28"/>
      <c r="D3800" s="28"/>
      <c r="E3800" s="16"/>
    </row>
    <row r="3801" spans="1:5" x14ac:dyDescent="0.2">
      <c r="A3801" s="28"/>
      <c r="B3801" s="28"/>
      <c r="C3801" s="28"/>
      <c r="D3801" s="28"/>
      <c r="E3801" s="16"/>
    </row>
    <row r="3802" spans="1:5" x14ac:dyDescent="0.2">
      <c r="A3802" s="28"/>
      <c r="B3802" s="28"/>
      <c r="C3802" s="28"/>
      <c r="D3802" s="28"/>
      <c r="E3802" s="16"/>
    </row>
    <row r="3803" spans="1:5" x14ac:dyDescent="0.2">
      <c r="A3803" s="28"/>
      <c r="B3803" s="28"/>
      <c r="C3803" s="28"/>
      <c r="D3803" s="28"/>
      <c r="E3803" s="16"/>
    </row>
    <row r="3804" spans="1:5" x14ac:dyDescent="0.2">
      <c r="A3804" s="28"/>
      <c r="B3804" s="28"/>
      <c r="C3804" s="28"/>
      <c r="D3804" s="28"/>
      <c r="E3804" s="16"/>
    </row>
    <row r="3805" spans="1:5" x14ac:dyDescent="0.2">
      <c r="A3805" s="28"/>
      <c r="B3805" s="28"/>
      <c r="C3805" s="28"/>
      <c r="D3805" s="28"/>
      <c r="E3805" s="16"/>
    </row>
    <row r="3806" spans="1:5" x14ac:dyDescent="0.2">
      <c r="A3806" s="28"/>
      <c r="B3806" s="28"/>
      <c r="C3806" s="28"/>
      <c r="D3806" s="28"/>
      <c r="E3806" s="16"/>
    </row>
    <row r="3807" spans="1:5" x14ac:dyDescent="0.2">
      <c r="A3807" s="28"/>
      <c r="B3807" s="28"/>
      <c r="C3807" s="28"/>
      <c r="D3807" s="28"/>
      <c r="E3807" s="16"/>
    </row>
    <row r="3808" spans="1:5" x14ac:dyDescent="0.2">
      <c r="A3808" s="28"/>
      <c r="B3808" s="28"/>
      <c r="C3808" s="28"/>
      <c r="D3808" s="28"/>
      <c r="E3808" s="16"/>
    </row>
    <row r="3809" spans="1:5" x14ac:dyDescent="0.2">
      <c r="A3809" s="28"/>
      <c r="B3809" s="28"/>
      <c r="C3809" s="28"/>
      <c r="D3809" s="28"/>
      <c r="E3809" s="16"/>
    </row>
    <row r="3810" spans="1:5" x14ac:dyDescent="0.2">
      <c r="A3810" s="28"/>
      <c r="B3810" s="28"/>
      <c r="C3810" s="28"/>
      <c r="D3810" s="28"/>
      <c r="E3810" s="16"/>
    </row>
    <row r="3811" spans="1:5" x14ac:dyDescent="0.2">
      <c r="A3811" s="28"/>
      <c r="B3811" s="28"/>
      <c r="C3811" s="28"/>
      <c r="D3811" s="28"/>
      <c r="E3811" s="16"/>
    </row>
    <row r="3812" spans="1:5" x14ac:dyDescent="0.2">
      <c r="A3812" s="28"/>
      <c r="B3812" s="28"/>
      <c r="C3812" s="28"/>
      <c r="D3812" s="28"/>
      <c r="E3812" s="16"/>
    </row>
    <row r="3813" spans="1:5" x14ac:dyDescent="0.2">
      <c r="A3813" s="28"/>
      <c r="B3813" s="28"/>
      <c r="C3813" s="28"/>
      <c r="D3813" s="28"/>
      <c r="E3813" s="16"/>
    </row>
    <row r="3814" spans="1:5" x14ac:dyDescent="0.2">
      <c r="A3814" s="28"/>
      <c r="B3814" s="28"/>
      <c r="C3814" s="28"/>
      <c r="D3814" s="28"/>
      <c r="E3814" s="16"/>
    </row>
    <row r="3815" spans="1:5" x14ac:dyDescent="0.2">
      <c r="A3815" s="28"/>
      <c r="B3815" s="28"/>
      <c r="C3815" s="28"/>
      <c r="D3815" s="28"/>
      <c r="E3815" s="16"/>
    </row>
    <row r="3816" spans="1:5" x14ac:dyDescent="0.2">
      <c r="A3816" s="28"/>
      <c r="B3816" s="28"/>
      <c r="C3816" s="28"/>
      <c r="D3816" s="28"/>
      <c r="E3816" s="16"/>
    </row>
    <row r="3817" spans="1:5" x14ac:dyDescent="0.2">
      <c r="A3817" s="28"/>
      <c r="B3817" s="28"/>
      <c r="C3817" s="28"/>
      <c r="D3817" s="28"/>
      <c r="E3817" s="16"/>
    </row>
    <row r="3818" spans="1:5" x14ac:dyDescent="0.2">
      <c r="A3818" s="28"/>
      <c r="B3818" s="28"/>
      <c r="C3818" s="28"/>
      <c r="D3818" s="28"/>
      <c r="E3818" s="16"/>
    </row>
    <row r="3819" spans="1:5" x14ac:dyDescent="0.2">
      <c r="A3819" s="28"/>
      <c r="B3819" s="28"/>
      <c r="C3819" s="28"/>
      <c r="D3819" s="28"/>
      <c r="E3819" s="16"/>
    </row>
    <row r="3820" spans="1:5" x14ac:dyDescent="0.2">
      <c r="A3820" s="28"/>
      <c r="B3820" s="28"/>
      <c r="C3820" s="28"/>
      <c r="D3820" s="28"/>
      <c r="E3820" s="16"/>
    </row>
    <row r="3821" spans="1:5" x14ac:dyDescent="0.2">
      <c r="A3821" s="28"/>
      <c r="B3821" s="28"/>
      <c r="C3821" s="28"/>
      <c r="D3821" s="28"/>
      <c r="E3821" s="16"/>
    </row>
    <row r="3822" spans="1:5" x14ac:dyDescent="0.2">
      <c r="A3822" s="28"/>
      <c r="B3822" s="28"/>
      <c r="C3822" s="28"/>
      <c r="D3822" s="28"/>
      <c r="E3822" s="16"/>
    </row>
    <row r="3823" spans="1:5" x14ac:dyDescent="0.2">
      <c r="A3823" s="28"/>
      <c r="B3823" s="28"/>
      <c r="C3823" s="28"/>
      <c r="D3823" s="28"/>
      <c r="E3823" s="16"/>
    </row>
    <row r="3824" spans="1:5" x14ac:dyDescent="0.2">
      <c r="A3824" s="28"/>
      <c r="B3824" s="28"/>
      <c r="C3824" s="28"/>
      <c r="D3824" s="28"/>
      <c r="E3824" s="16"/>
    </row>
    <row r="3825" spans="1:5" x14ac:dyDescent="0.2">
      <c r="A3825" s="28"/>
      <c r="B3825" s="28"/>
      <c r="C3825" s="28"/>
      <c r="D3825" s="28"/>
      <c r="E3825" s="16"/>
    </row>
    <row r="3826" spans="1:5" x14ac:dyDescent="0.2">
      <c r="A3826" s="28"/>
      <c r="B3826" s="28"/>
      <c r="C3826" s="28"/>
      <c r="D3826" s="28"/>
      <c r="E3826" s="16"/>
    </row>
    <row r="3827" spans="1:5" x14ac:dyDescent="0.2">
      <c r="A3827" s="28"/>
      <c r="B3827" s="28"/>
      <c r="C3827" s="28"/>
      <c r="D3827" s="28"/>
      <c r="E3827" s="16"/>
    </row>
    <row r="3828" spans="1:5" x14ac:dyDescent="0.2">
      <c r="A3828" s="28"/>
      <c r="B3828" s="28"/>
      <c r="C3828" s="28"/>
      <c r="D3828" s="28"/>
      <c r="E3828" s="16"/>
    </row>
    <row r="3829" spans="1:5" x14ac:dyDescent="0.2">
      <c r="A3829" s="28"/>
      <c r="B3829" s="28"/>
      <c r="C3829" s="28"/>
      <c r="D3829" s="28"/>
      <c r="E3829" s="16"/>
    </row>
    <row r="3830" spans="1:5" x14ac:dyDescent="0.2">
      <c r="A3830" s="28"/>
      <c r="B3830" s="28"/>
      <c r="C3830" s="28"/>
      <c r="D3830" s="28"/>
      <c r="E3830" s="16"/>
    </row>
    <row r="3831" spans="1:5" x14ac:dyDescent="0.2">
      <c r="A3831" s="28"/>
      <c r="B3831" s="28"/>
      <c r="C3831" s="28"/>
      <c r="D3831" s="28"/>
      <c r="E3831" s="16"/>
    </row>
    <row r="3832" spans="1:5" x14ac:dyDescent="0.2">
      <c r="A3832" s="28"/>
      <c r="B3832" s="28"/>
      <c r="C3832" s="28"/>
      <c r="D3832" s="28"/>
      <c r="E3832" s="16"/>
    </row>
    <row r="3833" spans="1:5" x14ac:dyDescent="0.2">
      <c r="A3833" s="28"/>
      <c r="B3833" s="28"/>
      <c r="C3833" s="28"/>
      <c r="D3833" s="28"/>
      <c r="E3833" s="16"/>
    </row>
    <row r="3834" spans="1:5" x14ac:dyDescent="0.2">
      <c r="A3834" s="28"/>
      <c r="B3834" s="28"/>
      <c r="C3834" s="28"/>
      <c r="D3834" s="28"/>
      <c r="E3834" s="16"/>
    </row>
    <row r="3835" spans="1:5" x14ac:dyDescent="0.2">
      <c r="A3835" s="28"/>
      <c r="B3835" s="28"/>
      <c r="C3835" s="28"/>
      <c r="D3835" s="28"/>
      <c r="E3835" s="16"/>
    </row>
    <row r="3836" spans="1:5" x14ac:dyDescent="0.2">
      <c r="A3836" s="28"/>
      <c r="B3836" s="28"/>
      <c r="C3836" s="28"/>
      <c r="D3836" s="28"/>
      <c r="E3836" s="16"/>
    </row>
    <row r="3837" spans="1:5" x14ac:dyDescent="0.2">
      <c r="A3837" s="28"/>
      <c r="B3837" s="28"/>
      <c r="C3837" s="28"/>
      <c r="D3837" s="28"/>
      <c r="E3837" s="16"/>
    </row>
    <row r="3838" spans="1:5" x14ac:dyDescent="0.2">
      <c r="A3838" s="28"/>
      <c r="B3838" s="28"/>
      <c r="C3838" s="28"/>
      <c r="D3838" s="28"/>
      <c r="E3838" s="16"/>
    </row>
    <row r="3839" spans="1:5" x14ac:dyDescent="0.2">
      <c r="A3839" s="28"/>
      <c r="B3839" s="28"/>
      <c r="C3839" s="28"/>
      <c r="D3839" s="28"/>
      <c r="E3839" s="16"/>
    </row>
    <row r="3840" spans="1:5" x14ac:dyDescent="0.2">
      <c r="A3840" s="28"/>
      <c r="B3840" s="28"/>
      <c r="C3840" s="28"/>
      <c r="D3840" s="28"/>
      <c r="E3840" s="16"/>
    </row>
    <row r="3841" spans="1:5" x14ac:dyDescent="0.2">
      <c r="A3841" s="28"/>
      <c r="B3841" s="28"/>
      <c r="C3841" s="28"/>
      <c r="D3841" s="28"/>
      <c r="E3841" s="16"/>
    </row>
    <row r="3842" spans="1:5" x14ac:dyDescent="0.2">
      <c r="A3842" s="28"/>
      <c r="B3842" s="28"/>
      <c r="C3842" s="28"/>
      <c r="D3842" s="28"/>
      <c r="E3842" s="16"/>
    </row>
    <row r="3843" spans="1:5" x14ac:dyDescent="0.2">
      <c r="A3843" s="28"/>
      <c r="B3843" s="28"/>
      <c r="C3843" s="28"/>
      <c r="D3843" s="28"/>
      <c r="E3843" s="16"/>
    </row>
    <row r="3844" spans="1:5" x14ac:dyDescent="0.2">
      <c r="A3844" s="28"/>
      <c r="B3844" s="28"/>
      <c r="C3844" s="28"/>
      <c r="D3844" s="28"/>
      <c r="E3844" s="16"/>
    </row>
    <row r="3845" spans="1:5" x14ac:dyDescent="0.2">
      <c r="A3845" s="28"/>
      <c r="B3845" s="28"/>
      <c r="C3845" s="28"/>
      <c r="D3845" s="28"/>
      <c r="E3845" s="16"/>
    </row>
    <row r="3846" spans="1:5" x14ac:dyDescent="0.2">
      <c r="A3846" s="28"/>
      <c r="B3846" s="28"/>
      <c r="C3846" s="28"/>
      <c r="D3846" s="28"/>
      <c r="E3846" s="16"/>
    </row>
    <row r="3847" spans="1:5" x14ac:dyDescent="0.2">
      <c r="A3847" s="28"/>
      <c r="B3847" s="28"/>
      <c r="C3847" s="28"/>
      <c r="D3847" s="28"/>
      <c r="E3847" s="16"/>
    </row>
    <row r="3848" spans="1:5" x14ac:dyDescent="0.2">
      <c r="A3848" s="28"/>
      <c r="B3848" s="28"/>
      <c r="C3848" s="28"/>
      <c r="D3848" s="28"/>
      <c r="E3848" s="16"/>
    </row>
    <row r="3849" spans="1:5" x14ac:dyDescent="0.2">
      <c r="A3849" s="28"/>
      <c r="B3849" s="28"/>
      <c r="C3849" s="28"/>
      <c r="D3849" s="28"/>
      <c r="E3849" s="16"/>
    </row>
    <row r="3850" spans="1:5" x14ac:dyDescent="0.2">
      <c r="A3850" s="28"/>
      <c r="B3850" s="28"/>
      <c r="C3850" s="28"/>
      <c r="D3850" s="28"/>
      <c r="E3850" s="16"/>
    </row>
    <row r="3851" spans="1:5" x14ac:dyDescent="0.2">
      <c r="A3851" s="28"/>
      <c r="B3851" s="28"/>
      <c r="C3851" s="28"/>
      <c r="D3851" s="28"/>
      <c r="E3851" s="16"/>
    </row>
    <row r="3852" spans="1:5" x14ac:dyDescent="0.2">
      <c r="A3852" s="28"/>
      <c r="B3852" s="28"/>
      <c r="C3852" s="28"/>
      <c r="D3852" s="28"/>
      <c r="E3852" s="16"/>
    </row>
    <row r="3853" spans="1:5" x14ac:dyDescent="0.2">
      <c r="A3853" s="28"/>
      <c r="B3853" s="28"/>
      <c r="C3853" s="28"/>
      <c r="D3853" s="28"/>
      <c r="E3853" s="16"/>
    </row>
    <row r="3854" spans="1:5" x14ac:dyDescent="0.2">
      <c r="A3854" s="28"/>
      <c r="B3854" s="28"/>
      <c r="C3854" s="28"/>
      <c r="D3854" s="28"/>
      <c r="E3854" s="16"/>
    </row>
    <row r="3855" spans="1:5" x14ac:dyDescent="0.2">
      <c r="A3855" s="28"/>
      <c r="B3855" s="28"/>
      <c r="C3855" s="28"/>
      <c r="D3855" s="28"/>
      <c r="E3855" s="16"/>
    </row>
    <row r="3856" spans="1:5" x14ac:dyDescent="0.2">
      <c r="A3856" s="28"/>
      <c r="B3856" s="28"/>
      <c r="C3856" s="28"/>
      <c r="D3856" s="28"/>
      <c r="E3856" s="16"/>
    </row>
    <row r="3857" spans="1:5" x14ac:dyDescent="0.2">
      <c r="A3857" s="28"/>
      <c r="B3857" s="28"/>
      <c r="C3857" s="28"/>
      <c r="D3857" s="28"/>
      <c r="E3857" s="16"/>
    </row>
    <row r="3858" spans="1:5" x14ac:dyDescent="0.2">
      <c r="A3858" s="28"/>
      <c r="B3858" s="28"/>
      <c r="C3858" s="28"/>
      <c r="D3858" s="28"/>
      <c r="E3858" s="16"/>
    </row>
    <row r="3859" spans="1:5" x14ac:dyDescent="0.2">
      <c r="A3859" s="28"/>
      <c r="B3859" s="28"/>
      <c r="C3859" s="28"/>
      <c r="D3859" s="28"/>
      <c r="E3859" s="16"/>
    </row>
    <row r="3860" spans="1:5" x14ac:dyDescent="0.2">
      <c r="A3860" s="28"/>
      <c r="B3860" s="28"/>
      <c r="C3860" s="28"/>
      <c r="D3860" s="28"/>
      <c r="E3860" s="16"/>
    </row>
    <row r="3861" spans="1:5" x14ac:dyDescent="0.2">
      <c r="A3861" s="28"/>
      <c r="B3861" s="28"/>
      <c r="C3861" s="28"/>
      <c r="D3861" s="28"/>
      <c r="E3861" s="16"/>
    </row>
    <row r="3862" spans="1:5" x14ac:dyDescent="0.2">
      <c r="A3862" s="28"/>
      <c r="B3862" s="28"/>
      <c r="C3862" s="28"/>
      <c r="D3862" s="28"/>
      <c r="E3862" s="16"/>
    </row>
    <row r="3863" spans="1:5" x14ac:dyDescent="0.2">
      <c r="A3863" s="28"/>
      <c r="B3863" s="28"/>
      <c r="C3863" s="28"/>
      <c r="D3863" s="28"/>
      <c r="E3863" s="16"/>
    </row>
    <row r="3864" spans="1:5" x14ac:dyDescent="0.2">
      <c r="A3864" s="28"/>
      <c r="B3864" s="28"/>
      <c r="C3864" s="28"/>
      <c r="D3864" s="28"/>
      <c r="E3864" s="16"/>
    </row>
    <row r="3865" spans="1:5" x14ac:dyDescent="0.2">
      <c r="A3865" s="28"/>
      <c r="B3865" s="28"/>
      <c r="C3865" s="28"/>
      <c r="D3865" s="28"/>
      <c r="E3865" s="16"/>
    </row>
    <row r="3866" spans="1:5" x14ac:dyDescent="0.2">
      <c r="A3866" s="28"/>
      <c r="B3866" s="28"/>
      <c r="C3866" s="28"/>
      <c r="D3866" s="28"/>
      <c r="E3866" s="16"/>
    </row>
    <row r="3867" spans="1:5" x14ac:dyDescent="0.2">
      <c r="A3867" s="28"/>
      <c r="B3867" s="28"/>
      <c r="C3867" s="28"/>
      <c r="D3867" s="28"/>
      <c r="E3867" s="16"/>
    </row>
    <row r="3868" spans="1:5" x14ac:dyDescent="0.2">
      <c r="A3868" s="28"/>
      <c r="B3868" s="28"/>
      <c r="C3868" s="28"/>
      <c r="D3868" s="28"/>
      <c r="E3868" s="16"/>
    </row>
    <row r="3869" spans="1:5" x14ac:dyDescent="0.2">
      <c r="A3869" s="28"/>
      <c r="B3869" s="28"/>
      <c r="C3869" s="28"/>
      <c r="D3869" s="28"/>
      <c r="E3869" s="16"/>
    </row>
    <row r="3870" spans="1:5" x14ac:dyDescent="0.2">
      <c r="A3870" s="28"/>
      <c r="B3870" s="28"/>
      <c r="C3870" s="28"/>
      <c r="D3870" s="28"/>
      <c r="E3870" s="16"/>
    </row>
    <row r="3871" spans="1:5" x14ac:dyDescent="0.2">
      <c r="A3871" s="28"/>
      <c r="B3871" s="28"/>
      <c r="C3871" s="28"/>
      <c r="D3871" s="28"/>
      <c r="E3871" s="16"/>
    </row>
    <row r="3872" spans="1:5" x14ac:dyDescent="0.2">
      <c r="A3872" s="28"/>
      <c r="B3872" s="28"/>
      <c r="C3872" s="28"/>
      <c r="D3872" s="28"/>
      <c r="E3872" s="16"/>
    </row>
    <row r="3873" spans="1:5" x14ac:dyDescent="0.2">
      <c r="A3873" s="28"/>
      <c r="B3873" s="28"/>
      <c r="C3873" s="28"/>
      <c r="D3873" s="28"/>
      <c r="E3873" s="16"/>
    </row>
    <row r="3874" spans="1:5" x14ac:dyDescent="0.2">
      <c r="A3874" s="28"/>
      <c r="B3874" s="28"/>
      <c r="C3874" s="28"/>
      <c r="D3874" s="28"/>
      <c r="E3874" s="16"/>
    </row>
    <row r="3875" spans="1:5" x14ac:dyDescent="0.2">
      <c r="A3875" s="28"/>
      <c r="B3875" s="28"/>
      <c r="C3875" s="28"/>
      <c r="D3875" s="28"/>
      <c r="E3875" s="16"/>
    </row>
    <row r="3876" spans="1:5" x14ac:dyDescent="0.2">
      <c r="A3876" s="28"/>
      <c r="B3876" s="28"/>
      <c r="C3876" s="28"/>
      <c r="D3876" s="28"/>
      <c r="E3876" s="16"/>
    </row>
    <row r="3877" spans="1:5" x14ac:dyDescent="0.2">
      <c r="A3877" s="28"/>
      <c r="B3877" s="28"/>
      <c r="C3877" s="28"/>
      <c r="D3877" s="28"/>
      <c r="E3877" s="16"/>
    </row>
    <row r="3878" spans="1:5" x14ac:dyDescent="0.2">
      <c r="A3878" s="28"/>
      <c r="B3878" s="28"/>
      <c r="C3878" s="28"/>
      <c r="D3878" s="28"/>
      <c r="E3878" s="16"/>
    </row>
    <row r="3879" spans="1:5" x14ac:dyDescent="0.2">
      <c r="A3879" s="28"/>
      <c r="B3879" s="28"/>
      <c r="C3879" s="28"/>
      <c r="D3879" s="28"/>
      <c r="E3879" s="16"/>
    </row>
    <row r="3880" spans="1:5" x14ac:dyDescent="0.2">
      <c r="A3880" s="28"/>
      <c r="B3880" s="28"/>
      <c r="C3880" s="28"/>
      <c r="D3880" s="28"/>
      <c r="E3880" s="16"/>
    </row>
    <row r="3881" spans="1:5" x14ac:dyDescent="0.2">
      <c r="A3881" s="28"/>
      <c r="B3881" s="28"/>
      <c r="C3881" s="28"/>
      <c r="D3881" s="28"/>
      <c r="E3881" s="16"/>
    </row>
    <row r="3882" spans="1:5" x14ac:dyDescent="0.2">
      <c r="A3882" s="28"/>
      <c r="B3882" s="28"/>
      <c r="C3882" s="28"/>
      <c r="D3882" s="28"/>
      <c r="E3882" s="16"/>
    </row>
    <row r="3883" spans="1:5" x14ac:dyDescent="0.2">
      <c r="A3883" s="28"/>
      <c r="B3883" s="28"/>
      <c r="C3883" s="28"/>
      <c r="D3883" s="28"/>
      <c r="E3883" s="16"/>
    </row>
    <row r="3884" spans="1:5" x14ac:dyDescent="0.2">
      <c r="A3884" s="28"/>
      <c r="B3884" s="28"/>
      <c r="C3884" s="28"/>
      <c r="D3884" s="28"/>
      <c r="E3884" s="16"/>
    </row>
    <row r="3885" spans="1:5" x14ac:dyDescent="0.2">
      <c r="A3885" s="28"/>
      <c r="B3885" s="28"/>
      <c r="C3885" s="28"/>
      <c r="D3885" s="28"/>
      <c r="E3885" s="16"/>
    </row>
    <row r="3886" spans="1:5" x14ac:dyDescent="0.2">
      <c r="A3886" s="28"/>
      <c r="B3886" s="28"/>
      <c r="C3886" s="28"/>
      <c r="D3886" s="28"/>
      <c r="E3886" s="16"/>
    </row>
    <row r="3887" spans="1:5" x14ac:dyDescent="0.2">
      <c r="A3887" s="28"/>
      <c r="B3887" s="28"/>
      <c r="C3887" s="28"/>
      <c r="D3887" s="28"/>
      <c r="E3887" s="16"/>
    </row>
    <row r="3888" spans="1:5" x14ac:dyDescent="0.2">
      <c r="A3888" s="28"/>
      <c r="B3888" s="28"/>
      <c r="C3888" s="28"/>
      <c r="D3888" s="28"/>
      <c r="E3888" s="16"/>
    </row>
    <row r="3889" spans="1:5" x14ac:dyDescent="0.2">
      <c r="A3889" s="28"/>
      <c r="B3889" s="28"/>
      <c r="C3889" s="28"/>
      <c r="D3889" s="28"/>
      <c r="E3889" s="16"/>
    </row>
    <row r="3890" spans="1:5" x14ac:dyDescent="0.2">
      <c r="A3890" s="28"/>
      <c r="B3890" s="28"/>
      <c r="C3890" s="28"/>
      <c r="D3890" s="28"/>
      <c r="E3890" s="16"/>
    </row>
    <row r="3891" spans="1:5" x14ac:dyDescent="0.2">
      <c r="A3891" s="28"/>
      <c r="B3891" s="28"/>
      <c r="C3891" s="28"/>
      <c r="D3891" s="28"/>
      <c r="E3891" s="16"/>
    </row>
    <row r="3892" spans="1:5" x14ac:dyDescent="0.2">
      <c r="A3892" s="28"/>
      <c r="B3892" s="28"/>
      <c r="C3892" s="28"/>
      <c r="D3892" s="28"/>
      <c r="E3892" s="16"/>
    </row>
    <row r="3893" spans="1:5" x14ac:dyDescent="0.2">
      <c r="A3893" s="28"/>
      <c r="B3893" s="28"/>
      <c r="C3893" s="28"/>
      <c r="D3893" s="28"/>
      <c r="E3893" s="16"/>
    </row>
    <row r="3894" spans="1:5" x14ac:dyDescent="0.2">
      <c r="A3894" s="28"/>
      <c r="B3894" s="28"/>
      <c r="C3894" s="28"/>
      <c r="D3894" s="28"/>
      <c r="E3894" s="16"/>
    </row>
    <row r="3895" spans="1:5" x14ac:dyDescent="0.2">
      <c r="A3895" s="28"/>
      <c r="B3895" s="28"/>
      <c r="C3895" s="28"/>
      <c r="D3895" s="28"/>
      <c r="E3895" s="16"/>
    </row>
    <row r="3896" spans="1:5" x14ac:dyDescent="0.2">
      <c r="A3896" s="28"/>
      <c r="B3896" s="28"/>
      <c r="C3896" s="28"/>
      <c r="D3896" s="28"/>
      <c r="E3896" s="16"/>
    </row>
    <row r="3897" spans="1:5" x14ac:dyDescent="0.2">
      <c r="A3897" s="28"/>
      <c r="B3897" s="28"/>
      <c r="C3897" s="28"/>
      <c r="D3897" s="28"/>
      <c r="E3897" s="16"/>
    </row>
    <row r="3898" spans="1:5" x14ac:dyDescent="0.2">
      <c r="A3898" s="28"/>
      <c r="B3898" s="28"/>
      <c r="C3898" s="28"/>
      <c r="D3898" s="28"/>
      <c r="E3898" s="16"/>
    </row>
    <row r="3899" spans="1:5" x14ac:dyDescent="0.2">
      <c r="A3899" s="28"/>
      <c r="B3899" s="28"/>
      <c r="C3899" s="28"/>
      <c r="D3899" s="28"/>
      <c r="E3899" s="16"/>
    </row>
    <row r="3900" spans="1:5" x14ac:dyDescent="0.2">
      <c r="A3900" s="28"/>
      <c r="B3900" s="28"/>
      <c r="C3900" s="28"/>
      <c r="D3900" s="28"/>
      <c r="E3900" s="16"/>
    </row>
    <row r="3901" spans="1:5" x14ac:dyDescent="0.2">
      <c r="A3901" s="28"/>
      <c r="B3901" s="28"/>
      <c r="C3901" s="28"/>
      <c r="D3901" s="28"/>
      <c r="E3901" s="16"/>
    </row>
    <row r="1048465" spans="9:9" ht="15" x14ac:dyDescent="0.25">
      <c r="I1048465" s="30"/>
    </row>
    <row r="1048466" spans="9:9" ht="15" x14ac:dyDescent="0.25">
      <c r="I1048466" s="30"/>
    </row>
    <row r="1048467" spans="9:9" ht="15" x14ac:dyDescent="0.2">
      <c r="I1048467" s="48"/>
    </row>
    <row r="1048468" spans="9:9" ht="15" x14ac:dyDescent="0.2">
      <c r="I1048468" s="48"/>
    </row>
    <row r="1048469" spans="9:9" ht="15" x14ac:dyDescent="0.2">
      <c r="I1048469" s="48"/>
    </row>
    <row r="1048470" spans="9:9" ht="15" x14ac:dyDescent="0.2">
      <c r="I1048470" s="48"/>
    </row>
    <row r="1048471" spans="9:9" x14ac:dyDescent="0.2">
      <c r="I1048471" s="22"/>
    </row>
    <row r="1048472" spans="9:9" x14ac:dyDescent="0.2">
      <c r="I1048472" s="22"/>
    </row>
    <row r="1048473" spans="9:9" x14ac:dyDescent="0.2">
      <c r="I1048473" s="22"/>
    </row>
    <row r="1048474" spans="9:9" x14ac:dyDescent="0.2">
      <c r="I1048474" s="22"/>
    </row>
    <row r="1048475" spans="9:9" x14ac:dyDescent="0.2">
      <c r="I1048475" s="42"/>
    </row>
    <row r="1048476" spans="9:9" x14ac:dyDescent="0.2">
      <c r="I1048476" s="76"/>
    </row>
    <row r="1048477" spans="9:9" x14ac:dyDescent="0.2">
      <c r="I1048477" s="18"/>
    </row>
    <row r="1048478" spans="9:9" x14ac:dyDescent="0.2">
      <c r="I1048478" s="9"/>
    </row>
    <row r="1048479" spans="9:9" x14ac:dyDescent="0.2">
      <c r="I1048479" s="9"/>
    </row>
    <row r="1048480" spans="9:9" x14ac:dyDescent="0.2">
      <c r="I1048480" s="9"/>
    </row>
    <row r="1048481" spans="9:9" x14ac:dyDescent="0.2">
      <c r="I1048481" s="9"/>
    </row>
    <row r="1048482" spans="9:9" x14ac:dyDescent="0.2">
      <c r="I1048482" s="9"/>
    </row>
    <row r="1048483" spans="9:9" x14ac:dyDescent="0.2">
      <c r="I1048483" s="9"/>
    </row>
    <row r="1048484" spans="9:9" x14ac:dyDescent="0.2">
      <c r="I1048484" s="9"/>
    </row>
    <row r="1048485" spans="9:9" x14ac:dyDescent="0.2">
      <c r="I1048485" s="9"/>
    </row>
    <row r="1048486" spans="9:9" x14ac:dyDescent="0.2">
      <c r="I1048486" s="9"/>
    </row>
    <row r="1048487" spans="9:9" x14ac:dyDescent="0.2">
      <c r="I1048487" s="9"/>
    </row>
    <row r="1048488" spans="9:9" x14ac:dyDescent="0.2">
      <c r="I1048488" s="9"/>
    </row>
    <row r="1048489" spans="9:9" x14ac:dyDescent="0.2">
      <c r="I1048489" s="9"/>
    </row>
    <row r="1048490" spans="9:9" x14ac:dyDescent="0.2">
      <c r="I1048490" s="9"/>
    </row>
    <row r="1048491" spans="9:9" x14ac:dyDescent="0.2">
      <c r="I1048491" s="9"/>
    </row>
    <row r="1048492" spans="9:9" x14ac:dyDescent="0.2">
      <c r="I1048492" s="9"/>
    </row>
    <row r="1048493" spans="9:9" x14ac:dyDescent="0.2">
      <c r="I1048493" s="9"/>
    </row>
    <row r="1048494" spans="9:9" x14ac:dyDescent="0.2">
      <c r="I1048494" s="9"/>
    </row>
    <row r="1048495" spans="9:9" x14ac:dyDescent="0.2">
      <c r="I1048495" s="9"/>
    </row>
    <row r="1048496" spans="9:9" x14ac:dyDescent="0.2">
      <c r="I1048496" s="9"/>
    </row>
    <row r="1048497" spans="9:9" x14ac:dyDescent="0.2">
      <c r="I1048497" s="9"/>
    </row>
    <row r="1048498" spans="9:9" x14ac:dyDescent="0.2">
      <c r="I1048498" s="9"/>
    </row>
    <row r="1048499" spans="9:9" x14ac:dyDescent="0.2">
      <c r="I1048499" s="9"/>
    </row>
  </sheetData>
  <autoFilter ref="A13:I164" xr:uid="{00000000-0001-0000-0100-000000000000}">
    <filterColumn colId="3">
      <filters>
        <filter val="Question"/>
      </filters>
    </filterColumn>
  </autoFilter>
  <conditionalFormatting sqref="A1168:E3901 A1168:F1270 A11 C11:H11 K6:K12 J6:J13 B1:E1 A2:G2 H1:H2 J1:K1 J2 A3:E6 A7:G7 A10:H10 A8:E9 H6:H9 H14:I14 I89:I104 A12:H1000 I106:I107 I109:I113 I115:I158 I160:I1162 I15:I87">
    <cfRule type="expression" dxfId="108" priority="71">
      <formula>IF($E1="q",1,0)</formula>
    </cfRule>
  </conditionalFormatting>
  <conditionalFormatting sqref="A11 C11:H11 K6:K12 J6:J13 H1:H2 B1:E1 A2:G2 J1:K1 J2 A3:E6 A7:G7 A10:H10 A8:E9 H6:H9 H14:I14 I89:I104 A12:H1000 I106:I107 I109:I113 I115:I158 I160:I1162 I15:I87">
    <cfRule type="expression" dxfId="107" priority="65">
      <formula>IF($E1="q",1,0)</formula>
    </cfRule>
  </conditionalFormatting>
  <conditionalFormatting sqref="A15:H1167">
    <cfRule type="expression" dxfId="106" priority="58">
      <formula>IF($E15="q",1,0)</formula>
    </cfRule>
  </conditionalFormatting>
  <conditionalFormatting sqref="A15:H1167">
    <cfRule type="expression" dxfId="105" priority="57">
      <formula>IF($E15="q",1,0)</formula>
    </cfRule>
  </conditionalFormatting>
  <conditionalFormatting sqref="J1177:J1182 J1184:J1189 J1191:J1196 J1198:J1203 J1205:J1210 J1212:J1217 J1219:J1224 J1226:J1231 J1233:J1238 J1240:J1245 J1247:J1252 J1254:J1259 J1261:J1266 J1268:J1273">
    <cfRule type="expression" dxfId="104" priority="52">
      <formula>IF($E1177="q",1,0)</formula>
    </cfRule>
  </conditionalFormatting>
  <conditionalFormatting sqref="J1177:J1182 J1184:J1189 J1191:J1196 J1198:J1203 J1205:J1210 J1212:J1217 J1219:J1224 J1226:J1231 J1233:J1238 J1240:J1245 J1247:J1252 J1254:J1259 J1261:J1266 J1268:J1273">
    <cfRule type="expression" dxfId="103" priority="51">
      <formula>IF($E1177="q",1,0)</formula>
    </cfRule>
  </conditionalFormatting>
  <conditionalFormatting sqref="J1176:J1274 J14:K27 J160:K1175 K159 J109:K158 K108 J77:K87 K76 J89:K107 K88 J63:K75 K62 J29:K61 K28">
    <cfRule type="expression" dxfId="102" priority="54">
      <formula>IF($E14="q",1,0)</formula>
    </cfRule>
  </conditionalFormatting>
  <conditionalFormatting sqref="J1176:J1274 J14:K27 J160:K1175 K159 J109:K158 K108 J77:K87 K76 J89:K107 K88 J63:K75 K62 J29:K61 K28">
    <cfRule type="expression" dxfId="101" priority="53">
      <formula>IF($E14="q",1,0)</formula>
    </cfRule>
  </conditionalFormatting>
  <conditionalFormatting sqref="H14:H1000">
    <cfRule type="expression" dxfId="100" priority="48">
      <formula>$H14="not applicable"</formula>
    </cfRule>
    <cfRule type="expression" dxfId="99" priority="49">
      <formula>$H14="not OK"</formula>
    </cfRule>
    <cfRule type="expression" dxfId="98" priority="50">
      <formula>$H14="OK"</formula>
    </cfRule>
  </conditionalFormatting>
  <conditionalFormatting sqref="B9">
    <cfRule type="expression" dxfId="97" priority="46">
      <formula>IF($E9="q",1,0)</formula>
    </cfRule>
  </conditionalFormatting>
  <conditionalFormatting sqref="B9">
    <cfRule type="expression" dxfId="96" priority="45">
      <formula>IF($E9="q",1,0)</formula>
    </cfRule>
  </conditionalFormatting>
  <conditionalFormatting sqref="B11">
    <cfRule type="expression" dxfId="95" priority="73">
      <formula>IF($E9="q",1,0)</formula>
    </cfRule>
  </conditionalFormatting>
  <conditionalFormatting sqref="B11">
    <cfRule type="expression" dxfId="94" priority="75">
      <formula>IF($E9="q",1,0)</formula>
    </cfRule>
  </conditionalFormatting>
  <conditionalFormatting sqref="K13">
    <cfRule type="expression" dxfId="93" priority="44">
      <formula>IF($E13="q",1,0)</formula>
    </cfRule>
  </conditionalFormatting>
  <conditionalFormatting sqref="K13">
    <cfRule type="expression" dxfId="92" priority="43">
      <formula>IF($E13="q",1,0)</formula>
    </cfRule>
  </conditionalFormatting>
  <conditionalFormatting sqref="B10">
    <cfRule type="expression" dxfId="91" priority="40">
      <formula>IF($E10="q",1,0)</formula>
    </cfRule>
  </conditionalFormatting>
  <conditionalFormatting sqref="B10">
    <cfRule type="expression" dxfId="90" priority="39">
      <formula>IF($E10="q",1,0)</formula>
    </cfRule>
  </conditionalFormatting>
  <conditionalFormatting sqref="I1048470:I1048477 I1048465:I1048466 I6:I13 I1:I2">
    <cfRule type="expression" dxfId="89" priority="36">
      <formula>IF($E1="q",1,0)</formula>
    </cfRule>
  </conditionalFormatting>
  <conditionalFormatting sqref="I1048470:I1048477 I1048465:I1048466 I6:I13 I1:I2">
    <cfRule type="expression" dxfId="88" priority="35">
      <formula>IF($E1="q",1,0)</formula>
    </cfRule>
  </conditionalFormatting>
  <conditionalFormatting sqref="I1048478:I1048499">
    <cfRule type="expression" dxfId="87" priority="34">
      <formula>IF($E1048478="q",1,0)</formula>
    </cfRule>
  </conditionalFormatting>
  <conditionalFormatting sqref="I1048478:I1048499">
    <cfRule type="expression" dxfId="86" priority="33">
      <formula>IF($E1048478="q",1,0)</formula>
    </cfRule>
  </conditionalFormatting>
  <conditionalFormatting sqref="I1065:I1070 I1072:I1077 I1079:I1084 I1086:I1091 I1093:I1098 I1100:I1105 I1107:I1112 I1114:I1119 I1121:I1126 I1128:I1133 I1135:I1140 I1142:I1147 I1149:I1154 I1156:I1161">
    <cfRule type="expression" dxfId="85" priority="32">
      <formula>IF($E1065="q",1,0)</formula>
    </cfRule>
  </conditionalFormatting>
  <conditionalFormatting sqref="I1065:I1070 I1072:I1077 I1079:I1084 I1086:I1091 I1093:I1098 I1100:I1105 I1107:I1112 I1114:I1119 I1121:I1126 I1128:I1133 I1135:I1140 I1142:I1147 I1149:I1154 I1156:I1161">
    <cfRule type="expression" dxfId="84" priority="31">
      <formula>IF($E1065="q",1,0)</formula>
    </cfRule>
  </conditionalFormatting>
  <conditionalFormatting sqref="F3:G3">
    <cfRule type="expression" dxfId="83" priority="117">
      <formula>IF($E4="q",1,0)</formula>
    </cfRule>
  </conditionalFormatting>
  <conditionalFormatting sqref="F3:G3">
    <cfRule type="expression" dxfId="82" priority="119">
      <formula>IF($E4="q",1,0)</formula>
    </cfRule>
  </conditionalFormatting>
  <conditionalFormatting sqref="F4:G4">
    <cfRule type="expression" dxfId="81" priority="121">
      <formula>IF($E6="q",1,0)</formula>
    </cfRule>
  </conditionalFormatting>
  <conditionalFormatting sqref="F4:G4">
    <cfRule type="expression" dxfId="80" priority="123">
      <formula>IF($E6="q",1,0)</formula>
    </cfRule>
  </conditionalFormatting>
  <conditionalFormatting sqref="F5:G6">
    <cfRule type="expression" dxfId="79" priority="125">
      <formula>IF($E8="q",1,0)</formula>
    </cfRule>
  </conditionalFormatting>
  <conditionalFormatting sqref="F5:G6">
    <cfRule type="expression" dxfId="78" priority="129">
      <formula>IF($E8="q",1,0)</formula>
    </cfRule>
  </conditionalFormatting>
  <conditionalFormatting sqref="F8:G9">
    <cfRule type="expression" dxfId="77" priority="28">
      <formula>IF($E8="q",1,0)</formula>
    </cfRule>
  </conditionalFormatting>
  <conditionalFormatting sqref="F8:G9">
    <cfRule type="expression" dxfId="76" priority="27">
      <formula>IF($E8="q",1,0)</formula>
    </cfRule>
  </conditionalFormatting>
  <conditionalFormatting sqref="G14">
    <cfRule type="expression" dxfId="75" priority="26">
      <formula>IF($E14="q",1,0)</formula>
    </cfRule>
  </conditionalFormatting>
  <conditionalFormatting sqref="G14">
    <cfRule type="expression" dxfId="74" priority="25">
      <formula>IF($E14="q",1,0)</formula>
    </cfRule>
  </conditionalFormatting>
  <conditionalFormatting sqref="G14">
    <cfRule type="expression" dxfId="73" priority="24">
      <formula>IF($E14="q",1,0)</formula>
    </cfRule>
  </conditionalFormatting>
  <conditionalFormatting sqref="G14">
    <cfRule type="expression" dxfId="72" priority="23">
      <formula>IF($E14="q",1,0)</formula>
    </cfRule>
  </conditionalFormatting>
  <conditionalFormatting sqref="J159">
    <cfRule type="expression" dxfId="71" priority="22">
      <formula>IF($E159="q",1,0)</formula>
    </cfRule>
  </conditionalFormatting>
  <conditionalFormatting sqref="J159">
    <cfRule type="expression" dxfId="70" priority="21">
      <formula>IF($E159="q",1,0)</formula>
    </cfRule>
  </conditionalFormatting>
  <conditionalFormatting sqref="J108">
    <cfRule type="expression" dxfId="69" priority="20">
      <formula>IF($E108="q",1,0)</formula>
    </cfRule>
  </conditionalFormatting>
  <conditionalFormatting sqref="J108">
    <cfRule type="expression" dxfId="68" priority="19">
      <formula>IF($E108="q",1,0)</formula>
    </cfRule>
  </conditionalFormatting>
  <conditionalFormatting sqref="J76">
    <cfRule type="expression" dxfId="67" priority="18">
      <formula>IF($E76="q",1,0)</formula>
    </cfRule>
  </conditionalFormatting>
  <conditionalFormatting sqref="J76">
    <cfRule type="expression" dxfId="66" priority="17">
      <formula>IF($E76="q",1,0)</formula>
    </cfRule>
  </conditionalFormatting>
  <conditionalFormatting sqref="I88">
    <cfRule type="expression" dxfId="65" priority="16">
      <formula>IF($E88="q",1,0)</formula>
    </cfRule>
  </conditionalFormatting>
  <conditionalFormatting sqref="I88">
    <cfRule type="expression" dxfId="64" priority="15">
      <formula>IF($E88="q",1,0)</formula>
    </cfRule>
  </conditionalFormatting>
  <conditionalFormatting sqref="J62">
    <cfRule type="expression" dxfId="63" priority="14">
      <formula>IF($E62="q",1,0)</formula>
    </cfRule>
  </conditionalFormatting>
  <conditionalFormatting sqref="J62">
    <cfRule type="expression" dxfId="62" priority="13">
      <formula>IF($E62="q",1,0)</formula>
    </cfRule>
  </conditionalFormatting>
  <conditionalFormatting sqref="J88">
    <cfRule type="expression" dxfId="61" priority="12">
      <formula>IF($E88="q",1,0)</formula>
    </cfRule>
  </conditionalFormatting>
  <conditionalFormatting sqref="J88">
    <cfRule type="expression" dxfId="60" priority="11">
      <formula>IF($E88="q",1,0)</formula>
    </cfRule>
  </conditionalFormatting>
  <conditionalFormatting sqref="J28">
    <cfRule type="expression" dxfId="59" priority="10">
      <formula>IF($E28="q",1,0)</formula>
    </cfRule>
  </conditionalFormatting>
  <conditionalFormatting sqref="J28">
    <cfRule type="expression" dxfId="58" priority="9">
      <formula>IF($E28="q",1,0)</formula>
    </cfRule>
  </conditionalFormatting>
  <conditionalFormatting sqref="I105">
    <cfRule type="expression" dxfId="57" priority="8">
      <formula>IF($E105="q",1,0)</formula>
    </cfRule>
  </conditionalFormatting>
  <conditionalFormatting sqref="I105">
    <cfRule type="expression" dxfId="56" priority="7">
      <formula>IF($E105="q",1,0)</formula>
    </cfRule>
  </conditionalFormatting>
  <conditionalFormatting sqref="I108">
    <cfRule type="expression" dxfId="55" priority="6">
      <formula>IF($E108="q",1,0)</formula>
    </cfRule>
  </conditionalFormatting>
  <conditionalFormatting sqref="I108">
    <cfRule type="expression" dxfId="54" priority="5">
      <formula>IF($E108="q",1,0)</formula>
    </cfRule>
  </conditionalFormatting>
  <conditionalFormatting sqref="I114">
    <cfRule type="expression" dxfId="53" priority="4">
      <formula>IF($E114="q",1,0)</formula>
    </cfRule>
  </conditionalFormatting>
  <conditionalFormatting sqref="I114">
    <cfRule type="expression" dxfId="52" priority="3">
      <formula>IF($E114="q",1,0)</formula>
    </cfRule>
  </conditionalFormatting>
  <conditionalFormatting sqref="I159">
    <cfRule type="expression" dxfId="51" priority="2">
      <formula>IF($E159="q",1,0)</formula>
    </cfRule>
  </conditionalFormatting>
  <conditionalFormatting sqref="I159">
    <cfRule type="expression" dxfId="50" priority="1">
      <formula>IF($E159="q",1,0)</formula>
    </cfRule>
  </conditionalFormatting>
  <hyperlinks>
    <hyperlink ref="A1" r:id="rId1" display="Scoping (click here for further information an FAQ)" xr:uid="{00000000-0004-0000-0100-000000000000}"/>
    <hyperlink ref="F1" r:id="rId2" xr:uid="{00000000-0004-0000-0100-000001000000}"/>
  </hyperlinks>
  <pageMargins left="0.25" right="0.25" top="0.75" bottom="0.75" header="0.3" footer="0.3"/>
  <pageSetup paperSize="9" scale="60" fitToHeight="0" orientation="landscape"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Filter!$AC$1:$AC$3</xm:f>
          </x14:formula1>
          <xm:sqref>I209:I1001 H14:H1001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0" filterMode="1">
    <tabColor rgb="FFFFFF99"/>
    <pageSetUpPr fitToPage="1"/>
  </sheetPr>
  <dimension ref="A1:AG3901"/>
  <sheetViews>
    <sheetView topLeftCell="A8" workbookViewId="0">
      <selection activeCell="A13" sqref="A13:I13"/>
    </sheetView>
  </sheetViews>
  <sheetFormatPr baseColWidth="10" defaultColWidth="11.42578125" defaultRowHeight="14.25" x14ac:dyDescent="0.2"/>
  <cols>
    <col min="1" max="1" width="16.42578125" style="26" customWidth="1"/>
    <col min="2" max="2" width="8.5703125" style="26" customWidth="1"/>
    <col min="3" max="3" width="1.42578125" style="26" customWidth="1"/>
    <col min="4" max="4" width="12.5703125" style="26" customWidth="1"/>
    <col min="5" max="5" width="0.42578125" style="29" customWidth="1"/>
    <col min="6" max="6" width="108.42578125" style="26" customWidth="1"/>
    <col min="7" max="7" width="36.5703125" style="26" customWidth="1"/>
    <col min="8" max="8" width="14.42578125" style="26" customWidth="1"/>
    <col min="9" max="10" width="30.7109375" style="26" customWidth="1"/>
    <col min="11" max="29" width="11.42578125" style="26"/>
    <col min="30" max="33" width="13.7109375" style="26" customWidth="1"/>
    <col min="34" max="16384" width="11.42578125" style="26"/>
  </cols>
  <sheetData>
    <row r="1" spans="1:33" ht="23.25" customHeight="1" x14ac:dyDescent="0.35">
      <c r="A1" s="81" t="s">
        <v>1453</v>
      </c>
      <c r="B1" s="53"/>
      <c r="C1" s="53"/>
      <c r="D1" s="53"/>
      <c r="E1" s="53"/>
      <c r="F1" s="87" t="s">
        <v>1452</v>
      </c>
      <c r="G1" s="53"/>
      <c r="H1" s="53" t="s">
        <v>654</v>
      </c>
      <c r="I1" s="53"/>
      <c r="J1" s="53"/>
      <c r="K1" s="75"/>
    </row>
    <row r="2" spans="1:33" ht="15.75" x14ac:dyDescent="0.25">
      <c r="A2" s="49" t="s">
        <v>615</v>
      </c>
      <c r="B2" s="53" t="str">
        <f>Scoping!C4</f>
        <v>Application</v>
      </c>
      <c r="C2" s="51"/>
      <c r="D2" s="51"/>
      <c r="E2" s="52"/>
      <c r="F2" s="49" t="str">
        <f>Scoping!$E$2</f>
        <v>Organisationseinheit:</v>
      </c>
      <c r="G2" s="53" t="str">
        <f>Scoping!$F$2</f>
        <v>LoP2/TEF7</v>
      </c>
      <c r="H2" s="67">
        <f>SUM($AB14:$AB501)</f>
        <v>0</v>
      </c>
      <c r="I2" s="63" t="s">
        <v>616</v>
      </c>
      <c r="J2" s="106"/>
      <c r="K2" s="55"/>
    </row>
    <row r="3" spans="1:33" ht="14.25" customHeight="1" x14ac:dyDescent="0.25">
      <c r="A3" s="49" t="str">
        <f>IF(Scoping!$C$4="Application","Commercial?","")</f>
        <v>Commercial?</v>
      </c>
      <c r="B3" s="53" t="str">
        <f>IF(A3&lt;&gt;"",Scoping!$C$5,"")</f>
        <v>No</v>
      </c>
      <c r="C3" s="49"/>
      <c r="D3" s="49"/>
      <c r="E3" s="54"/>
      <c r="F3" s="49" t="str">
        <f>Scoping!$E$4</f>
        <v>Name/Referenz des IT-Systems:</v>
      </c>
      <c r="G3" s="53" t="str">
        <f>Scoping!$F$4</f>
        <v>LoP2 PORTAINER NodeRED</v>
      </c>
      <c r="H3" s="66">
        <f>SUM($AC14:$AC501)</f>
        <v>0</v>
      </c>
      <c r="I3" s="63" t="s">
        <v>672</v>
      </c>
      <c r="J3" s="106"/>
      <c r="K3" s="55"/>
    </row>
    <row r="4" spans="1:33" ht="15.75" x14ac:dyDescent="0.25">
      <c r="A4" s="49" t="str">
        <f>IF(OR(Scoping!$C$4="Application",Scoping!$C$4="Webserver"),"Security class?","")</f>
        <v>Security class?</v>
      </c>
      <c r="B4" s="53" t="str">
        <f>IF(A4&lt;&gt;"",Scoping!$C$6,"")</f>
        <v>SC2</v>
      </c>
      <c r="C4" s="49"/>
      <c r="D4" s="49"/>
      <c r="E4" s="54"/>
      <c r="F4" s="49" t="str">
        <f>Scoping!$E$6</f>
        <v>Verantwortliche Führungskraft:</v>
      </c>
      <c r="G4" s="53" t="str">
        <f>Scoping!$F$6</f>
        <v>KUEBLER Simon</v>
      </c>
      <c r="H4" s="60">
        <f>SUM($AD14:$AD501)</f>
        <v>0</v>
      </c>
      <c r="I4" s="63" t="s">
        <v>673</v>
      </c>
      <c r="J4" s="63"/>
      <c r="K4" s="55"/>
    </row>
    <row r="5" spans="1:33" ht="15.75" x14ac:dyDescent="0.25">
      <c r="A5" s="49"/>
      <c r="B5" s="53"/>
      <c r="C5" s="49"/>
      <c r="D5" s="49"/>
      <c r="E5" s="54"/>
      <c r="F5" s="49" t="str">
        <f>Scoping!$E$8</f>
        <v>Datum:</v>
      </c>
      <c r="G5" s="78">
        <f>Scoping!$F$8</f>
        <v>44909</v>
      </c>
      <c r="H5" s="65">
        <f>SUM($AE14:$AE501)</f>
        <v>0</v>
      </c>
      <c r="I5" s="63" t="s">
        <v>674</v>
      </c>
      <c r="J5" s="63"/>
      <c r="K5" s="55"/>
    </row>
    <row r="6" spans="1:33" ht="15.75" x14ac:dyDescent="0.25">
      <c r="A6" s="49" t="s">
        <v>613</v>
      </c>
      <c r="B6" s="53" t="str">
        <f>Scoping!C7</f>
        <v>No</v>
      </c>
      <c r="C6" s="49"/>
      <c r="D6" s="49"/>
      <c r="E6" s="54"/>
      <c r="F6" s="49" t="str">
        <f>Scoping!$E$10</f>
        <v>Prüfung durchgeführt von (Name):</v>
      </c>
      <c r="G6" s="53" t="str">
        <f>Scoping!$F$10</f>
        <v xml:space="preserve">HELD Hubert </v>
      </c>
      <c r="H6" s="68">
        <f>SUM($AF14:$AF501)</f>
        <v>0</v>
      </c>
      <c r="I6" s="69" t="s">
        <v>619</v>
      </c>
      <c r="J6" s="69"/>
      <c r="K6" s="49"/>
    </row>
    <row r="7" spans="1:33" ht="14.25" customHeight="1" x14ac:dyDescent="0.25">
      <c r="A7" s="49"/>
      <c r="B7" s="53"/>
      <c r="C7" s="49"/>
      <c r="D7" s="49"/>
      <c r="E7" s="54"/>
      <c r="F7" s="49"/>
      <c r="G7" s="53"/>
      <c r="H7" s="64">
        <f>SUM($AG14:$AG503)</f>
        <v>26</v>
      </c>
      <c r="I7" s="69" t="s">
        <v>677</v>
      </c>
      <c r="J7" s="69"/>
      <c r="K7" s="49"/>
    </row>
    <row r="8" spans="1:33" ht="17.25" customHeight="1" x14ac:dyDescent="0.25">
      <c r="A8" s="49" t="s">
        <v>614</v>
      </c>
      <c r="B8" s="53" t="str">
        <f>Scoping!C8</f>
        <v>No</v>
      </c>
      <c r="C8" s="49"/>
      <c r="D8" s="49"/>
      <c r="E8" s="54"/>
      <c r="F8" s="49" t="str">
        <f>IF(Scoping!C2="Deutsch",Filter!AF1,Filter!AF9)</f>
        <v>Relevante Regelungen:</v>
      </c>
      <c r="G8" s="111" t="str">
        <f>IF(Scoping!C2="Deutsch",Filter!AF2,Filter!AF10)</f>
        <v>C/ISP CD 02900-001 "Anlage A: Informationssicherheitsmanagement-System"</v>
      </c>
      <c r="H8" s="49"/>
      <c r="I8" s="49"/>
      <c r="J8" s="69"/>
      <c r="K8" s="49"/>
    </row>
    <row r="9" spans="1:33" ht="14.25" customHeight="1" x14ac:dyDescent="0.25">
      <c r="A9" s="49"/>
      <c r="B9" s="49"/>
      <c r="C9" s="49"/>
      <c r="D9" s="49"/>
      <c r="E9" s="54"/>
      <c r="F9" s="49"/>
      <c r="G9" s="111" t="str">
        <f>IF(Scoping!C2="Deutsch",IF(Scoping!C4="Application",IF(Scoping!C5="Yes",Filter!AF15,Filter!AF11),IF(Scoping!C4="Server",Filter!AF12,IF(Scoping!C4="Webserver",Filter!AF13,IF(Scoping!C4="Network",Filter!AF14,"")))),IF(Scoping!C4="Application",IF(Scoping!C5="Yes",Filter!AF7,Filter!AF3),IF(Scoping!C4="Server",Filter!AF4,IF(Scoping!C4="Webserver",Filter!AF5,IF(Scoping!C4="Network",Filter!AF6,"")))))</f>
        <v xml:space="preserve">C/IDS CD 07900-001 "IT-System Sicherheit" </v>
      </c>
      <c r="H9" s="53"/>
      <c r="I9" s="50"/>
      <c r="J9" s="69"/>
      <c r="K9" s="49"/>
    </row>
    <row r="10" spans="1:33" ht="27" customHeight="1" x14ac:dyDescent="0.25">
      <c r="A10" s="49"/>
      <c r="B10" s="49"/>
      <c r="C10" s="49"/>
      <c r="D10" s="49"/>
      <c r="E10" s="49"/>
      <c r="F10" s="49"/>
      <c r="G10" s="50" t="s">
        <v>870</v>
      </c>
      <c r="H10" s="58" t="s">
        <v>675</v>
      </c>
      <c r="I10" s="61"/>
      <c r="J10" s="69"/>
      <c r="K10" s="49"/>
    </row>
    <row r="11" spans="1:33" s="43" customFormat="1" ht="26.25" customHeight="1" x14ac:dyDescent="0.25">
      <c r="A11" s="56"/>
      <c r="B11" s="57" t="str">
        <f>IF(Scoping!C2="Deutsch",IF(OR(Scoping!C4="Application",Scoping!C4="Webserver"),"Hinweis:Falls Sie selbst für den Betrieb der Server verantwortlich sind, müssen sie für diese einen zusätzlichen Selbscheck vornehmen.",""),IF(OR(Scoping!C4="Application",Scoping!C4="Webserver"),"Hint: If you also are responsible for operating the server for your application, you have to perform for these an additional selfcheck.",""))</f>
        <v>Hinweis:Falls Sie selbst für den Betrieb der Server verantwortlich sind, müssen sie für diese einen zusätzlichen Selbscheck vornehmen.</v>
      </c>
      <c r="C11" s="56"/>
      <c r="D11" s="56"/>
      <c r="E11" s="56"/>
      <c r="F11" s="56"/>
      <c r="G11" s="56"/>
      <c r="H11" s="59" t="s">
        <v>676</v>
      </c>
      <c r="I11" s="62"/>
      <c r="J11" s="69"/>
      <c r="K11" s="56"/>
    </row>
    <row r="12" spans="1:33" ht="42.75" customHeight="1" x14ac:dyDescent="0.2">
      <c r="A12" s="49"/>
      <c r="B12" s="49"/>
      <c r="C12" s="49"/>
      <c r="D12" s="49"/>
      <c r="E12" s="49"/>
      <c r="F12" s="54"/>
      <c r="G12" s="54"/>
      <c r="H12" s="59"/>
      <c r="I12" s="59"/>
      <c r="J12" s="75" t="str">
        <f>Scoping!$A$21</f>
        <v>Operator self check V1.1</v>
      </c>
      <c r="K12" s="54"/>
    </row>
    <row r="13" spans="1:33" ht="22.5" customHeight="1" x14ac:dyDescent="0.2">
      <c r="A13" s="18" t="s">
        <v>325</v>
      </c>
      <c r="B13" s="18" t="s">
        <v>326</v>
      </c>
      <c r="C13" s="18"/>
      <c r="D13" s="19">
        <v>2</v>
      </c>
      <c r="E13" s="19">
        <v>3</v>
      </c>
      <c r="F13" s="18" t="s">
        <v>324</v>
      </c>
      <c r="G13" s="18" t="s">
        <v>328</v>
      </c>
      <c r="H13" s="18" t="s">
        <v>1450</v>
      </c>
      <c r="I13" s="18" t="s">
        <v>875</v>
      </c>
      <c r="J13" s="18" t="s">
        <v>1730</v>
      </c>
      <c r="K13" s="18" t="s">
        <v>671</v>
      </c>
    </row>
    <row r="14" spans="1:33" x14ac:dyDescent="0.2">
      <c r="A14" s="89" t="s">
        <v>868</v>
      </c>
      <c r="B14" s="89" t="s">
        <v>56</v>
      </c>
      <c r="C14" s="89"/>
      <c r="D14" s="89" t="s">
        <v>612</v>
      </c>
      <c r="E14" s="89" t="s">
        <v>309</v>
      </c>
      <c r="F14" s="89" t="s">
        <v>1454</v>
      </c>
      <c r="G14" s="89"/>
      <c r="H14" s="89"/>
      <c r="I14" s="9"/>
      <c r="J14" s="9"/>
      <c r="K14" s="9"/>
      <c r="AB14" s="26">
        <f t="shared" ref="AB14:AB78" si="0">IF(AND($D14="Question",$H14="OK"),1,0)</f>
        <v>0</v>
      </c>
      <c r="AC14" s="26">
        <f t="shared" ref="AC14:AC78" si="1">IF(AND($D14="Question",$H14="OK with hints"),1,0)</f>
        <v>0</v>
      </c>
      <c r="AD14" s="26">
        <f t="shared" ref="AD14:AD78" si="2">IF(AND($D14="Question",$H14="Minor non-conformity"),1,0)</f>
        <v>0</v>
      </c>
      <c r="AE14" s="26">
        <f t="shared" ref="AE14:AE78" si="3">IF(AND($D14="Question",$H14="Major non-conformity"),1,0)</f>
        <v>0</v>
      </c>
      <c r="AF14" s="26">
        <f t="shared" ref="AF14:AF78" si="4">IF(AND($D14="Question",$H14="Not applicable"),1,0)</f>
        <v>0</v>
      </c>
      <c r="AG14" s="26">
        <f t="shared" ref="AG14:AG78" si="5">IF(AND($D14="Question",$H14=""),1,0)</f>
        <v>1</v>
      </c>
    </row>
    <row r="15" spans="1:33" customFormat="1" ht="25.5" hidden="1" x14ac:dyDescent="0.25">
      <c r="A15" s="89" t="s">
        <v>868</v>
      </c>
      <c r="B15" s="89" t="s">
        <v>56</v>
      </c>
      <c r="C15" s="89"/>
      <c r="D15" s="89" t="s">
        <v>601</v>
      </c>
      <c r="E15" s="89" t="s">
        <v>8</v>
      </c>
      <c r="F15" s="89" t="s">
        <v>57</v>
      </c>
      <c r="G15" s="89"/>
      <c r="H15" s="89"/>
      <c r="I15" s="9"/>
      <c r="J15" s="9"/>
      <c r="K15" s="9"/>
      <c r="AB15" s="26">
        <f t="shared" si="0"/>
        <v>0</v>
      </c>
      <c r="AC15" s="26">
        <f t="shared" si="1"/>
        <v>0</v>
      </c>
      <c r="AD15" s="26">
        <f t="shared" si="2"/>
        <v>0</v>
      </c>
      <c r="AE15" s="26">
        <f t="shared" si="3"/>
        <v>0</v>
      </c>
      <c r="AF15" s="26">
        <f t="shared" si="4"/>
        <v>0</v>
      </c>
      <c r="AG15" s="26">
        <f t="shared" si="5"/>
        <v>0</v>
      </c>
    </row>
    <row r="16" spans="1:33" customFormat="1" ht="25.5" hidden="1" x14ac:dyDescent="0.25">
      <c r="A16" s="89" t="s">
        <v>868</v>
      </c>
      <c r="B16" s="89" t="s">
        <v>56</v>
      </c>
      <c r="C16" s="89"/>
      <c r="D16" s="89" t="s">
        <v>602</v>
      </c>
      <c r="E16" s="89" t="s">
        <v>8</v>
      </c>
      <c r="F16" s="89" t="s">
        <v>58</v>
      </c>
      <c r="G16" s="89"/>
      <c r="H16" s="89"/>
      <c r="I16" s="9"/>
      <c r="J16" s="9"/>
      <c r="K16" s="9"/>
      <c r="AB16" s="26">
        <f t="shared" si="0"/>
        <v>0</v>
      </c>
      <c r="AC16" s="26">
        <f t="shared" si="1"/>
        <v>0</v>
      </c>
      <c r="AD16" s="26">
        <f t="shared" si="2"/>
        <v>0</v>
      </c>
      <c r="AE16" s="26">
        <f t="shared" si="3"/>
        <v>0</v>
      </c>
      <c r="AF16" s="26">
        <f t="shared" si="4"/>
        <v>0</v>
      </c>
      <c r="AG16" s="26">
        <f t="shared" si="5"/>
        <v>0</v>
      </c>
    </row>
    <row r="17" spans="1:33" customFormat="1" ht="15" x14ac:dyDescent="0.25">
      <c r="A17" s="89" t="s">
        <v>868</v>
      </c>
      <c r="B17" s="89" t="s">
        <v>71</v>
      </c>
      <c r="C17" s="89"/>
      <c r="D17" s="89" t="s">
        <v>612</v>
      </c>
      <c r="E17" s="89" t="s">
        <v>309</v>
      </c>
      <c r="F17" s="89" t="s">
        <v>79</v>
      </c>
      <c r="G17" s="89"/>
      <c r="H17" s="89"/>
      <c r="I17" s="9"/>
      <c r="J17" s="9"/>
      <c r="K17" s="9"/>
      <c r="AB17" s="26">
        <f t="shared" si="0"/>
        <v>0</v>
      </c>
      <c r="AC17" s="26">
        <f t="shared" si="1"/>
        <v>0</v>
      </c>
      <c r="AD17" s="26">
        <f t="shared" si="2"/>
        <v>0</v>
      </c>
      <c r="AE17" s="26">
        <f t="shared" si="3"/>
        <v>0</v>
      </c>
      <c r="AF17" s="26">
        <f t="shared" si="4"/>
        <v>0</v>
      </c>
      <c r="AG17" s="26">
        <f t="shared" si="5"/>
        <v>1</v>
      </c>
    </row>
    <row r="18" spans="1:33" ht="25.5" hidden="1" x14ac:dyDescent="0.2">
      <c r="A18" s="89" t="s">
        <v>868</v>
      </c>
      <c r="B18" s="89" t="s">
        <v>71</v>
      </c>
      <c r="C18" s="89"/>
      <c r="D18" s="89" t="s">
        <v>602</v>
      </c>
      <c r="E18" s="89" t="s">
        <v>8</v>
      </c>
      <c r="F18" s="89" t="s">
        <v>73</v>
      </c>
      <c r="G18" s="89"/>
      <c r="H18" s="89"/>
      <c r="I18" s="9"/>
      <c r="J18" s="9"/>
      <c r="K18" s="9"/>
      <c r="AB18" s="26">
        <f t="shared" si="0"/>
        <v>0</v>
      </c>
      <c r="AC18" s="26">
        <f t="shared" si="1"/>
        <v>0</v>
      </c>
      <c r="AD18" s="26">
        <f t="shared" si="2"/>
        <v>0</v>
      </c>
      <c r="AE18" s="26">
        <f t="shared" si="3"/>
        <v>0</v>
      </c>
      <c r="AF18" s="26">
        <f t="shared" si="4"/>
        <v>0</v>
      </c>
      <c r="AG18" s="26">
        <f t="shared" si="5"/>
        <v>0</v>
      </c>
    </row>
    <row r="19" spans="1:33" customFormat="1" ht="25.5" hidden="1" x14ac:dyDescent="0.25">
      <c r="A19" s="89" t="s">
        <v>868</v>
      </c>
      <c r="B19" s="89" t="s">
        <v>71</v>
      </c>
      <c r="C19" s="89"/>
      <c r="D19" s="89" t="s">
        <v>603</v>
      </c>
      <c r="E19" s="89" t="s">
        <v>8</v>
      </c>
      <c r="F19" s="89" t="s">
        <v>438</v>
      </c>
      <c r="G19" s="89"/>
      <c r="H19" s="89"/>
      <c r="I19" s="9"/>
      <c r="J19" s="9"/>
      <c r="K19" s="9"/>
      <c r="AB19" s="26">
        <f t="shared" si="0"/>
        <v>0</v>
      </c>
      <c r="AC19" s="26">
        <f t="shared" si="1"/>
        <v>0</v>
      </c>
      <c r="AD19" s="26">
        <f t="shared" si="2"/>
        <v>0</v>
      </c>
      <c r="AE19" s="26">
        <f t="shared" si="3"/>
        <v>0</v>
      </c>
      <c r="AF19" s="26">
        <f t="shared" si="4"/>
        <v>0</v>
      </c>
      <c r="AG19" s="26">
        <f t="shared" si="5"/>
        <v>0</v>
      </c>
    </row>
    <row r="20" spans="1:33" customFormat="1" ht="25.5" x14ac:dyDescent="0.25">
      <c r="A20" s="89" t="s">
        <v>867</v>
      </c>
      <c r="B20" s="89" t="s">
        <v>80</v>
      </c>
      <c r="C20" s="89"/>
      <c r="D20" s="89" t="s">
        <v>612</v>
      </c>
      <c r="E20" s="89" t="s">
        <v>309</v>
      </c>
      <c r="F20" s="89" t="s">
        <v>666</v>
      </c>
      <c r="G20" s="89"/>
      <c r="H20" s="89"/>
      <c r="I20" s="9"/>
      <c r="J20" s="9"/>
      <c r="K20" s="9"/>
      <c r="AB20" s="26">
        <f t="shared" si="0"/>
        <v>0</v>
      </c>
      <c r="AC20" s="26">
        <f t="shared" si="1"/>
        <v>0</v>
      </c>
      <c r="AD20" s="26">
        <f t="shared" si="2"/>
        <v>0</v>
      </c>
      <c r="AE20" s="26">
        <f t="shared" si="3"/>
        <v>0</v>
      </c>
      <c r="AF20" s="26">
        <f t="shared" si="4"/>
        <v>0</v>
      </c>
      <c r="AG20" s="26">
        <f t="shared" si="5"/>
        <v>1</v>
      </c>
    </row>
    <row r="21" spans="1:33" ht="25.5" hidden="1" x14ac:dyDescent="0.2">
      <c r="A21" s="89" t="s">
        <v>868</v>
      </c>
      <c r="B21" s="89" t="s">
        <v>80</v>
      </c>
      <c r="C21" s="89"/>
      <c r="D21" s="89" t="s">
        <v>601</v>
      </c>
      <c r="E21" s="89" t="s">
        <v>8</v>
      </c>
      <c r="F21" s="89" t="s">
        <v>440</v>
      </c>
      <c r="G21" s="89"/>
      <c r="H21" s="89"/>
      <c r="I21" s="9"/>
      <c r="J21" s="9"/>
      <c r="K21" s="9"/>
      <c r="AB21" s="26">
        <f t="shared" si="0"/>
        <v>0</v>
      </c>
      <c r="AC21" s="26">
        <f t="shared" si="1"/>
        <v>0</v>
      </c>
      <c r="AD21" s="26">
        <f t="shared" si="2"/>
        <v>0</v>
      </c>
      <c r="AE21" s="26">
        <f t="shared" si="3"/>
        <v>0</v>
      </c>
      <c r="AF21" s="26">
        <f t="shared" si="4"/>
        <v>0</v>
      </c>
      <c r="AG21" s="26">
        <f t="shared" si="5"/>
        <v>0</v>
      </c>
    </row>
    <row r="22" spans="1:33" customFormat="1" ht="114.75" hidden="1" x14ac:dyDescent="0.25">
      <c r="A22" s="89" t="s">
        <v>867</v>
      </c>
      <c r="B22" s="89" t="s">
        <v>80</v>
      </c>
      <c r="C22" s="89"/>
      <c r="D22" s="89" t="s">
        <v>601</v>
      </c>
      <c r="E22" s="89" t="s">
        <v>0</v>
      </c>
      <c r="F22" s="89" t="s">
        <v>1495</v>
      </c>
      <c r="G22" s="89" t="s">
        <v>894</v>
      </c>
      <c r="H22" s="89"/>
      <c r="I22" s="9"/>
      <c r="J22" s="9"/>
      <c r="K22" s="9"/>
      <c r="AB22" s="26">
        <f t="shared" si="0"/>
        <v>0</v>
      </c>
      <c r="AC22" s="26">
        <f t="shared" si="1"/>
        <v>0</v>
      </c>
      <c r="AD22" s="26">
        <f t="shared" si="2"/>
        <v>0</v>
      </c>
      <c r="AE22" s="26">
        <f t="shared" si="3"/>
        <v>0</v>
      </c>
      <c r="AF22" s="26">
        <f t="shared" si="4"/>
        <v>0</v>
      </c>
      <c r="AG22" s="26">
        <f t="shared" si="5"/>
        <v>0</v>
      </c>
    </row>
    <row r="23" spans="1:33" customFormat="1" ht="76.5" hidden="1" x14ac:dyDescent="0.25">
      <c r="A23" s="89" t="s">
        <v>867</v>
      </c>
      <c r="B23" s="89" t="s">
        <v>80</v>
      </c>
      <c r="C23" s="89"/>
      <c r="D23" s="89" t="s">
        <v>602</v>
      </c>
      <c r="E23" s="89" t="s">
        <v>0</v>
      </c>
      <c r="F23" s="89" t="s">
        <v>1731</v>
      </c>
      <c r="G23" s="89" t="s">
        <v>683</v>
      </c>
      <c r="H23" s="89"/>
      <c r="I23" s="9"/>
      <c r="J23" s="9"/>
      <c r="K23" s="9"/>
      <c r="AB23" s="26">
        <f t="shared" si="0"/>
        <v>0</v>
      </c>
      <c r="AC23" s="26">
        <f t="shared" si="1"/>
        <v>0</v>
      </c>
      <c r="AD23" s="26">
        <f t="shared" si="2"/>
        <v>0</v>
      </c>
      <c r="AE23" s="26">
        <f t="shared" si="3"/>
        <v>0</v>
      </c>
      <c r="AF23" s="26">
        <f t="shared" si="4"/>
        <v>0</v>
      </c>
      <c r="AG23" s="26">
        <f t="shared" si="5"/>
        <v>0</v>
      </c>
    </row>
    <row r="24" spans="1:33" ht="102" hidden="1" x14ac:dyDescent="0.2">
      <c r="A24" s="89" t="s">
        <v>867</v>
      </c>
      <c r="B24" s="89" t="s">
        <v>80</v>
      </c>
      <c r="C24" s="89"/>
      <c r="D24" s="89" t="s">
        <v>603</v>
      </c>
      <c r="E24" s="89" t="s">
        <v>0</v>
      </c>
      <c r="F24" s="89" t="s">
        <v>1497</v>
      </c>
      <c r="G24" s="89" t="s">
        <v>685</v>
      </c>
      <c r="H24" s="89"/>
      <c r="I24" s="9"/>
      <c r="J24" s="9"/>
      <c r="K24" s="9"/>
      <c r="AB24" s="26">
        <f t="shared" si="0"/>
        <v>0</v>
      </c>
      <c r="AC24" s="26">
        <f t="shared" si="1"/>
        <v>0</v>
      </c>
      <c r="AD24" s="26">
        <f t="shared" si="2"/>
        <v>0</v>
      </c>
      <c r="AE24" s="26">
        <f t="shared" si="3"/>
        <v>0</v>
      </c>
      <c r="AF24" s="26">
        <f t="shared" si="4"/>
        <v>0</v>
      </c>
      <c r="AG24" s="26">
        <f t="shared" si="5"/>
        <v>0</v>
      </c>
    </row>
    <row r="25" spans="1:33" customFormat="1" ht="76.5" hidden="1" x14ac:dyDescent="0.25">
      <c r="A25" s="89" t="s">
        <v>867</v>
      </c>
      <c r="B25" s="89" t="s">
        <v>80</v>
      </c>
      <c r="C25" s="89"/>
      <c r="D25" s="89" t="s">
        <v>604</v>
      </c>
      <c r="E25" s="89" t="s">
        <v>0</v>
      </c>
      <c r="F25" s="89" t="s">
        <v>1499</v>
      </c>
      <c r="G25" s="89" t="s">
        <v>904</v>
      </c>
      <c r="H25" s="89"/>
      <c r="I25" s="9"/>
      <c r="J25" s="9"/>
      <c r="K25" s="9"/>
      <c r="AB25" s="26">
        <f t="shared" si="0"/>
        <v>0</v>
      </c>
      <c r="AC25" s="26">
        <f t="shared" si="1"/>
        <v>0</v>
      </c>
      <c r="AD25" s="26">
        <f t="shared" si="2"/>
        <v>0</v>
      </c>
      <c r="AE25" s="26">
        <f t="shared" si="3"/>
        <v>0</v>
      </c>
      <c r="AF25" s="26">
        <f t="shared" si="4"/>
        <v>0</v>
      </c>
      <c r="AG25" s="26">
        <f t="shared" si="5"/>
        <v>0</v>
      </c>
    </row>
    <row r="26" spans="1:33" ht="25.5" x14ac:dyDescent="0.2">
      <c r="A26" s="89" t="s">
        <v>868</v>
      </c>
      <c r="B26" s="89" t="s">
        <v>84</v>
      </c>
      <c r="C26" s="89"/>
      <c r="D26" s="89" t="s">
        <v>612</v>
      </c>
      <c r="E26" s="89" t="s">
        <v>309</v>
      </c>
      <c r="F26" s="89" t="s">
        <v>1455</v>
      </c>
      <c r="G26" s="89"/>
      <c r="H26" s="89"/>
      <c r="I26" s="9"/>
      <c r="J26" s="9"/>
      <c r="K26" s="9"/>
      <c r="AB26" s="26">
        <f t="shared" si="0"/>
        <v>0</v>
      </c>
      <c r="AC26" s="26">
        <f t="shared" si="1"/>
        <v>0</v>
      </c>
      <c r="AD26" s="26">
        <f t="shared" si="2"/>
        <v>0</v>
      </c>
      <c r="AE26" s="26">
        <f t="shared" si="3"/>
        <v>0</v>
      </c>
      <c r="AF26" s="26">
        <f t="shared" si="4"/>
        <v>0</v>
      </c>
      <c r="AG26" s="26">
        <f t="shared" si="5"/>
        <v>1</v>
      </c>
    </row>
    <row r="27" spans="1:33" customFormat="1" ht="25.5" hidden="1" x14ac:dyDescent="0.25">
      <c r="A27" s="89" t="s">
        <v>868</v>
      </c>
      <c r="B27" s="89" t="s">
        <v>84</v>
      </c>
      <c r="C27" s="89"/>
      <c r="D27" s="89" t="s">
        <v>606</v>
      </c>
      <c r="E27" s="89" t="s">
        <v>8</v>
      </c>
      <c r="F27" s="89" t="s">
        <v>464</v>
      </c>
      <c r="G27" s="89"/>
      <c r="H27" s="89"/>
      <c r="I27" s="9"/>
      <c r="J27" s="9"/>
      <c r="K27" s="9"/>
      <c r="AB27" s="26">
        <f t="shared" si="0"/>
        <v>0</v>
      </c>
      <c r="AC27" s="26">
        <f t="shared" si="1"/>
        <v>0</v>
      </c>
      <c r="AD27" s="26">
        <f t="shared" si="2"/>
        <v>0</v>
      </c>
      <c r="AE27" s="26">
        <f t="shared" si="3"/>
        <v>0</v>
      </c>
      <c r="AF27" s="26">
        <f t="shared" si="4"/>
        <v>0</v>
      </c>
      <c r="AG27" s="26">
        <f t="shared" si="5"/>
        <v>0</v>
      </c>
    </row>
    <row r="28" spans="1:33" customFormat="1" ht="25.5" x14ac:dyDescent="0.25">
      <c r="A28" s="89" t="s">
        <v>867</v>
      </c>
      <c r="B28" s="89" t="s">
        <v>84</v>
      </c>
      <c r="C28" s="89"/>
      <c r="D28" s="89" t="s">
        <v>612</v>
      </c>
      <c r="E28" s="89" t="s">
        <v>330</v>
      </c>
      <c r="F28" s="89" t="s">
        <v>1468</v>
      </c>
      <c r="G28" s="89"/>
      <c r="H28" s="89"/>
      <c r="I28" s="9"/>
      <c r="J28" s="9"/>
      <c r="K28" s="9"/>
      <c r="AB28" s="26">
        <f t="shared" si="0"/>
        <v>0</v>
      </c>
      <c r="AC28" s="26">
        <f t="shared" si="1"/>
        <v>0</v>
      </c>
      <c r="AD28" s="26">
        <f t="shared" si="2"/>
        <v>0</v>
      </c>
      <c r="AE28" s="26">
        <f t="shared" si="3"/>
        <v>0</v>
      </c>
      <c r="AF28" s="26">
        <f t="shared" si="4"/>
        <v>0</v>
      </c>
      <c r="AG28" s="26">
        <f t="shared" si="5"/>
        <v>1</v>
      </c>
    </row>
    <row r="29" spans="1:33" customFormat="1" ht="38.25" hidden="1" x14ac:dyDescent="0.25">
      <c r="A29" s="89" t="s">
        <v>867</v>
      </c>
      <c r="B29" s="89" t="s">
        <v>84</v>
      </c>
      <c r="C29" s="89"/>
      <c r="D29" s="89" t="s">
        <v>601</v>
      </c>
      <c r="E29" s="89" t="s">
        <v>0</v>
      </c>
      <c r="F29" s="89" t="s">
        <v>1507</v>
      </c>
      <c r="G29" s="89" t="s">
        <v>923</v>
      </c>
      <c r="H29" s="89"/>
      <c r="I29" s="9"/>
      <c r="J29" s="9"/>
      <c r="K29" s="9"/>
      <c r="AB29" s="26">
        <f t="shared" si="0"/>
        <v>0</v>
      </c>
      <c r="AC29" s="26">
        <f t="shared" si="1"/>
        <v>0</v>
      </c>
      <c r="AD29" s="26">
        <f t="shared" si="2"/>
        <v>0</v>
      </c>
      <c r="AE29" s="26">
        <f t="shared" si="3"/>
        <v>0</v>
      </c>
      <c r="AF29" s="26">
        <f t="shared" si="4"/>
        <v>0</v>
      </c>
      <c r="AG29" s="26">
        <f t="shared" si="5"/>
        <v>0</v>
      </c>
    </row>
    <row r="30" spans="1:33" customFormat="1" ht="140.25" hidden="1" x14ac:dyDescent="0.25">
      <c r="A30" s="89" t="s">
        <v>867</v>
      </c>
      <c r="B30" s="89" t="s">
        <v>84</v>
      </c>
      <c r="C30" s="89"/>
      <c r="D30" s="89" t="s">
        <v>602</v>
      </c>
      <c r="E30" s="89" t="s">
        <v>0</v>
      </c>
      <c r="F30" s="89" t="s">
        <v>1733</v>
      </c>
      <c r="G30" s="89" t="s">
        <v>1470</v>
      </c>
      <c r="H30" s="89"/>
      <c r="I30" s="9"/>
      <c r="J30" s="9"/>
      <c r="K30" s="9"/>
      <c r="AB30" s="26">
        <f t="shared" si="0"/>
        <v>0</v>
      </c>
      <c r="AC30" s="26">
        <f t="shared" si="1"/>
        <v>0</v>
      </c>
      <c r="AD30" s="26">
        <f t="shared" si="2"/>
        <v>0</v>
      </c>
      <c r="AE30" s="26">
        <f t="shared" si="3"/>
        <v>0</v>
      </c>
      <c r="AF30" s="26">
        <f t="shared" si="4"/>
        <v>0</v>
      </c>
      <c r="AG30" s="26">
        <f t="shared" si="5"/>
        <v>0</v>
      </c>
    </row>
    <row r="31" spans="1:33" customFormat="1" ht="140.25" hidden="1" x14ac:dyDescent="0.25">
      <c r="A31" s="89" t="s">
        <v>867</v>
      </c>
      <c r="B31" s="89" t="s">
        <v>84</v>
      </c>
      <c r="C31" s="89"/>
      <c r="D31" s="89" t="s">
        <v>603</v>
      </c>
      <c r="E31" s="89" t="s">
        <v>0</v>
      </c>
      <c r="F31" s="89" t="s">
        <v>1735</v>
      </c>
      <c r="G31" s="89" t="s">
        <v>932</v>
      </c>
      <c r="H31" s="89"/>
      <c r="I31" s="9"/>
      <c r="J31" s="9"/>
      <c r="K31" s="9"/>
      <c r="AB31" s="26">
        <f t="shared" si="0"/>
        <v>0</v>
      </c>
      <c r="AC31" s="26">
        <f t="shared" si="1"/>
        <v>0</v>
      </c>
      <c r="AD31" s="26">
        <f t="shared" si="2"/>
        <v>0</v>
      </c>
      <c r="AE31" s="26">
        <f t="shared" si="3"/>
        <v>0</v>
      </c>
      <c r="AF31" s="26">
        <f t="shared" si="4"/>
        <v>0</v>
      </c>
      <c r="AG31" s="26">
        <f t="shared" si="5"/>
        <v>0</v>
      </c>
    </row>
    <row r="32" spans="1:33" customFormat="1" ht="127.5" hidden="1" x14ac:dyDescent="0.25">
      <c r="A32" s="89" t="s">
        <v>867</v>
      </c>
      <c r="B32" s="89" t="s">
        <v>84</v>
      </c>
      <c r="C32" s="89"/>
      <c r="D32" s="89" t="s">
        <v>604</v>
      </c>
      <c r="E32" s="89" t="s">
        <v>0</v>
      </c>
      <c r="F32" s="89" t="s">
        <v>1509</v>
      </c>
      <c r="G32" s="89" t="s">
        <v>937</v>
      </c>
      <c r="H32" s="89"/>
      <c r="I32" s="9"/>
      <c r="J32" s="9"/>
      <c r="K32" s="9"/>
      <c r="AB32" s="26">
        <f t="shared" si="0"/>
        <v>0</v>
      </c>
      <c r="AC32" s="26">
        <f t="shared" si="1"/>
        <v>0</v>
      </c>
      <c r="AD32" s="26">
        <f t="shared" si="2"/>
        <v>0</v>
      </c>
      <c r="AE32" s="26">
        <f t="shared" si="3"/>
        <v>0</v>
      </c>
      <c r="AF32" s="26">
        <f t="shared" si="4"/>
        <v>0</v>
      </c>
      <c r="AG32" s="26">
        <f t="shared" si="5"/>
        <v>0</v>
      </c>
    </row>
    <row r="33" spans="1:33" customFormat="1" ht="15" x14ac:dyDescent="0.25">
      <c r="A33" s="89" t="s">
        <v>867</v>
      </c>
      <c r="B33" s="89" t="s">
        <v>90</v>
      </c>
      <c r="C33" s="89"/>
      <c r="D33" s="89" t="s">
        <v>612</v>
      </c>
      <c r="E33" s="89" t="s">
        <v>309</v>
      </c>
      <c r="F33" s="89" t="s">
        <v>392</v>
      </c>
      <c r="G33" s="89"/>
      <c r="H33" s="89"/>
      <c r="I33" s="9"/>
      <c r="J33" s="9"/>
      <c r="K33" s="9"/>
      <c r="AB33" s="26">
        <f t="shared" si="0"/>
        <v>0</v>
      </c>
      <c r="AC33" s="26">
        <f t="shared" si="1"/>
        <v>0</v>
      </c>
      <c r="AD33" s="26">
        <f t="shared" si="2"/>
        <v>0</v>
      </c>
      <c r="AE33" s="26">
        <f t="shared" si="3"/>
        <v>0</v>
      </c>
      <c r="AF33" s="26">
        <f t="shared" si="4"/>
        <v>0</v>
      </c>
      <c r="AG33" s="26">
        <f t="shared" si="5"/>
        <v>1</v>
      </c>
    </row>
    <row r="34" spans="1:33" customFormat="1" ht="165.75" hidden="1" x14ac:dyDescent="0.25">
      <c r="A34" s="89" t="s">
        <v>868</v>
      </c>
      <c r="B34" s="89" t="s">
        <v>90</v>
      </c>
      <c r="C34" s="89"/>
      <c r="D34" s="89" t="s">
        <v>601</v>
      </c>
      <c r="E34" s="89" t="s">
        <v>8</v>
      </c>
      <c r="F34" s="89" t="s">
        <v>661</v>
      </c>
      <c r="G34" s="89"/>
      <c r="H34" s="89"/>
      <c r="I34" s="9"/>
      <c r="J34" s="9"/>
      <c r="K34" s="9"/>
      <c r="AB34" s="26">
        <f t="shared" si="0"/>
        <v>0</v>
      </c>
      <c r="AC34" s="26">
        <f t="shared" si="1"/>
        <v>0</v>
      </c>
      <c r="AD34" s="26">
        <f t="shared" si="2"/>
        <v>0</v>
      </c>
      <c r="AE34" s="26">
        <f t="shared" si="3"/>
        <v>0</v>
      </c>
      <c r="AF34" s="26">
        <f t="shared" si="4"/>
        <v>0</v>
      </c>
      <c r="AG34" s="26">
        <f t="shared" si="5"/>
        <v>0</v>
      </c>
    </row>
    <row r="35" spans="1:33" customFormat="1" ht="38.25" hidden="1" x14ac:dyDescent="0.25">
      <c r="A35" s="89" t="s">
        <v>868</v>
      </c>
      <c r="B35" s="89" t="s">
        <v>90</v>
      </c>
      <c r="C35" s="89"/>
      <c r="D35" s="89" t="s">
        <v>602</v>
      </c>
      <c r="E35" s="89" t="s">
        <v>8</v>
      </c>
      <c r="F35" s="89" t="s">
        <v>467</v>
      </c>
      <c r="G35" s="89"/>
      <c r="H35" s="89"/>
      <c r="I35" s="9"/>
      <c r="J35" s="9"/>
      <c r="K35" s="9"/>
      <c r="AB35" s="26">
        <f t="shared" si="0"/>
        <v>0</v>
      </c>
      <c r="AC35" s="26">
        <f t="shared" si="1"/>
        <v>0</v>
      </c>
      <c r="AD35" s="26">
        <f t="shared" si="2"/>
        <v>0</v>
      </c>
      <c r="AE35" s="26">
        <f t="shared" si="3"/>
        <v>0</v>
      </c>
      <c r="AF35" s="26">
        <f t="shared" si="4"/>
        <v>0</v>
      </c>
      <c r="AG35" s="26">
        <f t="shared" si="5"/>
        <v>0</v>
      </c>
    </row>
    <row r="36" spans="1:33" customFormat="1" ht="38.25" hidden="1" x14ac:dyDescent="0.25">
      <c r="A36" s="89" t="s">
        <v>867</v>
      </c>
      <c r="B36" s="89" t="s">
        <v>90</v>
      </c>
      <c r="C36" s="89"/>
      <c r="D36" s="89" t="s">
        <v>601</v>
      </c>
      <c r="E36" s="89" t="s">
        <v>0</v>
      </c>
      <c r="F36" s="89" t="s">
        <v>1511</v>
      </c>
      <c r="G36" s="89" t="s">
        <v>694</v>
      </c>
      <c r="H36" s="89"/>
      <c r="I36" s="9"/>
      <c r="J36" s="9"/>
      <c r="K36" s="9"/>
      <c r="AB36" s="26">
        <f t="shared" si="0"/>
        <v>0</v>
      </c>
      <c r="AC36" s="26">
        <f t="shared" si="1"/>
        <v>0</v>
      </c>
      <c r="AD36" s="26">
        <f t="shared" si="2"/>
        <v>0</v>
      </c>
      <c r="AE36" s="26">
        <f t="shared" si="3"/>
        <v>0</v>
      </c>
      <c r="AF36" s="26">
        <f t="shared" si="4"/>
        <v>0</v>
      </c>
      <c r="AG36" s="26">
        <f t="shared" si="5"/>
        <v>0</v>
      </c>
    </row>
    <row r="37" spans="1:33" customFormat="1" ht="63.75" hidden="1" x14ac:dyDescent="0.25">
      <c r="A37" s="89" t="s">
        <v>867</v>
      </c>
      <c r="B37" s="89" t="s">
        <v>90</v>
      </c>
      <c r="C37" s="89"/>
      <c r="D37" s="89" t="s">
        <v>602</v>
      </c>
      <c r="E37" s="89" t="s">
        <v>0</v>
      </c>
      <c r="F37" s="89" t="s">
        <v>1513</v>
      </c>
      <c r="G37" s="89" t="s">
        <v>696</v>
      </c>
      <c r="H37" s="89"/>
      <c r="I37" s="9"/>
      <c r="J37" s="9"/>
      <c r="K37" s="9"/>
      <c r="AB37" s="26">
        <f t="shared" si="0"/>
        <v>0</v>
      </c>
      <c r="AC37" s="26">
        <f t="shared" si="1"/>
        <v>0</v>
      </c>
      <c r="AD37" s="26">
        <f t="shared" si="2"/>
        <v>0</v>
      </c>
      <c r="AE37" s="26">
        <f t="shared" si="3"/>
        <v>0</v>
      </c>
      <c r="AF37" s="26">
        <f t="shared" si="4"/>
        <v>0</v>
      </c>
      <c r="AG37" s="26">
        <f t="shared" si="5"/>
        <v>0</v>
      </c>
    </row>
    <row r="38" spans="1:33" ht="25.5" hidden="1" x14ac:dyDescent="0.2">
      <c r="A38" s="89" t="s">
        <v>867</v>
      </c>
      <c r="B38" s="89" t="s">
        <v>90</v>
      </c>
      <c r="C38" s="89"/>
      <c r="D38" s="89" t="s">
        <v>603</v>
      </c>
      <c r="E38" s="89" t="s">
        <v>0</v>
      </c>
      <c r="F38" s="89" t="s">
        <v>1515</v>
      </c>
      <c r="G38" s="89" t="s">
        <v>697</v>
      </c>
      <c r="H38" s="89"/>
      <c r="I38" s="9"/>
      <c r="J38" s="9"/>
      <c r="K38" s="9"/>
      <c r="AB38" s="26">
        <f t="shared" si="0"/>
        <v>0</v>
      </c>
      <c r="AC38" s="26">
        <f t="shared" si="1"/>
        <v>0</v>
      </c>
      <c r="AD38" s="26">
        <f t="shared" si="2"/>
        <v>0</v>
      </c>
      <c r="AE38" s="26">
        <f t="shared" si="3"/>
        <v>0</v>
      </c>
      <c r="AF38" s="26">
        <f t="shared" si="4"/>
        <v>0</v>
      </c>
      <c r="AG38" s="26">
        <f t="shared" si="5"/>
        <v>0</v>
      </c>
    </row>
    <row r="39" spans="1:33" customFormat="1" ht="51" hidden="1" x14ac:dyDescent="0.25">
      <c r="A39" s="89" t="s">
        <v>867</v>
      </c>
      <c r="B39" s="89" t="s">
        <v>90</v>
      </c>
      <c r="C39" s="89"/>
      <c r="D39" s="89" t="s">
        <v>604</v>
      </c>
      <c r="E39" s="89" t="s">
        <v>0</v>
      </c>
      <c r="F39" s="89" t="s">
        <v>1517</v>
      </c>
      <c r="G39" s="89" t="s">
        <v>698</v>
      </c>
      <c r="H39" s="89"/>
      <c r="I39" s="9"/>
      <c r="J39" s="9"/>
      <c r="K39" s="9"/>
      <c r="AB39" s="26">
        <f t="shared" si="0"/>
        <v>0</v>
      </c>
      <c r="AC39" s="26">
        <f t="shared" si="1"/>
        <v>0</v>
      </c>
      <c r="AD39" s="26">
        <f t="shared" si="2"/>
        <v>0</v>
      </c>
      <c r="AE39" s="26">
        <f t="shared" si="3"/>
        <v>0</v>
      </c>
      <c r="AF39" s="26">
        <f t="shared" si="4"/>
        <v>0</v>
      </c>
      <c r="AG39" s="26">
        <f t="shared" si="5"/>
        <v>0</v>
      </c>
    </row>
    <row r="40" spans="1:33" customFormat="1" ht="114.75" hidden="1" x14ac:dyDescent="0.25">
      <c r="A40" s="89" t="s">
        <v>867</v>
      </c>
      <c r="B40" s="89" t="s">
        <v>90</v>
      </c>
      <c r="C40" s="89"/>
      <c r="D40" s="89" t="s">
        <v>605</v>
      </c>
      <c r="E40" s="89" t="s">
        <v>0</v>
      </c>
      <c r="F40" s="89" t="s">
        <v>1519</v>
      </c>
      <c r="G40" s="89" t="s">
        <v>700</v>
      </c>
      <c r="H40" s="89"/>
      <c r="I40" s="9"/>
      <c r="J40" s="9"/>
      <c r="K40" s="9"/>
      <c r="AB40" s="26">
        <f t="shared" si="0"/>
        <v>0</v>
      </c>
      <c r="AC40" s="26">
        <f t="shared" si="1"/>
        <v>0</v>
      </c>
      <c r="AD40" s="26">
        <f t="shared" si="2"/>
        <v>0</v>
      </c>
      <c r="AE40" s="26">
        <f t="shared" si="3"/>
        <v>0</v>
      </c>
      <c r="AF40" s="26">
        <f t="shared" si="4"/>
        <v>0</v>
      </c>
      <c r="AG40" s="26">
        <f t="shared" si="5"/>
        <v>0</v>
      </c>
    </row>
    <row r="41" spans="1:33" customFormat="1" ht="51" hidden="1" x14ac:dyDescent="0.25">
      <c r="A41" s="89" t="s">
        <v>867</v>
      </c>
      <c r="B41" s="89" t="s">
        <v>90</v>
      </c>
      <c r="C41" s="89"/>
      <c r="D41" s="89" t="s">
        <v>606</v>
      </c>
      <c r="E41" s="89" t="s">
        <v>0</v>
      </c>
      <c r="F41" s="89" t="s">
        <v>1521</v>
      </c>
      <c r="G41" s="89" t="s">
        <v>701</v>
      </c>
      <c r="H41" s="89"/>
      <c r="I41" s="9"/>
      <c r="J41" s="9"/>
      <c r="K41" s="9"/>
      <c r="AB41" s="26">
        <f t="shared" si="0"/>
        <v>0</v>
      </c>
      <c r="AC41" s="26">
        <f t="shared" si="1"/>
        <v>0</v>
      </c>
      <c r="AD41" s="26">
        <f t="shared" si="2"/>
        <v>0</v>
      </c>
      <c r="AE41" s="26">
        <f t="shared" si="3"/>
        <v>0</v>
      </c>
      <c r="AF41" s="26">
        <f t="shared" si="4"/>
        <v>0</v>
      </c>
      <c r="AG41" s="26">
        <f t="shared" si="5"/>
        <v>0</v>
      </c>
    </row>
    <row r="42" spans="1:33" customFormat="1" ht="38.25" hidden="1" x14ac:dyDescent="0.25">
      <c r="A42" s="89" t="s">
        <v>867</v>
      </c>
      <c r="B42" s="89" t="s">
        <v>90</v>
      </c>
      <c r="C42" s="89"/>
      <c r="D42" s="89" t="s">
        <v>608</v>
      </c>
      <c r="E42" s="89" t="s">
        <v>0</v>
      </c>
      <c r="F42" s="89" t="s">
        <v>1523</v>
      </c>
      <c r="G42" s="89" t="s">
        <v>703</v>
      </c>
      <c r="H42" s="89"/>
      <c r="I42" s="9"/>
      <c r="J42" s="9"/>
      <c r="K42" s="9"/>
      <c r="AB42" s="26">
        <f t="shared" si="0"/>
        <v>0</v>
      </c>
      <c r="AC42" s="26">
        <f t="shared" si="1"/>
        <v>0</v>
      </c>
      <c r="AD42" s="26">
        <f t="shared" si="2"/>
        <v>0</v>
      </c>
      <c r="AE42" s="26">
        <f t="shared" si="3"/>
        <v>0</v>
      </c>
      <c r="AF42" s="26">
        <f t="shared" si="4"/>
        <v>0</v>
      </c>
      <c r="AG42" s="26">
        <f t="shared" si="5"/>
        <v>0</v>
      </c>
    </row>
    <row r="43" spans="1:33" x14ac:dyDescent="0.2">
      <c r="A43" s="89" t="s">
        <v>868</v>
      </c>
      <c r="B43" s="89" t="s">
        <v>94</v>
      </c>
      <c r="C43" s="89"/>
      <c r="D43" s="89" t="s">
        <v>612</v>
      </c>
      <c r="E43" s="89" t="s">
        <v>309</v>
      </c>
      <c r="F43" s="89" t="s">
        <v>97</v>
      </c>
      <c r="G43" s="89"/>
      <c r="H43" s="89"/>
      <c r="I43" s="9"/>
      <c r="J43" s="9"/>
      <c r="K43" s="9"/>
      <c r="AB43" s="26">
        <f t="shared" si="0"/>
        <v>0</v>
      </c>
      <c r="AC43" s="26">
        <f t="shared" si="1"/>
        <v>0</v>
      </c>
      <c r="AD43" s="26">
        <f t="shared" si="2"/>
        <v>0</v>
      </c>
      <c r="AE43" s="26">
        <f t="shared" si="3"/>
        <v>0</v>
      </c>
      <c r="AF43" s="26">
        <f t="shared" si="4"/>
        <v>0</v>
      </c>
      <c r="AG43" s="26">
        <f t="shared" si="5"/>
        <v>1</v>
      </c>
    </row>
    <row r="44" spans="1:33" customFormat="1" ht="38.25" hidden="1" x14ac:dyDescent="0.25">
      <c r="A44" s="89" t="s">
        <v>868</v>
      </c>
      <c r="B44" s="89" t="s">
        <v>94</v>
      </c>
      <c r="C44" s="89"/>
      <c r="D44" s="89" t="s">
        <v>601</v>
      </c>
      <c r="E44" s="89" t="s">
        <v>8</v>
      </c>
      <c r="F44" s="89" t="s">
        <v>469</v>
      </c>
      <c r="G44" s="89"/>
      <c r="H44" s="89"/>
      <c r="I44" s="9"/>
      <c r="J44" s="9"/>
      <c r="K44" s="9"/>
      <c r="AB44" s="26">
        <f t="shared" si="0"/>
        <v>0</v>
      </c>
      <c r="AC44" s="26">
        <f t="shared" si="1"/>
        <v>0</v>
      </c>
      <c r="AD44" s="26">
        <f t="shared" si="2"/>
        <v>0</v>
      </c>
      <c r="AE44" s="26">
        <f t="shared" si="3"/>
        <v>0</v>
      </c>
      <c r="AF44" s="26">
        <f t="shared" si="4"/>
        <v>0</v>
      </c>
      <c r="AG44" s="26">
        <f t="shared" si="5"/>
        <v>0</v>
      </c>
    </row>
    <row r="45" spans="1:33" customFormat="1" ht="63.75" hidden="1" x14ac:dyDescent="0.25">
      <c r="A45" s="89" t="s">
        <v>868</v>
      </c>
      <c r="B45" s="89" t="s">
        <v>94</v>
      </c>
      <c r="C45" s="89"/>
      <c r="D45" s="89" t="s">
        <v>602</v>
      </c>
      <c r="E45" s="89" t="s">
        <v>8</v>
      </c>
      <c r="F45" s="89" t="s">
        <v>471</v>
      </c>
      <c r="G45" s="89"/>
      <c r="H45" s="89"/>
      <c r="I45" s="9"/>
      <c r="J45" s="9"/>
      <c r="K45" s="9"/>
      <c r="AB45" s="26">
        <f t="shared" si="0"/>
        <v>0</v>
      </c>
      <c r="AC45" s="26">
        <f t="shared" si="1"/>
        <v>0</v>
      </c>
      <c r="AD45" s="26">
        <f t="shared" si="2"/>
        <v>0</v>
      </c>
      <c r="AE45" s="26">
        <f t="shared" si="3"/>
        <v>0</v>
      </c>
      <c r="AF45" s="26">
        <f t="shared" si="4"/>
        <v>0</v>
      </c>
      <c r="AG45" s="26">
        <f t="shared" si="5"/>
        <v>0</v>
      </c>
    </row>
    <row r="46" spans="1:33" customFormat="1" ht="25.5" hidden="1" x14ac:dyDescent="0.25">
      <c r="A46" s="89" t="s">
        <v>868</v>
      </c>
      <c r="B46" s="89" t="s">
        <v>94</v>
      </c>
      <c r="C46" s="89"/>
      <c r="D46" s="89" t="s">
        <v>603</v>
      </c>
      <c r="E46" s="89" t="s">
        <v>8</v>
      </c>
      <c r="F46" s="89" t="s">
        <v>95</v>
      </c>
      <c r="G46" s="89"/>
      <c r="H46" s="89"/>
      <c r="I46" s="9"/>
      <c r="J46" s="9"/>
      <c r="K46" s="9"/>
      <c r="AB46" s="26">
        <f t="shared" si="0"/>
        <v>0</v>
      </c>
      <c r="AC46" s="26">
        <f t="shared" si="1"/>
        <v>0</v>
      </c>
      <c r="AD46" s="26">
        <f t="shared" si="2"/>
        <v>0</v>
      </c>
      <c r="AE46" s="26">
        <f t="shared" si="3"/>
        <v>0</v>
      </c>
      <c r="AF46" s="26">
        <f t="shared" si="4"/>
        <v>0</v>
      </c>
      <c r="AG46" s="26">
        <f t="shared" si="5"/>
        <v>0</v>
      </c>
    </row>
    <row r="47" spans="1:33" customFormat="1" ht="15" x14ac:dyDescent="0.25">
      <c r="A47" s="89" t="s">
        <v>867</v>
      </c>
      <c r="B47" s="89" t="s">
        <v>103</v>
      </c>
      <c r="C47" s="89"/>
      <c r="D47" s="89" t="s">
        <v>612</v>
      </c>
      <c r="E47" s="89" t="s">
        <v>330</v>
      </c>
      <c r="F47" s="89" t="s">
        <v>669</v>
      </c>
      <c r="G47" s="89"/>
      <c r="H47" s="89"/>
      <c r="I47" s="9"/>
      <c r="J47" s="9"/>
      <c r="K47" s="9"/>
      <c r="AB47" s="26">
        <f t="shared" si="0"/>
        <v>0</v>
      </c>
      <c r="AC47" s="26">
        <f t="shared" si="1"/>
        <v>0</v>
      </c>
      <c r="AD47" s="26">
        <f t="shared" si="2"/>
        <v>0</v>
      </c>
      <c r="AE47" s="26">
        <f t="shared" si="3"/>
        <v>0</v>
      </c>
      <c r="AF47" s="26">
        <f t="shared" si="4"/>
        <v>0</v>
      </c>
      <c r="AG47" s="26">
        <f t="shared" si="5"/>
        <v>1</v>
      </c>
    </row>
    <row r="48" spans="1:33" customFormat="1" ht="89.25" hidden="1" x14ac:dyDescent="0.25">
      <c r="A48" s="89" t="s">
        <v>867</v>
      </c>
      <c r="B48" s="89" t="s">
        <v>103</v>
      </c>
      <c r="C48" s="89"/>
      <c r="D48" s="89" t="s">
        <v>601</v>
      </c>
      <c r="E48" s="89" t="s">
        <v>0</v>
      </c>
      <c r="F48" s="89" t="s">
        <v>1531</v>
      </c>
      <c r="G48" s="89" t="s">
        <v>710</v>
      </c>
      <c r="H48" s="89"/>
      <c r="I48" s="9"/>
      <c r="J48" s="9"/>
      <c r="K48" s="9"/>
      <c r="AB48" s="26">
        <f t="shared" si="0"/>
        <v>0</v>
      </c>
      <c r="AC48" s="26">
        <f t="shared" si="1"/>
        <v>0</v>
      </c>
      <c r="AD48" s="26">
        <f t="shared" si="2"/>
        <v>0</v>
      </c>
      <c r="AE48" s="26">
        <f t="shared" si="3"/>
        <v>0</v>
      </c>
      <c r="AF48" s="26">
        <f t="shared" si="4"/>
        <v>0</v>
      </c>
      <c r="AG48" s="26">
        <f t="shared" si="5"/>
        <v>0</v>
      </c>
    </row>
    <row r="49" spans="1:33" customFormat="1" ht="25.5" hidden="1" x14ac:dyDescent="0.25">
      <c r="A49" s="89" t="s">
        <v>867</v>
      </c>
      <c r="B49" s="89" t="s">
        <v>103</v>
      </c>
      <c r="C49" s="89"/>
      <c r="D49" s="89" t="s">
        <v>602</v>
      </c>
      <c r="E49" s="89" t="s">
        <v>0</v>
      </c>
      <c r="F49" s="89" t="s">
        <v>1533</v>
      </c>
      <c r="G49" s="89" t="s">
        <v>991</v>
      </c>
      <c r="H49" s="89"/>
      <c r="I49" s="9"/>
      <c r="J49" s="9"/>
      <c r="K49" s="9"/>
      <c r="AB49" s="26">
        <f t="shared" si="0"/>
        <v>0</v>
      </c>
      <c r="AC49" s="26">
        <f t="shared" si="1"/>
        <v>0</v>
      </c>
      <c r="AD49" s="26">
        <f t="shared" si="2"/>
        <v>0</v>
      </c>
      <c r="AE49" s="26">
        <f t="shared" si="3"/>
        <v>0</v>
      </c>
      <c r="AF49" s="26">
        <f t="shared" si="4"/>
        <v>0</v>
      </c>
      <c r="AG49" s="26">
        <f t="shared" si="5"/>
        <v>0</v>
      </c>
    </row>
    <row r="50" spans="1:33" customFormat="1" ht="38.25" hidden="1" x14ac:dyDescent="0.25">
      <c r="A50" s="89" t="s">
        <v>867</v>
      </c>
      <c r="B50" s="89" t="s">
        <v>103</v>
      </c>
      <c r="C50" s="89"/>
      <c r="D50" s="89" t="s">
        <v>603</v>
      </c>
      <c r="E50" s="89" t="s">
        <v>0</v>
      </c>
      <c r="F50" s="89" t="s">
        <v>1535</v>
      </c>
      <c r="G50" s="89" t="s">
        <v>712</v>
      </c>
      <c r="H50" s="89"/>
      <c r="I50" s="9"/>
      <c r="J50" s="9"/>
      <c r="K50" s="9"/>
      <c r="AB50" s="26">
        <f t="shared" si="0"/>
        <v>0</v>
      </c>
      <c r="AC50" s="26">
        <f t="shared" si="1"/>
        <v>0</v>
      </c>
      <c r="AD50" s="26">
        <f t="shared" si="2"/>
        <v>0</v>
      </c>
      <c r="AE50" s="26">
        <f t="shared" si="3"/>
        <v>0</v>
      </c>
      <c r="AF50" s="26">
        <f t="shared" si="4"/>
        <v>0</v>
      </c>
      <c r="AG50" s="26">
        <f t="shared" si="5"/>
        <v>0</v>
      </c>
    </row>
    <row r="51" spans="1:33" customFormat="1" ht="153" hidden="1" x14ac:dyDescent="0.25">
      <c r="A51" s="89" t="s">
        <v>867</v>
      </c>
      <c r="B51" s="89" t="s">
        <v>103</v>
      </c>
      <c r="C51" s="89"/>
      <c r="D51" s="89" t="s">
        <v>604</v>
      </c>
      <c r="E51" s="89" t="s">
        <v>0</v>
      </c>
      <c r="F51" s="89" t="s">
        <v>1537</v>
      </c>
      <c r="G51" s="89" t="s">
        <v>714</v>
      </c>
      <c r="H51" s="89"/>
      <c r="I51" s="9"/>
      <c r="J51" s="9"/>
      <c r="K51" s="9"/>
      <c r="AB51" s="26">
        <f t="shared" si="0"/>
        <v>0</v>
      </c>
      <c r="AC51" s="26">
        <f t="shared" si="1"/>
        <v>0</v>
      </c>
      <c r="AD51" s="26">
        <f t="shared" si="2"/>
        <v>0</v>
      </c>
      <c r="AE51" s="26">
        <f t="shared" si="3"/>
        <v>0</v>
      </c>
      <c r="AF51" s="26">
        <f t="shared" si="4"/>
        <v>0</v>
      </c>
      <c r="AG51" s="26">
        <f t="shared" si="5"/>
        <v>0</v>
      </c>
    </row>
    <row r="52" spans="1:33" ht="38.25" hidden="1" x14ac:dyDescent="0.2">
      <c r="A52" s="89" t="s">
        <v>867</v>
      </c>
      <c r="B52" s="89" t="s">
        <v>103</v>
      </c>
      <c r="C52" s="89"/>
      <c r="D52" s="89" t="s">
        <v>606</v>
      </c>
      <c r="E52" s="89" t="s">
        <v>0</v>
      </c>
      <c r="F52" s="89" t="s">
        <v>1539</v>
      </c>
      <c r="G52" s="89" t="s">
        <v>715</v>
      </c>
      <c r="H52" s="89"/>
      <c r="I52" s="9"/>
      <c r="J52" s="9"/>
      <c r="K52" s="9"/>
      <c r="AB52" s="26">
        <f t="shared" si="0"/>
        <v>0</v>
      </c>
      <c r="AC52" s="26">
        <f t="shared" si="1"/>
        <v>0</v>
      </c>
      <c r="AD52" s="26">
        <f t="shared" si="2"/>
        <v>0</v>
      </c>
      <c r="AE52" s="26">
        <f t="shared" si="3"/>
        <v>0</v>
      </c>
      <c r="AF52" s="26">
        <f t="shared" si="4"/>
        <v>0</v>
      </c>
      <c r="AG52" s="26">
        <f t="shared" si="5"/>
        <v>0</v>
      </c>
    </row>
    <row r="53" spans="1:33" hidden="1" x14ac:dyDescent="0.2">
      <c r="A53" s="89" t="s">
        <v>867</v>
      </c>
      <c r="B53" s="89" t="s">
        <v>103</v>
      </c>
      <c r="C53" s="89"/>
      <c r="D53" s="89" t="s">
        <v>608</v>
      </c>
      <c r="E53" s="89" t="s">
        <v>0</v>
      </c>
      <c r="F53" s="89" t="s">
        <v>1541</v>
      </c>
      <c r="G53" s="89" t="s">
        <v>717</v>
      </c>
      <c r="H53" s="89"/>
      <c r="I53" s="9"/>
      <c r="J53" s="9"/>
      <c r="K53" s="9"/>
      <c r="AB53" s="26">
        <f t="shared" si="0"/>
        <v>0</v>
      </c>
      <c r="AC53" s="26">
        <f t="shared" si="1"/>
        <v>0</v>
      </c>
      <c r="AD53" s="26">
        <f t="shared" si="2"/>
        <v>0</v>
      </c>
      <c r="AE53" s="26">
        <f t="shared" si="3"/>
        <v>0</v>
      </c>
      <c r="AF53" s="26">
        <f t="shared" si="4"/>
        <v>0</v>
      </c>
      <c r="AG53" s="26">
        <f t="shared" si="5"/>
        <v>0</v>
      </c>
    </row>
    <row r="54" spans="1:33" customFormat="1" ht="38.25" hidden="1" x14ac:dyDescent="0.25">
      <c r="A54" s="89" t="s">
        <v>867</v>
      </c>
      <c r="B54" s="89" t="s">
        <v>103</v>
      </c>
      <c r="C54" s="89"/>
      <c r="D54" s="89" t="s">
        <v>609</v>
      </c>
      <c r="E54" s="89" t="s">
        <v>0</v>
      </c>
      <c r="F54" s="89" t="s">
        <v>1543</v>
      </c>
      <c r="G54" s="89" t="s">
        <v>719</v>
      </c>
      <c r="H54" s="89"/>
      <c r="I54" s="9"/>
      <c r="J54" s="9"/>
      <c r="K54" s="9"/>
      <c r="AB54" s="26">
        <f t="shared" si="0"/>
        <v>0</v>
      </c>
      <c r="AC54" s="26">
        <f t="shared" si="1"/>
        <v>0</v>
      </c>
      <c r="AD54" s="26">
        <f t="shared" si="2"/>
        <v>0</v>
      </c>
      <c r="AE54" s="26">
        <f t="shared" si="3"/>
        <v>0</v>
      </c>
      <c r="AF54" s="26">
        <f t="shared" si="4"/>
        <v>0</v>
      </c>
      <c r="AG54" s="26">
        <f t="shared" si="5"/>
        <v>0</v>
      </c>
    </row>
    <row r="55" spans="1:33" customFormat="1" ht="102" hidden="1" x14ac:dyDescent="0.25">
      <c r="A55" s="89" t="s">
        <v>867</v>
      </c>
      <c r="B55" s="89" t="s">
        <v>103</v>
      </c>
      <c r="C55" s="89"/>
      <c r="D55" s="89" t="s">
        <v>610</v>
      </c>
      <c r="E55" s="89" t="s">
        <v>0</v>
      </c>
      <c r="F55" s="89" t="s">
        <v>1545</v>
      </c>
      <c r="G55" s="89" t="s">
        <v>1010</v>
      </c>
      <c r="H55" s="89"/>
      <c r="I55" s="9"/>
      <c r="J55" s="9"/>
      <c r="K55" s="9"/>
      <c r="AB55" s="26">
        <f t="shared" si="0"/>
        <v>0</v>
      </c>
      <c r="AC55" s="26">
        <f t="shared" si="1"/>
        <v>0</v>
      </c>
      <c r="AD55" s="26">
        <f t="shared" si="2"/>
        <v>0</v>
      </c>
      <c r="AE55" s="26">
        <f t="shared" si="3"/>
        <v>0</v>
      </c>
      <c r="AF55" s="26">
        <f t="shared" si="4"/>
        <v>0</v>
      </c>
      <c r="AG55" s="26">
        <f t="shared" si="5"/>
        <v>0</v>
      </c>
    </row>
    <row r="56" spans="1:33" customFormat="1" ht="63.75" hidden="1" x14ac:dyDescent="0.25">
      <c r="A56" s="89" t="s">
        <v>867</v>
      </c>
      <c r="B56" s="89" t="s">
        <v>103</v>
      </c>
      <c r="C56" s="89"/>
      <c r="D56" s="89" t="s">
        <v>607</v>
      </c>
      <c r="E56" s="89" t="s">
        <v>0</v>
      </c>
      <c r="F56" s="89" t="s">
        <v>1547</v>
      </c>
      <c r="G56" s="89" t="s">
        <v>1015</v>
      </c>
      <c r="H56" s="89"/>
      <c r="I56" s="9"/>
      <c r="J56" s="9"/>
      <c r="K56" s="9"/>
      <c r="AB56" s="26">
        <f t="shared" si="0"/>
        <v>0</v>
      </c>
      <c r="AC56" s="26">
        <f t="shared" si="1"/>
        <v>0</v>
      </c>
      <c r="AD56" s="26">
        <f t="shared" si="2"/>
        <v>0</v>
      </c>
      <c r="AE56" s="26">
        <f t="shared" si="3"/>
        <v>0</v>
      </c>
      <c r="AF56" s="26">
        <f t="shared" si="4"/>
        <v>0</v>
      </c>
      <c r="AG56" s="26">
        <f t="shared" si="5"/>
        <v>0</v>
      </c>
    </row>
    <row r="57" spans="1:33" customFormat="1" ht="76.5" hidden="1" x14ac:dyDescent="0.25">
      <c r="A57" s="89" t="s">
        <v>868</v>
      </c>
      <c r="B57" s="89" t="s">
        <v>103</v>
      </c>
      <c r="C57" s="89"/>
      <c r="D57" s="89" t="s">
        <v>607</v>
      </c>
      <c r="E57" s="89" t="s">
        <v>8</v>
      </c>
      <c r="F57" s="89" t="s">
        <v>474</v>
      </c>
      <c r="G57" s="89"/>
      <c r="H57" s="89"/>
      <c r="I57" s="9"/>
      <c r="J57" s="9"/>
      <c r="K57" s="9"/>
      <c r="AB57" s="26">
        <f t="shared" si="0"/>
        <v>0</v>
      </c>
      <c r="AC57" s="26">
        <f t="shared" si="1"/>
        <v>0</v>
      </c>
      <c r="AD57" s="26">
        <f t="shared" si="2"/>
        <v>0</v>
      </c>
      <c r="AE57" s="26">
        <f t="shared" si="3"/>
        <v>0</v>
      </c>
      <c r="AF57" s="26">
        <f t="shared" si="4"/>
        <v>0</v>
      </c>
      <c r="AG57" s="26">
        <f t="shared" si="5"/>
        <v>0</v>
      </c>
    </row>
    <row r="58" spans="1:33" customFormat="1" ht="15" x14ac:dyDescent="0.25">
      <c r="A58" s="89" t="s">
        <v>868</v>
      </c>
      <c r="B58" s="89" t="s">
        <v>119</v>
      </c>
      <c r="C58" s="89"/>
      <c r="D58" s="89" t="s">
        <v>612</v>
      </c>
      <c r="E58" s="89" t="s">
        <v>309</v>
      </c>
      <c r="F58" s="89" t="s">
        <v>122</v>
      </c>
      <c r="G58" s="89"/>
      <c r="H58" s="89"/>
      <c r="I58" s="9"/>
      <c r="J58" s="9"/>
      <c r="K58" s="9"/>
      <c r="AB58" s="26">
        <f t="shared" si="0"/>
        <v>0</v>
      </c>
      <c r="AC58" s="26">
        <f t="shared" si="1"/>
        <v>0</v>
      </c>
      <c r="AD58" s="26">
        <f t="shared" si="2"/>
        <v>0</v>
      </c>
      <c r="AE58" s="26">
        <f t="shared" si="3"/>
        <v>0</v>
      </c>
      <c r="AF58" s="26">
        <f t="shared" si="4"/>
        <v>0</v>
      </c>
      <c r="AG58" s="26">
        <f t="shared" si="5"/>
        <v>1</v>
      </c>
    </row>
    <row r="59" spans="1:33" customFormat="1" ht="25.5" hidden="1" x14ac:dyDescent="0.25">
      <c r="A59" s="89" t="s">
        <v>868</v>
      </c>
      <c r="B59" s="89" t="s">
        <v>119</v>
      </c>
      <c r="C59" s="89"/>
      <c r="D59" s="89" t="s">
        <v>601</v>
      </c>
      <c r="E59" s="89" t="s">
        <v>8</v>
      </c>
      <c r="F59" s="89" t="s">
        <v>476</v>
      </c>
      <c r="G59" s="89"/>
      <c r="H59" s="89"/>
      <c r="I59" s="9"/>
      <c r="J59" s="9"/>
      <c r="K59" s="9"/>
      <c r="AB59" s="26">
        <f t="shared" si="0"/>
        <v>0</v>
      </c>
      <c r="AC59" s="26">
        <f t="shared" si="1"/>
        <v>0</v>
      </c>
      <c r="AD59" s="26">
        <f t="shared" si="2"/>
        <v>0</v>
      </c>
      <c r="AE59" s="26">
        <f t="shared" si="3"/>
        <v>0</v>
      </c>
      <c r="AF59" s="26">
        <f t="shared" si="4"/>
        <v>0</v>
      </c>
      <c r="AG59" s="26">
        <f t="shared" si="5"/>
        <v>0</v>
      </c>
    </row>
    <row r="60" spans="1:33" ht="25.5" hidden="1" x14ac:dyDescent="0.2">
      <c r="A60" s="89" t="s">
        <v>868</v>
      </c>
      <c r="B60" s="89" t="s">
        <v>119</v>
      </c>
      <c r="C60" s="89"/>
      <c r="D60" s="89" t="s">
        <v>602</v>
      </c>
      <c r="E60" s="89" t="s">
        <v>8</v>
      </c>
      <c r="F60" s="89" t="s">
        <v>478</v>
      </c>
      <c r="G60" s="89"/>
      <c r="H60" s="89"/>
      <c r="I60" s="9"/>
      <c r="J60" s="9"/>
      <c r="K60" s="9"/>
      <c r="AB60" s="26">
        <f t="shared" si="0"/>
        <v>0</v>
      </c>
      <c r="AC60" s="26">
        <f t="shared" si="1"/>
        <v>0</v>
      </c>
      <c r="AD60" s="26">
        <f t="shared" si="2"/>
        <v>0</v>
      </c>
      <c r="AE60" s="26">
        <f t="shared" si="3"/>
        <v>0</v>
      </c>
      <c r="AF60" s="26">
        <f t="shared" si="4"/>
        <v>0</v>
      </c>
      <c r="AG60" s="26">
        <f t="shared" si="5"/>
        <v>0</v>
      </c>
    </row>
    <row r="61" spans="1:33" customFormat="1" ht="25.5" hidden="1" x14ac:dyDescent="0.25">
      <c r="A61" s="89" t="s">
        <v>868</v>
      </c>
      <c r="B61" s="89" t="s">
        <v>119</v>
      </c>
      <c r="C61" s="89"/>
      <c r="D61" s="89" t="s">
        <v>603</v>
      </c>
      <c r="E61" s="89" t="s">
        <v>8</v>
      </c>
      <c r="F61" s="89" t="s">
        <v>120</v>
      </c>
      <c r="G61" s="89"/>
      <c r="H61" s="89"/>
      <c r="I61" s="9"/>
      <c r="J61" s="9"/>
      <c r="K61" s="9"/>
      <c r="AB61" s="26">
        <f t="shared" si="0"/>
        <v>0</v>
      </c>
      <c r="AC61" s="26">
        <f t="shared" si="1"/>
        <v>0</v>
      </c>
      <c r="AD61" s="26">
        <f t="shared" si="2"/>
        <v>0</v>
      </c>
      <c r="AE61" s="26">
        <f t="shared" si="3"/>
        <v>0</v>
      </c>
      <c r="AF61" s="26">
        <f t="shared" si="4"/>
        <v>0</v>
      </c>
      <c r="AG61" s="26">
        <f t="shared" si="5"/>
        <v>0</v>
      </c>
    </row>
    <row r="62" spans="1:33" customFormat="1" ht="15" x14ac:dyDescent="0.25">
      <c r="A62" s="89" t="s">
        <v>868</v>
      </c>
      <c r="B62" s="89" t="s">
        <v>123</v>
      </c>
      <c r="C62" s="89"/>
      <c r="D62" s="89" t="s">
        <v>612</v>
      </c>
      <c r="E62" s="89" t="s">
        <v>309</v>
      </c>
      <c r="F62" s="89" t="s">
        <v>129</v>
      </c>
      <c r="G62" s="89"/>
      <c r="H62" s="89"/>
      <c r="I62" s="9"/>
      <c r="J62" s="9"/>
      <c r="K62" s="9"/>
      <c r="AB62" s="26">
        <f t="shared" si="0"/>
        <v>0</v>
      </c>
      <c r="AC62" s="26">
        <f t="shared" si="1"/>
        <v>0</v>
      </c>
      <c r="AD62" s="26">
        <f t="shared" si="2"/>
        <v>0</v>
      </c>
      <c r="AE62" s="26">
        <f t="shared" si="3"/>
        <v>0</v>
      </c>
      <c r="AF62" s="26">
        <f t="shared" si="4"/>
        <v>0</v>
      </c>
      <c r="AG62" s="26">
        <f t="shared" si="5"/>
        <v>1</v>
      </c>
    </row>
    <row r="63" spans="1:33" hidden="1" x14ac:dyDescent="0.2">
      <c r="A63" s="89" t="s">
        <v>868</v>
      </c>
      <c r="B63" s="89" t="s">
        <v>123</v>
      </c>
      <c r="C63" s="89"/>
      <c r="D63" s="89" t="s">
        <v>601</v>
      </c>
      <c r="E63" s="89" t="s">
        <v>8</v>
      </c>
      <c r="F63" s="89" t="s">
        <v>124</v>
      </c>
      <c r="G63" s="89"/>
      <c r="H63" s="89"/>
      <c r="I63" s="9"/>
      <c r="J63" s="9"/>
      <c r="K63" s="9"/>
      <c r="AB63" s="26">
        <f t="shared" si="0"/>
        <v>0</v>
      </c>
      <c r="AC63" s="26">
        <f t="shared" si="1"/>
        <v>0</v>
      </c>
      <c r="AD63" s="26">
        <f t="shared" si="2"/>
        <v>0</v>
      </c>
      <c r="AE63" s="26">
        <f t="shared" si="3"/>
        <v>0</v>
      </c>
      <c r="AF63" s="26">
        <f t="shared" si="4"/>
        <v>0</v>
      </c>
      <c r="AG63" s="26">
        <f t="shared" si="5"/>
        <v>0</v>
      </c>
    </row>
    <row r="64" spans="1:33" customFormat="1" ht="15" hidden="1" x14ac:dyDescent="0.25">
      <c r="A64" s="89" t="s">
        <v>868</v>
      </c>
      <c r="B64" s="89" t="s">
        <v>123</v>
      </c>
      <c r="C64" s="89"/>
      <c r="D64" s="89" t="s">
        <v>602</v>
      </c>
      <c r="E64" s="89" t="s">
        <v>8</v>
      </c>
      <c r="F64" s="89" t="s">
        <v>482</v>
      </c>
      <c r="G64" s="89"/>
      <c r="H64" s="89"/>
      <c r="I64" s="9"/>
      <c r="J64" s="9"/>
      <c r="K64" s="9"/>
      <c r="AB64" s="26">
        <f t="shared" si="0"/>
        <v>0</v>
      </c>
      <c r="AC64" s="26">
        <f t="shared" si="1"/>
        <v>0</v>
      </c>
      <c r="AD64" s="26">
        <f t="shared" si="2"/>
        <v>0</v>
      </c>
      <c r="AE64" s="26">
        <f t="shared" si="3"/>
        <v>0</v>
      </c>
      <c r="AF64" s="26">
        <f t="shared" si="4"/>
        <v>0</v>
      </c>
      <c r="AG64" s="26">
        <f t="shared" si="5"/>
        <v>0</v>
      </c>
    </row>
    <row r="65" spans="1:33" customFormat="1" ht="38.25" hidden="1" x14ac:dyDescent="0.25">
      <c r="A65" s="89" t="s">
        <v>868</v>
      </c>
      <c r="B65" s="89" t="s">
        <v>123</v>
      </c>
      <c r="C65" s="89"/>
      <c r="D65" s="89" t="s">
        <v>604</v>
      </c>
      <c r="E65" s="89" t="s">
        <v>8</v>
      </c>
      <c r="F65" s="89" t="s">
        <v>484</v>
      </c>
      <c r="G65" s="89"/>
      <c r="H65" s="89"/>
      <c r="I65" s="9"/>
      <c r="J65" s="9"/>
      <c r="K65" s="9"/>
      <c r="AB65" s="26">
        <f t="shared" si="0"/>
        <v>0</v>
      </c>
      <c r="AC65" s="26">
        <f t="shared" si="1"/>
        <v>0</v>
      </c>
      <c r="AD65" s="26">
        <f t="shared" si="2"/>
        <v>0</v>
      </c>
      <c r="AE65" s="26">
        <f t="shared" si="3"/>
        <v>0</v>
      </c>
      <c r="AF65" s="26">
        <f t="shared" si="4"/>
        <v>0</v>
      </c>
      <c r="AG65" s="26">
        <f t="shared" si="5"/>
        <v>0</v>
      </c>
    </row>
    <row r="66" spans="1:33" ht="38.25" hidden="1" x14ac:dyDescent="0.2">
      <c r="A66" s="89" t="s">
        <v>868</v>
      </c>
      <c r="B66" s="89" t="s">
        <v>123</v>
      </c>
      <c r="C66" s="89"/>
      <c r="D66" s="89" t="s">
        <v>606</v>
      </c>
      <c r="E66" s="89" t="s">
        <v>8</v>
      </c>
      <c r="F66" s="89" t="s">
        <v>486</v>
      </c>
      <c r="G66" s="89"/>
      <c r="H66" s="89"/>
      <c r="I66" s="9"/>
      <c r="J66" s="9"/>
      <c r="K66" s="9"/>
      <c r="AB66" s="26">
        <f t="shared" si="0"/>
        <v>0</v>
      </c>
      <c r="AC66" s="26">
        <f t="shared" si="1"/>
        <v>0</v>
      </c>
      <c r="AD66" s="26">
        <f t="shared" si="2"/>
        <v>0</v>
      </c>
      <c r="AE66" s="26">
        <f t="shared" si="3"/>
        <v>0</v>
      </c>
      <c r="AF66" s="26">
        <f t="shared" si="4"/>
        <v>0</v>
      </c>
      <c r="AG66" s="26">
        <f t="shared" si="5"/>
        <v>0</v>
      </c>
    </row>
    <row r="67" spans="1:33" customFormat="1" ht="15" x14ac:dyDescent="0.25">
      <c r="A67" s="89" t="s">
        <v>867</v>
      </c>
      <c r="B67" s="89" t="s">
        <v>123</v>
      </c>
      <c r="C67" s="89"/>
      <c r="D67" s="89" t="s">
        <v>612</v>
      </c>
      <c r="E67" s="89" t="s">
        <v>330</v>
      </c>
      <c r="F67" s="89" t="s">
        <v>1020</v>
      </c>
      <c r="G67" s="89"/>
      <c r="H67" s="89"/>
      <c r="I67" s="9"/>
      <c r="J67" s="9"/>
      <c r="K67" s="9"/>
      <c r="AB67" s="26">
        <f t="shared" si="0"/>
        <v>0</v>
      </c>
      <c r="AC67" s="26">
        <f t="shared" si="1"/>
        <v>0</v>
      </c>
      <c r="AD67" s="26">
        <f t="shared" si="2"/>
        <v>0</v>
      </c>
      <c r="AE67" s="26">
        <f t="shared" si="3"/>
        <v>0</v>
      </c>
      <c r="AF67" s="26">
        <f t="shared" si="4"/>
        <v>0</v>
      </c>
      <c r="AG67" s="26">
        <f t="shared" si="5"/>
        <v>1</v>
      </c>
    </row>
    <row r="68" spans="1:33" customFormat="1" ht="76.5" hidden="1" x14ac:dyDescent="0.25">
      <c r="A68" s="89" t="s">
        <v>867</v>
      </c>
      <c r="B68" s="89" t="s">
        <v>123</v>
      </c>
      <c r="C68" s="89"/>
      <c r="D68" s="89" t="s">
        <v>601</v>
      </c>
      <c r="E68" s="89" t="s">
        <v>0</v>
      </c>
      <c r="F68" s="89" t="s">
        <v>1549</v>
      </c>
      <c r="G68" s="89" t="s">
        <v>720</v>
      </c>
      <c r="H68" s="89"/>
      <c r="I68" s="9"/>
      <c r="J68" s="9"/>
      <c r="K68" s="9"/>
      <c r="AB68" s="26">
        <f t="shared" si="0"/>
        <v>0</v>
      </c>
      <c r="AC68" s="26">
        <f t="shared" si="1"/>
        <v>0</v>
      </c>
      <c r="AD68" s="26">
        <f t="shared" si="2"/>
        <v>0</v>
      </c>
      <c r="AE68" s="26">
        <f t="shared" si="3"/>
        <v>0</v>
      </c>
      <c r="AF68" s="26">
        <f t="shared" si="4"/>
        <v>0</v>
      </c>
      <c r="AG68" s="26">
        <f t="shared" si="5"/>
        <v>0</v>
      </c>
    </row>
    <row r="69" spans="1:33" customFormat="1" ht="51" hidden="1" x14ac:dyDescent="0.25">
      <c r="A69" s="89" t="s">
        <v>867</v>
      </c>
      <c r="B69" s="89" t="s">
        <v>123</v>
      </c>
      <c r="C69" s="89"/>
      <c r="D69" s="89" t="s">
        <v>602</v>
      </c>
      <c r="E69" s="89" t="s">
        <v>0</v>
      </c>
      <c r="F69" s="89" t="s">
        <v>1551</v>
      </c>
      <c r="G69" s="89" t="s">
        <v>722</v>
      </c>
      <c r="H69" s="89"/>
      <c r="I69" s="9"/>
      <c r="J69" s="9"/>
      <c r="K69" s="9"/>
      <c r="AB69" s="26">
        <f t="shared" si="0"/>
        <v>0</v>
      </c>
      <c r="AC69" s="26">
        <f t="shared" si="1"/>
        <v>0</v>
      </c>
      <c r="AD69" s="26">
        <f t="shared" si="2"/>
        <v>0</v>
      </c>
      <c r="AE69" s="26">
        <f t="shared" si="3"/>
        <v>0</v>
      </c>
      <c r="AF69" s="26">
        <f t="shared" si="4"/>
        <v>0</v>
      </c>
      <c r="AG69" s="26">
        <f t="shared" si="5"/>
        <v>0</v>
      </c>
    </row>
    <row r="70" spans="1:33" customFormat="1" ht="38.25" hidden="1" x14ac:dyDescent="0.25">
      <c r="A70" s="89" t="s">
        <v>867</v>
      </c>
      <c r="B70" s="89" t="s">
        <v>123</v>
      </c>
      <c r="C70" s="89"/>
      <c r="D70" s="89" t="s">
        <v>603</v>
      </c>
      <c r="E70" s="89" t="s">
        <v>0</v>
      </c>
      <c r="F70" s="89" t="s">
        <v>1553</v>
      </c>
      <c r="G70" s="89" t="s">
        <v>723</v>
      </c>
      <c r="H70" s="89"/>
      <c r="I70" s="9"/>
      <c r="J70" s="9"/>
      <c r="K70" s="9"/>
      <c r="AB70" s="26">
        <f t="shared" si="0"/>
        <v>0</v>
      </c>
      <c r="AC70" s="26">
        <f t="shared" si="1"/>
        <v>0</v>
      </c>
      <c r="AD70" s="26">
        <f t="shared" si="2"/>
        <v>0</v>
      </c>
      <c r="AE70" s="26">
        <f t="shared" si="3"/>
        <v>0</v>
      </c>
      <c r="AF70" s="26">
        <f t="shared" si="4"/>
        <v>0</v>
      </c>
      <c r="AG70" s="26">
        <f t="shared" si="5"/>
        <v>0</v>
      </c>
    </row>
    <row r="71" spans="1:33" customFormat="1" ht="63.75" hidden="1" x14ac:dyDescent="0.25">
      <c r="A71" s="89" t="s">
        <v>867</v>
      </c>
      <c r="B71" s="89" t="s">
        <v>123</v>
      </c>
      <c r="C71" s="89"/>
      <c r="D71" s="89" t="s">
        <v>604</v>
      </c>
      <c r="E71" s="89" t="s">
        <v>0</v>
      </c>
      <c r="F71" s="89" t="s">
        <v>1555</v>
      </c>
      <c r="G71" s="89" t="s">
        <v>724</v>
      </c>
      <c r="H71" s="89"/>
      <c r="I71" s="9"/>
      <c r="J71" s="9"/>
      <c r="K71" s="9"/>
      <c r="AB71" s="26">
        <f t="shared" si="0"/>
        <v>0</v>
      </c>
      <c r="AC71" s="26">
        <f t="shared" si="1"/>
        <v>0</v>
      </c>
      <c r="AD71" s="26">
        <f t="shared" si="2"/>
        <v>0</v>
      </c>
      <c r="AE71" s="26">
        <f t="shared" si="3"/>
        <v>0</v>
      </c>
      <c r="AF71" s="26">
        <f t="shared" si="4"/>
        <v>0</v>
      </c>
      <c r="AG71" s="26">
        <f t="shared" si="5"/>
        <v>0</v>
      </c>
    </row>
    <row r="72" spans="1:33" customFormat="1" ht="38.25" hidden="1" x14ac:dyDescent="0.25">
      <c r="A72" s="89" t="s">
        <v>867</v>
      </c>
      <c r="B72" s="89" t="s">
        <v>123</v>
      </c>
      <c r="C72" s="89"/>
      <c r="D72" s="89" t="s">
        <v>605</v>
      </c>
      <c r="E72" s="89" t="s">
        <v>0</v>
      </c>
      <c r="F72" s="89" t="s">
        <v>1557</v>
      </c>
      <c r="G72" s="89" t="s">
        <v>726</v>
      </c>
      <c r="H72" s="89"/>
      <c r="I72" s="9"/>
      <c r="J72" s="9"/>
      <c r="K72" s="9"/>
      <c r="AB72" s="26">
        <f t="shared" si="0"/>
        <v>0</v>
      </c>
      <c r="AC72" s="26">
        <f t="shared" si="1"/>
        <v>0</v>
      </c>
      <c r="AD72" s="26">
        <f t="shared" si="2"/>
        <v>0</v>
      </c>
      <c r="AE72" s="26">
        <f t="shared" si="3"/>
        <v>0</v>
      </c>
      <c r="AF72" s="26">
        <f t="shared" si="4"/>
        <v>0</v>
      </c>
      <c r="AG72" s="26">
        <f t="shared" si="5"/>
        <v>0</v>
      </c>
    </row>
    <row r="73" spans="1:33" ht="114.75" hidden="1" x14ac:dyDescent="0.2">
      <c r="A73" s="89" t="s">
        <v>867</v>
      </c>
      <c r="B73" s="89" t="s">
        <v>123</v>
      </c>
      <c r="C73" s="89"/>
      <c r="D73" s="89" t="s">
        <v>606</v>
      </c>
      <c r="E73" s="89" t="s">
        <v>0</v>
      </c>
      <c r="F73" s="89" t="s">
        <v>1559</v>
      </c>
      <c r="G73" s="89" t="s">
        <v>1039</v>
      </c>
      <c r="H73" s="89"/>
      <c r="I73" s="9"/>
      <c r="J73" s="9"/>
      <c r="K73" s="9"/>
      <c r="AB73" s="26">
        <f t="shared" si="0"/>
        <v>0</v>
      </c>
      <c r="AC73" s="26">
        <f t="shared" si="1"/>
        <v>0</v>
      </c>
      <c r="AD73" s="26">
        <f t="shared" si="2"/>
        <v>0</v>
      </c>
      <c r="AE73" s="26">
        <f t="shared" si="3"/>
        <v>0</v>
      </c>
      <c r="AF73" s="26">
        <f t="shared" si="4"/>
        <v>0</v>
      </c>
      <c r="AG73" s="26">
        <f t="shared" si="5"/>
        <v>0</v>
      </c>
    </row>
    <row r="74" spans="1:33" customFormat="1" ht="114.75" hidden="1" x14ac:dyDescent="0.25">
      <c r="A74" s="89" t="s">
        <v>867</v>
      </c>
      <c r="B74" s="89" t="s">
        <v>123</v>
      </c>
      <c r="C74" s="89"/>
      <c r="D74" s="89" t="s">
        <v>608</v>
      </c>
      <c r="E74" s="89" t="s">
        <v>0</v>
      </c>
      <c r="F74" s="89" t="s">
        <v>1561</v>
      </c>
      <c r="G74" s="89" t="s">
        <v>727</v>
      </c>
      <c r="H74" s="89"/>
      <c r="I74" s="9"/>
      <c r="J74" s="9"/>
      <c r="K74" s="9"/>
      <c r="AB74" s="26">
        <f t="shared" si="0"/>
        <v>0</v>
      </c>
      <c r="AC74" s="26">
        <f t="shared" si="1"/>
        <v>0</v>
      </c>
      <c r="AD74" s="26">
        <f t="shared" si="2"/>
        <v>0</v>
      </c>
      <c r="AE74" s="26">
        <f t="shared" si="3"/>
        <v>0</v>
      </c>
      <c r="AF74" s="26">
        <f t="shared" si="4"/>
        <v>0</v>
      </c>
      <c r="AG74" s="26">
        <f t="shared" si="5"/>
        <v>0</v>
      </c>
    </row>
    <row r="75" spans="1:33" customFormat="1" ht="63.75" hidden="1" x14ac:dyDescent="0.25">
      <c r="A75" s="89" t="s">
        <v>867</v>
      </c>
      <c r="B75" s="89" t="s">
        <v>123</v>
      </c>
      <c r="C75" s="89"/>
      <c r="D75" s="89" t="s">
        <v>609</v>
      </c>
      <c r="E75" s="89" t="s">
        <v>0</v>
      </c>
      <c r="F75" s="89" t="s">
        <v>1563</v>
      </c>
      <c r="G75" s="89" t="s">
        <v>729</v>
      </c>
      <c r="H75" s="89"/>
      <c r="I75" s="9"/>
      <c r="J75" s="9"/>
      <c r="K75" s="9"/>
      <c r="AB75" s="26">
        <f t="shared" si="0"/>
        <v>0</v>
      </c>
      <c r="AC75" s="26">
        <f t="shared" si="1"/>
        <v>0</v>
      </c>
      <c r="AD75" s="26">
        <f t="shared" si="2"/>
        <v>0</v>
      </c>
      <c r="AE75" s="26">
        <f t="shared" si="3"/>
        <v>0</v>
      </c>
      <c r="AF75" s="26">
        <f t="shared" si="4"/>
        <v>0</v>
      </c>
      <c r="AG75" s="26">
        <f t="shared" si="5"/>
        <v>0</v>
      </c>
    </row>
    <row r="76" spans="1:33" customFormat="1" ht="15" x14ac:dyDescent="0.25">
      <c r="A76" s="89" t="s">
        <v>868</v>
      </c>
      <c r="B76" s="89" t="s">
        <v>137</v>
      </c>
      <c r="C76" s="89"/>
      <c r="D76" s="89" t="s">
        <v>612</v>
      </c>
      <c r="E76" s="89" t="s">
        <v>309</v>
      </c>
      <c r="F76" s="89" t="s">
        <v>142</v>
      </c>
      <c r="G76" s="89"/>
      <c r="H76" s="89"/>
      <c r="I76" s="9"/>
      <c r="J76" s="9"/>
      <c r="K76" s="9"/>
      <c r="AB76" s="26">
        <f t="shared" si="0"/>
        <v>0</v>
      </c>
      <c r="AC76" s="26">
        <f t="shared" si="1"/>
        <v>0</v>
      </c>
      <c r="AD76" s="26">
        <f t="shared" si="2"/>
        <v>0</v>
      </c>
      <c r="AE76" s="26">
        <f t="shared" si="3"/>
        <v>0</v>
      </c>
      <c r="AF76" s="26">
        <f t="shared" si="4"/>
        <v>0</v>
      </c>
      <c r="AG76" s="26">
        <f t="shared" si="5"/>
        <v>1</v>
      </c>
    </row>
    <row r="77" spans="1:33" customFormat="1" ht="25.5" hidden="1" x14ac:dyDescent="0.25">
      <c r="A77" s="89" t="s">
        <v>868</v>
      </c>
      <c r="B77" s="89" t="s">
        <v>137</v>
      </c>
      <c r="C77" s="89"/>
      <c r="D77" s="89" t="s">
        <v>601</v>
      </c>
      <c r="E77" s="89" t="s">
        <v>8</v>
      </c>
      <c r="F77" s="89" t="s">
        <v>496</v>
      </c>
      <c r="G77" s="89"/>
      <c r="H77" s="89"/>
      <c r="I77" s="9"/>
      <c r="J77" s="9"/>
      <c r="K77" s="9"/>
      <c r="AB77" s="26">
        <f t="shared" si="0"/>
        <v>0</v>
      </c>
      <c r="AC77" s="26">
        <f t="shared" si="1"/>
        <v>0</v>
      </c>
      <c r="AD77" s="26">
        <f t="shared" si="2"/>
        <v>0</v>
      </c>
      <c r="AE77" s="26">
        <f t="shared" si="3"/>
        <v>0</v>
      </c>
      <c r="AF77" s="26">
        <f t="shared" si="4"/>
        <v>0</v>
      </c>
      <c r="AG77" s="26">
        <f t="shared" si="5"/>
        <v>0</v>
      </c>
    </row>
    <row r="78" spans="1:33" customFormat="1" ht="15" hidden="1" x14ac:dyDescent="0.25">
      <c r="A78" s="89" t="s">
        <v>868</v>
      </c>
      <c r="B78" s="89" t="s">
        <v>137</v>
      </c>
      <c r="C78" s="89"/>
      <c r="D78" s="89" t="s">
        <v>602</v>
      </c>
      <c r="E78" s="89" t="s">
        <v>8</v>
      </c>
      <c r="F78" s="89" t="s">
        <v>498</v>
      </c>
      <c r="G78" s="89"/>
      <c r="H78" s="89"/>
      <c r="I78" s="9"/>
      <c r="J78" s="9"/>
      <c r="K78" s="9"/>
      <c r="AB78" s="26">
        <f t="shared" si="0"/>
        <v>0</v>
      </c>
      <c r="AC78" s="26">
        <f t="shared" si="1"/>
        <v>0</v>
      </c>
      <c r="AD78" s="26">
        <f t="shared" si="2"/>
        <v>0</v>
      </c>
      <c r="AE78" s="26">
        <f t="shared" si="3"/>
        <v>0</v>
      </c>
      <c r="AF78" s="26">
        <f t="shared" si="4"/>
        <v>0</v>
      </c>
      <c r="AG78" s="26">
        <f t="shared" si="5"/>
        <v>0</v>
      </c>
    </row>
    <row r="79" spans="1:33" ht="25.5" hidden="1" x14ac:dyDescent="0.2">
      <c r="A79" s="89" t="s">
        <v>868</v>
      </c>
      <c r="B79" s="89" t="s">
        <v>137</v>
      </c>
      <c r="C79" s="89"/>
      <c r="D79" s="89" t="s">
        <v>604</v>
      </c>
      <c r="E79" s="89" t="s">
        <v>8</v>
      </c>
      <c r="F79" s="89" t="s">
        <v>138</v>
      </c>
      <c r="G79" s="89"/>
      <c r="H79" s="89"/>
      <c r="I79" s="9"/>
      <c r="J79" s="9"/>
      <c r="K79" s="9"/>
      <c r="AB79" s="26">
        <f t="shared" ref="AB79:AB142" si="6">IF(AND($D79="Question",$H79="OK"),1,0)</f>
        <v>0</v>
      </c>
      <c r="AC79" s="26">
        <f t="shared" ref="AC79:AC142" si="7">IF(AND($D79="Question",$H79="OK with hints"),1,0)</f>
        <v>0</v>
      </c>
      <c r="AD79" s="26">
        <f t="shared" ref="AD79:AD142" si="8">IF(AND($D79="Question",$H79="Minor non-conformity"),1,0)</f>
        <v>0</v>
      </c>
      <c r="AE79" s="26">
        <f t="shared" ref="AE79:AE142" si="9">IF(AND($D79="Question",$H79="Major non-conformity"),1,0)</f>
        <v>0</v>
      </c>
      <c r="AF79" s="26">
        <f t="shared" ref="AF79:AF142" si="10">IF(AND($D79="Question",$H79="Not applicable"),1,0)</f>
        <v>0</v>
      </c>
      <c r="AG79" s="26">
        <f t="shared" ref="AG79:AG142" si="11">IF(AND($D79="Question",$H79=""),1,0)</f>
        <v>0</v>
      </c>
    </row>
    <row r="80" spans="1:33" customFormat="1" ht="38.25" hidden="1" x14ac:dyDescent="0.25">
      <c r="A80" s="89" t="s">
        <v>868</v>
      </c>
      <c r="B80" s="89" t="s">
        <v>137</v>
      </c>
      <c r="C80" s="89"/>
      <c r="D80" s="89" t="s">
        <v>605</v>
      </c>
      <c r="E80" s="89" t="s">
        <v>8</v>
      </c>
      <c r="F80" s="89" t="s">
        <v>503</v>
      </c>
      <c r="G80" s="89"/>
      <c r="H80" s="89"/>
      <c r="I80" s="9"/>
      <c r="J80" s="9"/>
      <c r="K80" s="9"/>
      <c r="AB80" s="26">
        <f t="shared" si="6"/>
        <v>0</v>
      </c>
      <c r="AC80" s="26">
        <f t="shared" si="7"/>
        <v>0</v>
      </c>
      <c r="AD80" s="26">
        <f t="shared" si="8"/>
        <v>0</v>
      </c>
      <c r="AE80" s="26">
        <f t="shared" si="9"/>
        <v>0</v>
      </c>
      <c r="AF80" s="26">
        <f t="shared" si="10"/>
        <v>0</v>
      </c>
      <c r="AG80" s="26">
        <f t="shared" si="11"/>
        <v>0</v>
      </c>
    </row>
    <row r="81" spans="1:33" customFormat="1" ht="15" hidden="1" x14ac:dyDescent="0.25">
      <c r="A81" s="89" t="s">
        <v>868</v>
      </c>
      <c r="B81" s="89" t="s">
        <v>137</v>
      </c>
      <c r="C81" s="89"/>
      <c r="D81" s="89" t="s">
        <v>606</v>
      </c>
      <c r="E81" s="89" t="s">
        <v>8</v>
      </c>
      <c r="F81" s="89" t="s">
        <v>505</v>
      </c>
      <c r="G81" s="89"/>
      <c r="H81" s="89"/>
      <c r="I81" s="9"/>
      <c r="J81" s="9"/>
      <c r="K81" s="9"/>
      <c r="AB81" s="26">
        <f t="shared" si="6"/>
        <v>0</v>
      </c>
      <c r="AC81" s="26">
        <f t="shared" si="7"/>
        <v>0</v>
      </c>
      <c r="AD81" s="26">
        <f t="shared" si="8"/>
        <v>0</v>
      </c>
      <c r="AE81" s="26">
        <f t="shared" si="9"/>
        <v>0</v>
      </c>
      <c r="AF81" s="26">
        <f t="shared" si="10"/>
        <v>0</v>
      </c>
      <c r="AG81" s="26">
        <f t="shared" si="11"/>
        <v>0</v>
      </c>
    </row>
    <row r="82" spans="1:33" customFormat="1" ht="63.75" hidden="1" x14ac:dyDescent="0.25">
      <c r="A82" s="89" t="s">
        <v>868</v>
      </c>
      <c r="B82" s="89" t="s">
        <v>137</v>
      </c>
      <c r="C82" s="89"/>
      <c r="D82" s="89" t="s">
        <v>28</v>
      </c>
      <c r="E82" s="89" t="s">
        <v>8</v>
      </c>
      <c r="F82" s="89" t="s">
        <v>507</v>
      </c>
      <c r="G82" s="89"/>
      <c r="H82" s="89"/>
      <c r="I82" s="9"/>
      <c r="J82" s="9"/>
      <c r="K82" s="9"/>
      <c r="AB82" s="26">
        <f t="shared" si="6"/>
        <v>0</v>
      </c>
      <c r="AC82" s="26">
        <f t="shared" si="7"/>
        <v>0</v>
      </c>
      <c r="AD82" s="26">
        <f t="shared" si="8"/>
        <v>0</v>
      </c>
      <c r="AE82" s="26">
        <f t="shared" si="9"/>
        <v>0</v>
      </c>
      <c r="AF82" s="26">
        <f t="shared" si="10"/>
        <v>0</v>
      </c>
      <c r="AG82" s="26">
        <f t="shared" si="11"/>
        <v>0</v>
      </c>
    </row>
    <row r="83" spans="1:33" customFormat="1" ht="25.5" hidden="1" x14ac:dyDescent="0.25">
      <c r="A83" s="89" t="s">
        <v>868</v>
      </c>
      <c r="B83" s="89" t="s">
        <v>137</v>
      </c>
      <c r="C83" s="89"/>
      <c r="D83" s="89" t="s">
        <v>608</v>
      </c>
      <c r="E83" s="89" t="s">
        <v>8</v>
      </c>
      <c r="F83" s="89" t="s">
        <v>509</v>
      </c>
      <c r="G83" s="89"/>
      <c r="H83" s="89"/>
      <c r="I83" s="9"/>
      <c r="J83" s="9"/>
      <c r="K83" s="9"/>
      <c r="AB83" s="26">
        <f t="shared" si="6"/>
        <v>0</v>
      </c>
      <c r="AC83" s="26">
        <f t="shared" si="7"/>
        <v>0</v>
      </c>
      <c r="AD83" s="26">
        <f t="shared" si="8"/>
        <v>0</v>
      </c>
      <c r="AE83" s="26">
        <f t="shared" si="9"/>
        <v>0</v>
      </c>
      <c r="AF83" s="26">
        <f t="shared" si="10"/>
        <v>0</v>
      </c>
      <c r="AG83" s="26">
        <f t="shared" si="11"/>
        <v>0</v>
      </c>
    </row>
    <row r="84" spans="1:33" customFormat="1" ht="51" hidden="1" x14ac:dyDescent="0.25">
      <c r="A84" s="89" t="s">
        <v>868</v>
      </c>
      <c r="B84" s="89" t="s">
        <v>137</v>
      </c>
      <c r="C84" s="89"/>
      <c r="D84" s="89" t="s">
        <v>609</v>
      </c>
      <c r="E84" s="89" t="s">
        <v>8</v>
      </c>
      <c r="F84" s="89" t="s">
        <v>511</v>
      </c>
      <c r="G84" s="89"/>
      <c r="H84" s="89"/>
      <c r="I84" s="9"/>
      <c r="J84" s="9"/>
      <c r="K84" s="9"/>
      <c r="AB84" s="26">
        <f t="shared" si="6"/>
        <v>0</v>
      </c>
      <c r="AC84" s="26">
        <f t="shared" si="7"/>
        <v>0</v>
      </c>
      <c r="AD84" s="26">
        <f t="shared" si="8"/>
        <v>0</v>
      </c>
      <c r="AE84" s="26">
        <f t="shared" si="9"/>
        <v>0</v>
      </c>
      <c r="AF84" s="26">
        <f t="shared" si="10"/>
        <v>0</v>
      </c>
      <c r="AG84" s="26">
        <f t="shared" si="11"/>
        <v>0</v>
      </c>
    </row>
    <row r="85" spans="1:33" customFormat="1" ht="216.75" hidden="1" x14ac:dyDescent="0.25">
      <c r="A85" s="89" t="s">
        <v>867</v>
      </c>
      <c r="B85" s="89" t="s">
        <v>137</v>
      </c>
      <c r="C85" s="89"/>
      <c r="D85" s="89" t="s">
        <v>601</v>
      </c>
      <c r="E85" s="89" t="s">
        <v>0</v>
      </c>
      <c r="F85" s="89" t="s">
        <v>1739</v>
      </c>
      <c r="G85" s="89" t="s">
        <v>731</v>
      </c>
      <c r="H85" s="89"/>
      <c r="I85" s="9"/>
      <c r="J85" s="9"/>
      <c r="K85" s="9"/>
      <c r="AB85" s="26">
        <f t="shared" si="6"/>
        <v>0</v>
      </c>
      <c r="AC85" s="26">
        <f t="shared" si="7"/>
        <v>0</v>
      </c>
      <c r="AD85" s="26">
        <f t="shared" si="8"/>
        <v>0</v>
      </c>
      <c r="AE85" s="26">
        <f t="shared" si="9"/>
        <v>0</v>
      </c>
      <c r="AF85" s="26">
        <f t="shared" si="10"/>
        <v>0</v>
      </c>
      <c r="AG85" s="26">
        <f t="shared" si="11"/>
        <v>0</v>
      </c>
    </row>
    <row r="86" spans="1:33" customFormat="1" ht="255" hidden="1" x14ac:dyDescent="0.25">
      <c r="A86" s="89" t="s">
        <v>867</v>
      </c>
      <c r="B86" s="89" t="s">
        <v>137</v>
      </c>
      <c r="C86" s="89"/>
      <c r="D86" s="89" t="s">
        <v>603</v>
      </c>
      <c r="E86" s="89" t="s">
        <v>0</v>
      </c>
      <c r="F86" s="89" t="s">
        <v>1741</v>
      </c>
      <c r="G86" s="89" t="s">
        <v>732</v>
      </c>
      <c r="H86" s="89"/>
      <c r="I86" s="9"/>
      <c r="J86" s="9"/>
      <c r="K86" s="9"/>
      <c r="AB86" s="26">
        <f t="shared" si="6"/>
        <v>0</v>
      </c>
      <c r="AC86" s="26">
        <f t="shared" si="7"/>
        <v>0</v>
      </c>
      <c r="AD86" s="26">
        <f t="shared" si="8"/>
        <v>0</v>
      </c>
      <c r="AE86" s="26">
        <f t="shared" si="9"/>
        <v>0</v>
      </c>
      <c r="AF86" s="26">
        <f t="shared" si="10"/>
        <v>0</v>
      </c>
      <c r="AG86" s="26">
        <f t="shared" si="11"/>
        <v>0</v>
      </c>
    </row>
    <row r="87" spans="1:33" customFormat="1" ht="63.75" hidden="1" x14ac:dyDescent="0.25">
      <c r="A87" s="89" t="s">
        <v>867</v>
      </c>
      <c r="B87" s="89" t="s">
        <v>137</v>
      </c>
      <c r="C87" s="89"/>
      <c r="D87" s="89" t="s">
        <v>605</v>
      </c>
      <c r="E87" s="89" t="s">
        <v>0</v>
      </c>
      <c r="F87" s="89" t="s">
        <v>1569</v>
      </c>
      <c r="G87" s="89" t="s">
        <v>736</v>
      </c>
      <c r="H87" s="89"/>
      <c r="I87" s="9"/>
      <c r="J87" s="9"/>
      <c r="K87" s="9"/>
      <c r="AB87" s="26">
        <f t="shared" si="6"/>
        <v>0</v>
      </c>
      <c r="AC87" s="26">
        <f t="shared" si="7"/>
        <v>0</v>
      </c>
      <c r="AD87" s="26">
        <f t="shared" si="8"/>
        <v>0</v>
      </c>
      <c r="AE87" s="26">
        <f t="shared" si="9"/>
        <v>0</v>
      </c>
      <c r="AF87" s="26">
        <f t="shared" si="10"/>
        <v>0</v>
      </c>
      <c r="AG87" s="26">
        <f t="shared" si="11"/>
        <v>0</v>
      </c>
    </row>
    <row r="88" spans="1:33" customFormat="1" ht="25.5" x14ac:dyDescent="0.25">
      <c r="A88" s="89" t="s">
        <v>867</v>
      </c>
      <c r="B88" s="89" t="s">
        <v>137</v>
      </c>
      <c r="C88" s="89"/>
      <c r="D88" s="89" t="s">
        <v>612</v>
      </c>
      <c r="E88" s="89" t="s">
        <v>330</v>
      </c>
      <c r="F88" s="89" t="s">
        <v>1475</v>
      </c>
      <c r="G88" s="89"/>
      <c r="H88" s="89"/>
      <c r="I88" s="9"/>
      <c r="J88" s="9"/>
      <c r="K88" s="9"/>
      <c r="AB88" s="26">
        <f t="shared" si="6"/>
        <v>0</v>
      </c>
      <c r="AC88" s="26">
        <f t="shared" si="7"/>
        <v>0</v>
      </c>
      <c r="AD88" s="26">
        <f t="shared" si="8"/>
        <v>0</v>
      </c>
      <c r="AE88" s="26">
        <f t="shared" si="9"/>
        <v>0</v>
      </c>
      <c r="AF88" s="26">
        <f t="shared" si="10"/>
        <v>0</v>
      </c>
      <c r="AG88" s="26">
        <f t="shared" si="11"/>
        <v>1</v>
      </c>
    </row>
    <row r="89" spans="1:33" ht="76.5" hidden="1" x14ac:dyDescent="0.2">
      <c r="A89" s="89" t="s">
        <v>867</v>
      </c>
      <c r="B89" s="89" t="s">
        <v>137</v>
      </c>
      <c r="C89" s="89"/>
      <c r="D89" s="89" t="s">
        <v>601</v>
      </c>
      <c r="E89" s="89" t="s">
        <v>0</v>
      </c>
      <c r="F89" s="89" t="s">
        <v>1573</v>
      </c>
      <c r="G89" s="89" t="s">
        <v>740</v>
      </c>
      <c r="H89" s="89"/>
      <c r="I89" s="9"/>
      <c r="J89" s="9"/>
      <c r="K89" s="9"/>
      <c r="AB89" s="26">
        <f t="shared" si="6"/>
        <v>0</v>
      </c>
      <c r="AC89" s="26">
        <f t="shared" si="7"/>
        <v>0</v>
      </c>
      <c r="AD89" s="26">
        <f t="shared" si="8"/>
        <v>0</v>
      </c>
      <c r="AE89" s="26">
        <f t="shared" si="9"/>
        <v>0</v>
      </c>
      <c r="AF89" s="26">
        <f t="shared" si="10"/>
        <v>0</v>
      </c>
      <c r="AG89" s="26">
        <f t="shared" si="11"/>
        <v>0</v>
      </c>
    </row>
    <row r="90" spans="1:33" customFormat="1" ht="153" hidden="1" x14ac:dyDescent="0.25">
      <c r="A90" s="89" t="s">
        <v>867</v>
      </c>
      <c r="B90" s="89" t="s">
        <v>137</v>
      </c>
      <c r="C90" s="89"/>
      <c r="D90" s="89" t="s">
        <v>602</v>
      </c>
      <c r="E90" s="89" t="s">
        <v>0</v>
      </c>
      <c r="F90" s="89" t="s">
        <v>1575</v>
      </c>
      <c r="G90" s="89" t="s">
        <v>396</v>
      </c>
      <c r="H90" s="89"/>
      <c r="I90" s="9"/>
      <c r="J90" s="9"/>
      <c r="K90" s="9"/>
      <c r="AB90" s="26">
        <f t="shared" si="6"/>
        <v>0</v>
      </c>
      <c r="AC90" s="26">
        <f t="shared" si="7"/>
        <v>0</v>
      </c>
      <c r="AD90" s="26">
        <f t="shared" si="8"/>
        <v>0</v>
      </c>
      <c r="AE90" s="26">
        <f t="shared" si="9"/>
        <v>0</v>
      </c>
      <c r="AF90" s="26">
        <f t="shared" si="10"/>
        <v>0</v>
      </c>
      <c r="AG90" s="26">
        <f t="shared" si="11"/>
        <v>0</v>
      </c>
    </row>
    <row r="91" spans="1:33" customFormat="1" ht="89.25" hidden="1" x14ac:dyDescent="0.25">
      <c r="A91" s="89" t="s">
        <v>867</v>
      </c>
      <c r="B91" s="89" t="s">
        <v>137</v>
      </c>
      <c r="C91" s="89"/>
      <c r="D91" s="89" t="s">
        <v>603</v>
      </c>
      <c r="E91" s="89" t="s">
        <v>0</v>
      </c>
      <c r="F91" s="89" t="s">
        <v>1577</v>
      </c>
      <c r="G91" s="89" t="s">
        <v>741</v>
      </c>
      <c r="H91" s="89"/>
      <c r="I91" s="9"/>
      <c r="J91" s="9"/>
      <c r="K91" s="9"/>
      <c r="AB91" s="26">
        <f t="shared" si="6"/>
        <v>0</v>
      </c>
      <c r="AC91" s="26">
        <f t="shared" si="7"/>
        <v>0</v>
      </c>
      <c r="AD91" s="26">
        <f t="shared" si="8"/>
        <v>0</v>
      </c>
      <c r="AE91" s="26">
        <f t="shared" si="9"/>
        <v>0</v>
      </c>
      <c r="AF91" s="26">
        <f t="shared" si="10"/>
        <v>0</v>
      </c>
      <c r="AG91" s="26">
        <f t="shared" si="11"/>
        <v>0</v>
      </c>
    </row>
    <row r="92" spans="1:33" customFormat="1" ht="51" hidden="1" x14ac:dyDescent="0.25">
      <c r="A92" s="89" t="s">
        <v>867</v>
      </c>
      <c r="B92" s="89" t="s">
        <v>137</v>
      </c>
      <c r="C92" s="89"/>
      <c r="D92" s="89" t="s">
        <v>604</v>
      </c>
      <c r="E92" s="89" t="s">
        <v>0</v>
      </c>
      <c r="F92" s="89" t="s">
        <v>1579</v>
      </c>
      <c r="G92" s="89" t="s">
        <v>743</v>
      </c>
      <c r="H92" s="89"/>
      <c r="I92" s="9"/>
      <c r="J92" s="9"/>
      <c r="K92" s="9"/>
      <c r="AB92" s="26">
        <f t="shared" si="6"/>
        <v>0</v>
      </c>
      <c r="AC92" s="26">
        <f t="shared" si="7"/>
        <v>0</v>
      </c>
      <c r="AD92" s="26">
        <f t="shared" si="8"/>
        <v>0</v>
      </c>
      <c r="AE92" s="26">
        <f t="shared" si="9"/>
        <v>0</v>
      </c>
      <c r="AF92" s="26">
        <f t="shared" si="10"/>
        <v>0</v>
      </c>
      <c r="AG92" s="26">
        <f t="shared" si="11"/>
        <v>0</v>
      </c>
    </row>
    <row r="93" spans="1:33" customFormat="1" ht="153" hidden="1" x14ac:dyDescent="0.25">
      <c r="A93" s="89" t="s">
        <v>867</v>
      </c>
      <c r="B93" s="89" t="s">
        <v>137</v>
      </c>
      <c r="C93" s="89"/>
      <c r="D93" s="89" t="s">
        <v>605</v>
      </c>
      <c r="E93" s="89" t="s">
        <v>0</v>
      </c>
      <c r="F93" s="89" t="s">
        <v>1581</v>
      </c>
      <c r="G93" s="89" t="s">
        <v>745</v>
      </c>
      <c r="H93" s="89"/>
      <c r="I93" s="9"/>
      <c r="J93" s="9"/>
      <c r="K93" s="9"/>
      <c r="AB93" s="26">
        <f t="shared" si="6"/>
        <v>0</v>
      </c>
      <c r="AC93" s="26">
        <f t="shared" si="7"/>
        <v>0</v>
      </c>
      <c r="AD93" s="26">
        <f t="shared" si="8"/>
        <v>0</v>
      </c>
      <c r="AE93" s="26">
        <f t="shared" si="9"/>
        <v>0</v>
      </c>
      <c r="AF93" s="26">
        <f t="shared" si="10"/>
        <v>0</v>
      </c>
      <c r="AG93" s="26">
        <f t="shared" si="11"/>
        <v>0</v>
      </c>
    </row>
    <row r="94" spans="1:33" customFormat="1" ht="153" hidden="1" x14ac:dyDescent="0.25">
      <c r="A94" s="89" t="s">
        <v>867</v>
      </c>
      <c r="B94" s="89" t="s">
        <v>137</v>
      </c>
      <c r="C94" s="89"/>
      <c r="D94" s="89" t="s">
        <v>606</v>
      </c>
      <c r="E94" s="89" t="s">
        <v>0</v>
      </c>
      <c r="F94" s="89" t="s">
        <v>1583</v>
      </c>
      <c r="G94" s="89" t="s">
        <v>747</v>
      </c>
      <c r="H94" s="89"/>
      <c r="I94" s="9"/>
      <c r="J94" s="9"/>
      <c r="K94" s="9"/>
      <c r="AB94" s="26">
        <f t="shared" si="6"/>
        <v>0</v>
      </c>
      <c r="AC94" s="26">
        <f t="shared" si="7"/>
        <v>0</v>
      </c>
      <c r="AD94" s="26">
        <f t="shared" si="8"/>
        <v>0</v>
      </c>
      <c r="AE94" s="26">
        <f t="shared" si="9"/>
        <v>0</v>
      </c>
      <c r="AF94" s="26">
        <f t="shared" si="10"/>
        <v>0</v>
      </c>
      <c r="AG94" s="26">
        <f t="shared" si="11"/>
        <v>0</v>
      </c>
    </row>
    <row r="95" spans="1:33" customFormat="1" ht="102" hidden="1" x14ac:dyDescent="0.25">
      <c r="A95" s="89" t="s">
        <v>867</v>
      </c>
      <c r="B95" s="89" t="s">
        <v>137</v>
      </c>
      <c r="C95" s="89"/>
      <c r="D95" s="89" t="s">
        <v>608</v>
      </c>
      <c r="E95" s="89" t="s">
        <v>0</v>
      </c>
      <c r="F95" s="89" t="s">
        <v>1743</v>
      </c>
      <c r="G95" s="89" t="s">
        <v>749</v>
      </c>
      <c r="H95" s="89"/>
      <c r="I95" s="9"/>
      <c r="J95" s="9"/>
      <c r="K95" s="9"/>
      <c r="AB95" s="26">
        <f t="shared" si="6"/>
        <v>0</v>
      </c>
      <c r="AC95" s="26">
        <f t="shared" si="7"/>
        <v>0</v>
      </c>
      <c r="AD95" s="26">
        <f t="shared" si="8"/>
        <v>0</v>
      </c>
      <c r="AE95" s="26">
        <f t="shared" si="9"/>
        <v>0</v>
      </c>
      <c r="AF95" s="26">
        <f t="shared" si="10"/>
        <v>0</v>
      </c>
      <c r="AG95" s="26">
        <f t="shared" si="11"/>
        <v>0</v>
      </c>
    </row>
    <row r="96" spans="1:33" customFormat="1" ht="25.5" x14ac:dyDescent="0.25">
      <c r="A96" s="89" t="s">
        <v>868</v>
      </c>
      <c r="B96" s="89" t="s">
        <v>143</v>
      </c>
      <c r="C96" s="89"/>
      <c r="D96" s="89" t="s">
        <v>612</v>
      </c>
      <c r="E96" s="89" t="s">
        <v>309</v>
      </c>
      <c r="F96" s="89" t="s">
        <v>1467</v>
      </c>
      <c r="G96" s="89"/>
      <c r="H96" s="89"/>
      <c r="I96" s="9"/>
      <c r="J96" s="9"/>
      <c r="K96" s="9"/>
      <c r="AB96" s="26">
        <f t="shared" si="6"/>
        <v>0</v>
      </c>
      <c r="AC96" s="26">
        <f t="shared" si="7"/>
        <v>0</v>
      </c>
      <c r="AD96" s="26">
        <f t="shared" si="8"/>
        <v>0</v>
      </c>
      <c r="AE96" s="26">
        <f t="shared" si="9"/>
        <v>0</v>
      </c>
      <c r="AF96" s="26">
        <f t="shared" si="10"/>
        <v>0</v>
      </c>
      <c r="AG96" s="26">
        <f t="shared" si="11"/>
        <v>1</v>
      </c>
    </row>
    <row r="97" spans="1:33" customFormat="1" ht="25.5" hidden="1" x14ac:dyDescent="0.25">
      <c r="A97" s="89" t="s">
        <v>868</v>
      </c>
      <c r="B97" s="89" t="s">
        <v>143</v>
      </c>
      <c r="C97" s="89"/>
      <c r="D97" s="89" t="s">
        <v>601</v>
      </c>
      <c r="E97" s="89" t="s">
        <v>8</v>
      </c>
      <c r="F97" s="89" t="s">
        <v>513</v>
      </c>
      <c r="G97" s="89"/>
      <c r="H97" s="89"/>
      <c r="I97" s="9"/>
      <c r="J97" s="9"/>
      <c r="K97" s="9"/>
      <c r="AB97" s="26">
        <f t="shared" si="6"/>
        <v>0</v>
      </c>
      <c r="AC97" s="26">
        <f t="shared" si="7"/>
        <v>0</v>
      </c>
      <c r="AD97" s="26">
        <f t="shared" si="8"/>
        <v>0</v>
      </c>
      <c r="AE97" s="26">
        <f t="shared" si="9"/>
        <v>0</v>
      </c>
      <c r="AF97" s="26">
        <f t="shared" si="10"/>
        <v>0</v>
      </c>
      <c r="AG97" s="26">
        <f t="shared" si="11"/>
        <v>0</v>
      </c>
    </row>
    <row r="98" spans="1:33" ht="63.75" hidden="1" x14ac:dyDescent="0.2">
      <c r="A98" s="89" t="s">
        <v>868</v>
      </c>
      <c r="B98" s="89" t="s">
        <v>143</v>
      </c>
      <c r="C98" s="89"/>
      <c r="D98" s="89" t="s">
        <v>603</v>
      </c>
      <c r="E98" s="89" t="s">
        <v>8</v>
      </c>
      <c r="F98" s="89" t="s">
        <v>662</v>
      </c>
      <c r="G98" s="89"/>
      <c r="H98" s="89"/>
      <c r="I98" s="9"/>
      <c r="J98" s="9"/>
      <c r="K98" s="9"/>
      <c r="AB98" s="26">
        <f t="shared" si="6"/>
        <v>0</v>
      </c>
      <c r="AC98" s="26">
        <f t="shared" si="7"/>
        <v>0</v>
      </c>
      <c r="AD98" s="26">
        <f t="shared" si="8"/>
        <v>0</v>
      </c>
      <c r="AE98" s="26">
        <f t="shared" si="9"/>
        <v>0</v>
      </c>
      <c r="AF98" s="26">
        <f t="shared" si="10"/>
        <v>0</v>
      </c>
      <c r="AG98" s="26">
        <f t="shared" si="11"/>
        <v>0</v>
      </c>
    </row>
    <row r="99" spans="1:33" customFormat="1" ht="15" hidden="1" x14ac:dyDescent="0.25">
      <c r="A99" s="89" t="s">
        <v>868</v>
      </c>
      <c r="B99" s="89" t="s">
        <v>143</v>
      </c>
      <c r="C99" s="89"/>
      <c r="D99" s="89" t="s">
        <v>604</v>
      </c>
      <c r="E99" s="89" t="s">
        <v>8</v>
      </c>
      <c r="F99" s="89" t="s">
        <v>516</v>
      </c>
      <c r="G99" s="89"/>
      <c r="H99" s="89"/>
      <c r="I99" s="9"/>
      <c r="J99" s="9"/>
      <c r="K99" s="9"/>
      <c r="AB99" s="26">
        <f t="shared" si="6"/>
        <v>0</v>
      </c>
      <c r="AC99" s="26">
        <f t="shared" si="7"/>
        <v>0</v>
      </c>
      <c r="AD99" s="26">
        <f t="shared" si="8"/>
        <v>0</v>
      </c>
      <c r="AE99" s="26">
        <f t="shared" si="9"/>
        <v>0</v>
      </c>
      <c r="AF99" s="26">
        <f t="shared" si="10"/>
        <v>0</v>
      </c>
      <c r="AG99" s="26">
        <f t="shared" si="11"/>
        <v>0</v>
      </c>
    </row>
    <row r="100" spans="1:33" ht="25.5" hidden="1" x14ac:dyDescent="0.2">
      <c r="A100" s="89" t="s">
        <v>868</v>
      </c>
      <c r="B100" s="89" t="s">
        <v>143</v>
      </c>
      <c r="C100" s="89"/>
      <c r="D100" s="89" t="s">
        <v>605</v>
      </c>
      <c r="E100" s="89" t="s">
        <v>8</v>
      </c>
      <c r="F100" s="89" t="s">
        <v>518</v>
      </c>
      <c r="G100" s="89"/>
      <c r="H100" s="89"/>
      <c r="I100" s="9"/>
      <c r="J100" s="9"/>
      <c r="K100" s="9"/>
      <c r="AB100" s="26">
        <f t="shared" si="6"/>
        <v>0</v>
      </c>
      <c r="AC100" s="26">
        <f t="shared" si="7"/>
        <v>0</v>
      </c>
      <c r="AD100" s="26">
        <f t="shared" si="8"/>
        <v>0</v>
      </c>
      <c r="AE100" s="26">
        <f t="shared" si="9"/>
        <v>0</v>
      </c>
      <c r="AF100" s="26">
        <f t="shared" si="10"/>
        <v>0</v>
      </c>
      <c r="AG100" s="26">
        <f t="shared" si="11"/>
        <v>0</v>
      </c>
    </row>
    <row r="101" spans="1:33" customFormat="1" ht="15" hidden="1" x14ac:dyDescent="0.25">
      <c r="A101" s="89" t="s">
        <v>868</v>
      </c>
      <c r="B101" s="89" t="s">
        <v>143</v>
      </c>
      <c r="C101" s="89"/>
      <c r="D101" s="89" t="s">
        <v>606</v>
      </c>
      <c r="E101" s="89" t="s">
        <v>8</v>
      </c>
      <c r="F101" s="89" t="s">
        <v>520</v>
      </c>
      <c r="G101" s="89"/>
      <c r="H101" s="89"/>
      <c r="I101" s="9"/>
      <c r="J101" s="9"/>
      <c r="K101" s="9"/>
      <c r="AB101" s="26">
        <f t="shared" si="6"/>
        <v>0</v>
      </c>
      <c r="AC101" s="26">
        <f t="shared" si="7"/>
        <v>0</v>
      </c>
      <c r="AD101" s="26">
        <f t="shared" si="8"/>
        <v>0</v>
      </c>
      <c r="AE101" s="26">
        <f t="shared" si="9"/>
        <v>0</v>
      </c>
      <c r="AF101" s="26">
        <f t="shared" si="10"/>
        <v>0</v>
      </c>
      <c r="AG101" s="26">
        <f t="shared" si="11"/>
        <v>0</v>
      </c>
    </row>
    <row r="102" spans="1:33" customFormat="1" ht="25.5" x14ac:dyDescent="0.25">
      <c r="A102" s="89" t="s">
        <v>867</v>
      </c>
      <c r="B102" s="89" t="s">
        <v>143</v>
      </c>
      <c r="C102" s="89"/>
      <c r="D102" s="89" t="s">
        <v>612</v>
      </c>
      <c r="E102" s="89" t="s">
        <v>330</v>
      </c>
      <c r="F102" s="89" t="s">
        <v>400</v>
      </c>
      <c r="G102" s="89"/>
      <c r="H102" s="89"/>
      <c r="I102" s="9"/>
      <c r="J102" s="9"/>
      <c r="K102" s="9"/>
      <c r="AB102" s="26">
        <f t="shared" si="6"/>
        <v>0</v>
      </c>
      <c r="AC102" s="26">
        <f t="shared" si="7"/>
        <v>0</v>
      </c>
      <c r="AD102" s="26">
        <f t="shared" si="8"/>
        <v>0</v>
      </c>
      <c r="AE102" s="26">
        <f t="shared" si="9"/>
        <v>0</v>
      </c>
      <c r="AF102" s="26">
        <f t="shared" si="10"/>
        <v>0</v>
      </c>
      <c r="AG102" s="26">
        <f t="shared" si="11"/>
        <v>1</v>
      </c>
    </row>
    <row r="103" spans="1:33" customFormat="1" ht="267.75" hidden="1" x14ac:dyDescent="0.25">
      <c r="A103" s="89" t="s">
        <v>867</v>
      </c>
      <c r="B103" s="89" t="s">
        <v>143</v>
      </c>
      <c r="C103" s="89"/>
      <c r="D103" s="89" t="s">
        <v>603</v>
      </c>
      <c r="E103" s="89" t="s">
        <v>0</v>
      </c>
      <c r="F103" s="89" t="s">
        <v>1749</v>
      </c>
      <c r="G103" s="89" t="s">
        <v>754</v>
      </c>
      <c r="H103" s="89"/>
      <c r="I103" s="9"/>
      <c r="J103" s="9"/>
      <c r="K103" s="9"/>
      <c r="AB103" s="26">
        <f t="shared" si="6"/>
        <v>0</v>
      </c>
      <c r="AC103" s="26">
        <f t="shared" si="7"/>
        <v>0</v>
      </c>
      <c r="AD103" s="26">
        <f t="shared" si="8"/>
        <v>0</v>
      </c>
      <c r="AE103" s="26">
        <f t="shared" si="9"/>
        <v>0</v>
      </c>
      <c r="AF103" s="26">
        <f t="shared" si="10"/>
        <v>0</v>
      </c>
      <c r="AG103" s="26">
        <f t="shared" si="11"/>
        <v>0</v>
      </c>
    </row>
    <row r="104" spans="1:33" customFormat="1" ht="178.5" hidden="1" x14ac:dyDescent="0.25">
      <c r="A104" s="89" t="s">
        <v>867</v>
      </c>
      <c r="B104" s="89" t="s">
        <v>143</v>
      </c>
      <c r="C104" s="89"/>
      <c r="D104" s="89" t="s">
        <v>604</v>
      </c>
      <c r="E104" s="89" t="s">
        <v>0</v>
      </c>
      <c r="F104" s="89" t="s">
        <v>1751</v>
      </c>
      <c r="G104" s="89" t="s">
        <v>401</v>
      </c>
      <c r="H104" s="89"/>
      <c r="I104" s="9"/>
      <c r="J104" s="9"/>
      <c r="K104" s="9"/>
      <c r="AB104" s="26">
        <f t="shared" si="6"/>
        <v>0</v>
      </c>
      <c r="AC104" s="26">
        <f t="shared" si="7"/>
        <v>0</v>
      </c>
      <c r="AD104" s="26">
        <f t="shared" si="8"/>
        <v>0</v>
      </c>
      <c r="AE104" s="26">
        <f t="shared" si="9"/>
        <v>0</v>
      </c>
      <c r="AF104" s="26">
        <f t="shared" si="10"/>
        <v>0</v>
      </c>
      <c r="AG104" s="26">
        <f t="shared" si="11"/>
        <v>0</v>
      </c>
    </row>
    <row r="105" spans="1:33" customFormat="1" ht="15" x14ac:dyDescent="0.25">
      <c r="A105" s="89" t="s">
        <v>867</v>
      </c>
      <c r="B105" s="89" t="s">
        <v>383</v>
      </c>
      <c r="C105" s="89"/>
      <c r="D105" s="89" t="s">
        <v>612</v>
      </c>
      <c r="E105" s="89" t="s">
        <v>330</v>
      </c>
      <c r="F105" s="89" t="s">
        <v>405</v>
      </c>
      <c r="G105" s="89"/>
      <c r="H105" s="89"/>
      <c r="I105" s="9"/>
      <c r="J105" s="9"/>
      <c r="K105" s="9"/>
      <c r="AB105" s="26">
        <f t="shared" si="6"/>
        <v>0</v>
      </c>
      <c r="AC105" s="26">
        <f t="shared" si="7"/>
        <v>0</v>
      </c>
      <c r="AD105" s="26">
        <f t="shared" si="8"/>
        <v>0</v>
      </c>
      <c r="AE105" s="26">
        <f t="shared" si="9"/>
        <v>0</v>
      </c>
      <c r="AF105" s="26">
        <f t="shared" si="10"/>
        <v>0</v>
      </c>
      <c r="AG105" s="26">
        <f t="shared" si="11"/>
        <v>1</v>
      </c>
    </row>
    <row r="106" spans="1:33" ht="25.5" hidden="1" x14ac:dyDescent="0.2">
      <c r="A106" s="89" t="s">
        <v>867</v>
      </c>
      <c r="B106" s="89" t="s">
        <v>383</v>
      </c>
      <c r="C106" s="89"/>
      <c r="D106" s="89" t="s">
        <v>602</v>
      </c>
      <c r="E106" s="89" t="s">
        <v>0</v>
      </c>
      <c r="F106" s="89" t="s">
        <v>1591</v>
      </c>
      <c r="G106" s="89" t="s">
        <v>759</v>
      </c>
      <c r="H106" s="89"/>
      <c r="I106" s="9"/>
      <c r="J106" s="9"/>
      <c r="K106" s="9"/>
      <c r="AB106" s="26">
        <f t="shared" si="6"/>
        <v>0</v>
      </c>
      <c r="AC106" s="26">
        <f t="shared" si="7"/>
        <v>0</v>
      </c>
      <c r="AD106" s="26">
        <f t="shared" si="8"/>
        <v>0</v>
      </c>
      <c r="AE106" s="26">
        <f t="shared" si="9"/>
        <v>0</v>
      </c>
      <c r="AF106" s="26">
        <f t="shared" si="10"/>
        <v>0</v>
      </c>
      <c r="AG106" s="26">
        <f t="shared" si="11"/>
        <v>0</v>
      </c>
    </row>
    <row r="107" spans="1:33" customFormat="1" ht="51" hidden="1" x14ac:dyDescent="0.25">
      <c r="A107" s="89" t="s">
        <v>867</v>
      </c>
      <c r="B107" s="89" t="s">
        <v>383</v>
      </c>
      <c r="C107" s="89"/>
      <c r="D107" s="89" t="s">
        <v>603</v>
      </c>
      <c r="E107" s="89" t="s">
        <v>0</v>
      </c>
      <c r="F107" s="89" t="s">
        <v>1593</v>
      </c>
      <c r="G107" s="89" t="s">
        <v>1134</v>
      </c>
      <c r="H107" s="89"/>
      <c r="I107" s="9"/>
      <c r="J107" s="9"/>
      <c r="K107" s="9"/>
      <c r="AB107" s="26">
        <f t="shared" si="6"/>
        <v>0</v>
      </c>
      <c r="AC107" s="26">
        <f t="shared" si="7"/>
        <v>0</v>
      </c>
      <c r="AD107" s="26">
        <f t="shared" si="8"/>
        <v>0</v>
      </c>
      <c r="AE107" s="26">
        <f t="shared" si="9"/>
        <v>0</v>
      </c>
      <c r="AF107" s="26">
        <f t="shared" si="10"/>
        <v>0</v>
      </c>
      <c r="AG107" s="26">
        <f t="shared" si="11"/>
        <v>0</v>
      </c>
    </row>
    <row r="108" spans="1:33" customFormat="1" ht="38.25" x14ac:dyDescent="0.25">
      <c r="A108" s="89" t="s">
        <v>868</v>
      </c>
      <c r="B108" s="89" t="s">
        <v>166</v>
      </c>
      <c r="C108" s="89"/>
      <c r="D108" s="89" t="s">
        <v>612</v>
      </c>
      <c r="E108" s="89" t="s">
        <v>309</v>
      </c>
      <c r="F108" s="89" t="s">
        <v>1464</v>
      </c>
      <c r="G108" s="89"/>
      <c r="H108" s="89"/>
      <c r="I108" s="9"/>
      <c r="J108" s="9"/>
      <c r="K108" s="9"/>
      <c r="AB108" s="26">
        <f t="shared" si="6"/>
        <v>0</v>
      </c>
      <c r="AC108" s="26">
        <f t="shared" si="7"/>
        <v>0</v>
      </c>
      <c r="AD108" s="26">
        <f t="shared" si="8"/>
        <v>0</v>
      </c>
      <c r="AE108" s="26">
        <f t="shared" si="9"/>
        <v>0</v>
      </c>
      <c r="AF108" s="26">
        <f t="shared" si="10"/>
        <v>0</v>
      </c>
      <c r="AG108" s="26">
        <f t="shared" si="11"/>
        <v>1</v>
      </c>
    </row>
    <row r="109" spans="1:33" ht="25.5" hidden="1" x14ac:dyDescent="0.2">
      <c r="A109" s="89" t="s">
        <v>868</v>
      </c>
      <c r="B109" s="89" t="s">
        <v>166</v>
      </c>
      <c r="C109" s="89"/>
      <c r="D109" s="89" t="s">
        <v>601</v>
      </c>
      <c r="E109" s="89" t="s">
        <v>8</v>
      </c>
      <c r="F109" s="89" t="s">
        <v>526</v>
      </c>
      <c r="G109" s="89"/>
      <c r="H109" s="89"/>
      <c r="I109" s="9"/>
      <c r="J109" s="9"/>
      <c r="K109" s="9"/>
      <c r="AB109" s="26">
        <f t="shared" si="6"/>
        <v>0</v>
      </c>
      <c r="AC109" s="26">
        <f t="shared" si="7"/>
        <v>0</v>
      </c>
      <c r="AD109" s="26">
        <f t="shared" si="8"/>
        <v>0</v>
      </c>
      <c r="AE109" s="26">
        <f t="shared" si="9"/>
        <v>0</v>
      </c>
      <c r="AF109" s="26">
        <f t="shared" si="10"/>
        <v>0</v>
      </c>
      <c r="AG109" s="26">
        <f t="shared" si="11"/>
        <v>0</v>
      </c>
    </row>
    <row r="110" spans="1:33" customFormat="1" ht="25.5" hidden="1" x14ac:dyDescent="0.25">
      <c r="A110" s="89" t="s">
        <v>868</v>
      </c>
      <c r="B110" s="89" t="s">
        <v>166</v>
      </c>
      <c r="C110" s="89"/>
      <c r="D110" s="89" t="s">
        <v>602</v>
      </c>
      <c r="E110" s="89" t="s">
        <v>8</v>
      </c>
      <c r="F110" s="89" t="s">
        <v>528</v>
      </c>
      <c r="G110" s="89"/>
      <c r="H110" s="89"/>
      <c r="I110" s="9"/>
      <c r="J110" s="9"/>
      <c r="K110" s="9"/>
      <c r="AB110" s="26">
        <f t="shared" si="6"/>
        <v>0</v>
      </c>
      <c r="AC110" s="26">
        <f t="shared" si="7"/>
        <v>0</v>
      </c>
      <c r="AD110" s="26">
        <f t="shared" si="8"/>
        <v>0</v>
      </c>
      <c r="AE110" s="26">
        <f t="shared" si="9"/>
        <v>0</v>
      </c>
      <c r="AF110" s="26">
        <f t="shared" si="10"/>
        <v>0</v>
      </c>
      <c r="AG110" s="26">
        <f t="shared" si="11"/>
        <v>0</v>
      </c>
    </row>
    <row r="111" spans="1:33" hidden="1" x14ac:dyDescent="0.2">
      <c r="A111" s="89" t="s">
        <v>868</v>
      </c>
      <c r="B111" s="89" t="s">
        <v>166</v>
      </c>
      <c r="C111" s="89"/>
      <c r="D111" s="89" t="s">
        <v>603</v>
      </c>
      <c r="E111" s="89" t="s">
        <v>8</v>
      </c>
      <c r="F111" s="89" t="s">
        <v>530</v>
      </c>
      <c r="G111" s="89"/>
      <c r="H111" s="89"/>
      <c r="I111" s="9"/>
      <c r="J111" s="9"/>
      <c r="K111" s="9"/>
      <c r="AB111" s="26">
        <f t="shared" si="6"/>
        <v>0</v>
      </c>
      <c r="AC111" s="26">
        <f t="shared" si="7"/>
        <v>0</v>
      </c>
      <c r="AD111" s="26">
        <f t="shared" si="8"/>
        <v>0</v>
      </c>
      <c r="AE111" s="26">
        <f t="shared" si="9"/>
        <v>0</v>
      </c>
      <c r="AF111" s="26">
        <f t="shared" si="10"/>
        <v>0</v>
      </c>
      <c r="AG111" s="26">
        <f t="shared" si="11"/>
        <v>0</v>
      </c>
    </row>
    <row r="112" spans="1:33" customFormat="1" ht="38.25" hidden="1" x14ac:dyDescent="0.25">
      <c r="A112" s="89" t="s">
        <v>868</v>
      </c>
      <c r="B112" s="89" t="s">
        <v>166</v>
      </c>
      <c r="C112" s="89"/>
      <c r="D112" s="89" t="s">
        <v>604</v>
      </c>
      <c r="E112" s="89" t="s">
        <v>8</v>
      </c>
      <c r="F112" s="89" t="s">
        <v>532</v>
      </c>
      <c r="G112" s="89"/>
      <c r="H112" s="89"/>
      <c r="I112" s="9"/>
      <c r="J112" s="9"/>
      <c r="K112" s="9"/>
      <c r="AB112" s="26">
        <f t="shared" si="6"/>
        <v>0</v>
      </c>
      <c r="AC112" s="26">
        <f t="shared" si="7"/>
        <v>0</v>
      </c>
      <c r="AD112" s="26">
        <f t="shared" si="8"/>
        <v>0</v>
      </c>
      <c r="AE112" s="26">
        <f t="shared" si="9"/>
        <v>0</v>
      </c>
      <c r="AF112" s="26">
        <f t="shared" si="10"/>
        <v>0</v>
      </c>
      <c r="AG112" s="26">
        <f t="shared" si="11"/>
        <v>0</v>
      </c>
    </row>
    <row r="113" spans="1:33" customFormat="1" ht="15" hidden="1" x14ac:dyDescent="0.25">
      <c r="A113" s="89" t="s">
        <v>868</v>
      </c>
      <c r="B113" s="89" t="s">
        <v>166</v>
      </c>
      <c r="C113" s="89"/>
      <c r="D113" s="89" t="s">
        <v>605</v>
      </c>
      <c r="E113" s="89" t="s">
        <v>8</v>
      </c>
      <c r="F113" s="89" t="s">
        <v>534</v>
      </c>
      <c r="G113" s="89"/>
      <c r="H113" s="89"/>
      <c r="I113" s="9"/>
      <c r="J113" s="9"/>
      <c r="K113" s="9"/>
      <c r="AB113" s="26">
        <f t="shared" si="6"/>
        <v>0</v>
      </c>
      <c r="AC113" s="26">
        <f t="shared" si="7"/>
        <v>0</v>
      </c>
      <c r="AD113" s="26">
        <f t="shared" si="8"/>
        <v>0</v>
      </c>
      <c r="AE113" s="26">
        <f t="shared" si="9"/>
        <v>0</v>
      </c>
      <c r="AF113" s="26">
        <f t="shared" si="10"/>
        <v>0</v>
      </c>
      <c r="AG113" s="26">
        <f t="shared" si="11"/>
        <v>0</v>
      </c>
    </row>
    <row r="114" spans="1:33" x14ac:dyDescent="0.2">
      <c r="A114" s="89" t="s">
        <v>868</v>
      </c>
      <c r="B114" s="89" t="s">
        <v>172</v>
      </c>
      <c r="C114" s="89"/>
      <c r="D114" s="89" t="s">
        <v>612</v>
      </c>
      <c r="E114" s="89" t="s">
        <v>309</v>
      </c>
      <c r="F114" s="89" t="s">
        <v>173</v>
      </c>
      <c r="G114" s="89"/>
      <c r="H114" s="89"/>
      <c r="I114" s="9"/>
      <c r="J114" s="9"/>
      <c r="K114" s="9"/>
      <c r="AB114" s="26">
        <f t="shared" si="6"/>
        <v>0</v>
      </c>
      <c r="AC114" s="26">
        <f t="shared" si="7"/>
        <v>0</v>
      </c>
      <c r="AD114" s="26">
        <f t="shared" si="8"/>
        <v>0</v>
      </c>
      <c r="AE114" s="26">
        <f t="shared" si="9"/>
        <v>0</v>
      </c>
      <c r="AF114" s="26">
        <f t="shared" si="10"/>
        <v>0</v>
      </c>
      <c r="AG114" s="26">
        <f t="shared" si="11"/>
        <v>1</v>
      </c>
    </row>
    <row r="115" spans="1:33" customFormat="1" ht="51" hidden="1" x14ac:dyDescent="0.25">
      <c r="A115" s="89" t="s">
        <v>868</v>
      </c>
      <c r="B115" s="89" t="s">
        <v>172</v>
      </c>
      <c r="C115" s="89"/>
      <c r="D115" s="89" t="s">
        <v>601</v>
      </c>
      <c r="E115" s="89" t="s">
        <v>8</v>
      </c>
      <c r="F115" s="89" t="s">
        <v>536</v>
      </c>
      <c r="G115" s="89"/>
      <c r="H115" s="89"/>
      <c r="I115" s="9"/>
      <c r="J115" s="9"/>
      <c r="K115" s="9"/>
      <c r="AB115" s="26">
        <f t="shared" si="6"/>
        <v>0</v>
      </c>
      <c r="AC115" s="26">
        <f t="shared" si="7"/>
        <v>0</v>
      </c>
      <c r="AD115" s="26">
        <f t="shared" si="8"/>
        <v>0</v>
      </c>
      <c r="AE115" s="26">
        <f t="shared" si="9"/>
        <v>0</v>
      </c>
      <c r="AF115" s="26">
        <f t="shared" si="10"/>
        <v>0</v>
      </c>
      <c r="AG115" s="26">
        <f t="shared" si="11"/>
        <v>0</v>
      </c>
    </row>
    <row r="116" spans="1:33" customFormat="1" ht="25.5" x14ac:dyDescent="0.25">
      <c r="A116" s="89" t="s">
        <v>868</v>
      </c>
      <c r="B116" s="89" t="s">
        <v>176</v>
      </c>
      <c r="C116" s="89"/>
      <c r="D116" s="89" t="s">
        <v>612</v>
      </c>
      <c r="E116" s="89" t="s">
        <v>309</v>
      </c>
      <c r="F116" s="89" t="s">
        <v>182</v>
      </c>
      <c r="G116" s="89"/>
      <c r="H116" s="89"/>
      <c r="I116" s="9"/>
      <c r="J116" s="9"/>
      <c r="K116" s="9"/>
      <c r="AB116" s="26">
        <f t="shared" si="6"/>
        <v>0</v>
      </c>
      <c r="AC116" s="26">
        <f t="shared" si="7"/>
        <v>0</v>
      </c>
      <c r="AD116" s="26">
        <f t="shared" si="8"/>
        <v>0</v>
      </c>
      <c r="AE116" s="26">
        <f t="shared" si="9"/>
        <v>0</v>
      </c>
      <c r="AF116" s="26">
        <f t="shared" si="10"/>
        <v>0</v>
      </c>
      <c r="AG116" s="26">
        <f t="shared" si="11"/>
        <v>1</v>
      </c>
    </row>
    <row r="117" spans="1:33" ht="38.25" hidden="1" x14ac:dyDescent="0.2">
      <c r="A117" s="89" t="s">
        <v>868</v>
      </c>
      <c r="B117" s="89" t="s">
        <v>176</v>
      </c>
      <c r="C117" s="89"/>
      <c r="D117" s="89" t="s">
        <v>601</v>
      </c>
      <c r="E117" s="89" t="s">
        <v>8</v>
      </c>
      <c r="F117" s="89" t="s">
        <v>541</v>
      </c>
      <c r="G117" s="89"/>
      <c r="H117" s="89"/>
      <c r="I117" s="9"/>
      <c r="J117" s="9"/>
      <c r="K117" s="9"/>
      <c r="AB117" s="26">
        <f t="shared" si="6"/>
        <v>0</v>
      </c>
      <c r="AC117" s="26">
        <f t="shared" si="7"/>
        <v>0</v>
      </c>
      <c r="AD117" s="26">
        <f t="shared" si="8"/>
        <v>0</v>
      </c>
      <c r="AE117" s="26">
        <f t="shared" si="9"/>
        <v>0</v>
      </c>
      <c r="AF117" s="26">
        <f t="shared" si="10"/>
        <v>0</v>
      </c>
      <c r="AG117" s="26">
        <f t="shared" si="11"/>
        <v>0</v>
      </c>
    </row>
    <row r="118" spans="1:33" customFormat="1" ht="153" hidden="1" x14ac:dyDescent="0.25">
      <c r="A118" s="89" t="s">
        <v>867</v>
      </c>
      <c r="B118" s="89" t="s">
        <v>176</v>
      </c>
      <c r="C118" s="89"/>
      <c r="D118" s="89" t="s">
        <v>601</v>
      </c>
      <c r="E118" s="89" t="s">
        <v>0</v>
      </c>
      <c r="F118" s="89" t="s">
        <v>1755</v>
      </c>
      <c r="G118" s="89" t="s">
        <v>779</v>
      </c>
      <c r="H118" s="89"/>
      <c r="I118" s="9"/>
      <c r="J118" s="9"/>
      <c r="K118" s="9"/>
      <c r="AB118" s="26">
        <f t="shared" si="6"/>
        <v>0</v>
      </c>
      <c r="AC118" s="26">
        <f t="shared" si="7"/>
        <v>0</v>
      </c>
      <c r="AD118" s="26">
        <f t="shared" si="8"/>
        <v>0</v>
      </c>
      <c r="AE118" s="26">
        <f t="shared" si="9"/>
        <v>0</v>
      </c>
      <c r="AF118" s="26">
        <f t="shared" si="10"/>
        <v>0</v>
      </c>
      <c r="AG118" s="26">
        <f t="shared" si="11"/>
        <v>0</v>
      </c>
    </row>
    <row r="119" spans="1:33" customFormat="1" ht="51" hidden="1" x14ac:dyDescent="0.25">
      <c r="A119" s="89" t="s">
        <v>867</v>
      </c>
      <c r="B119" s="89" t="s">
        <v>176</v>
      </c>
      <c r="C119" s="89"/>
      <c r="D119" s="89" t="s">
        <v>602</v>
      </c>
      <c r="E119" s="89" t="s">
        <v>0</v>
      </c>
      <c r="F119" s="89" t="s">
        <v>1620</v>
      </c>
      <c r="G119" s="89" t="s">
        <v>781</v>
      </c>
      <c r="H119" s="89"/>
      <c r="I119" s="9"/>
      <c r="J119" s="9"/>
      <c r="K119" s="9"/>
      <c r="AB119" s="26">
        <f t="shared" si="6"/>
        <v>0</v>
      </c>
      <c r="AC119" s="26">
        <f t="shared" si="7"/>
        <v>0</v>
      </c>
      <c r="AD119" s="26">
        <f t="shared" si="8"/>
        <v>0</v>
      </c>
      <c r="AE119" s="26">
        <f t="shared" si="9"/>
        <v>0</v>
      </c>
      <c r="AF119" s="26">
        <f t="shared" si="10"/>
        <v>0</v>
      </c>
      <c r="AG119" s="26">
        <f t="shared" si="11"/>
        <v>0</v>
      </c>
    </row>
    <row r="120" spans="1:33" customFormat="1" ht="38.25" hidden="1" x14ac:dyDescent="0.25">
      <c r="A120" s="89" t="s">
        <v>867</v>
      </c>
      <c r="B120" s="89" t="s">
        <v>176</v>
      </c>
      <c r="C120" s="89"/>
      <c r="D120" s="89" t="s">
        <v>603</v>
      </c>
      <c r="E120" s="89" t="s">
        <v>0</v>
      </c>
      <c r="F120" s="89" t="s">
        <v>1622</v>
      </c>
      <c r="G120" s="89" t="s">
        <v>783</v>
      </c>
      <c r="H120" s="89"/>
      <c r="I120" s="9"/>
      <c r="J120" s="9"/>
      <c r="K120" s="9"/>
      <c r="AB120" s="26">
        <f t="shared" si="6"/>
        <v>0</v>
      </c>
      <c r="AC120" s="26">
        <f t="shared" si="7"/>
        <v>0</v>
      </c>
      <c r="AD120" s="26">
        <f t="shared" si="8"/>
        <v>0</v>
      </c>
      <c r="AE120" s="26">
        <f t="shared" si="9"/>
        <v>0</v>
      </c>
      <c r="AF120" s="26">
        <f t="shared" si="10"/>
        <v>0</v>
      </c>
      <c r="AG120" s="26">
        <f t="shared" si="11"/>
        <v>0</v>
      </c>
    </row>
    <row r="121" spans="1:33" customFormat="1" ht="38.25" hidden="1" x14ac:dyDescent="0.25">
      <c r="A121" s="89" t="s">
        <v>867</v>
      </c>
      <c r="B121" s="89" t="s">
        <v>176</v>
      </c>
      <c r="C121" s="89"/>
      <c r="D121" s="89" t="s">
        <v>604</v>
      </c>
      <c r="E121" s="89" t="s">
        <v>0</v>
      </c>
      <c r="F121" s="89" t="s">
        <v>1624</v>
      </c>
      <c r="G121" s="89" t="s">
        <v>785</v>
      </c>
      <c r="H121" s="89"/>
      <c r="I121" s="9"/>
      <c r="J121" s="9"/>
      <c r="K121" s="9"/>
      <c r="AB121" s="26">
        <f t="shared" si="6"/>
        <v>0</v>
      </c>
      <c r="AC121" s="26">
        <f t="shared" si="7"/>
        <v>0</v>
      </c>
      <c r="AD121" s="26">
        <f t="shared" si="8"/>
        <v>0</v>
      </c>
      <c r="AE121" s="26">
        <f t="shared" si="9"/>
        <v>0</v>
      </c>
      <c r="AF121" s="26">
        <f t="shared" si="10"/>
        <v>0</v>
      </c>
      <c r="AG121" s="26">
        <f t="shared" si="11"/>
        <v>0</v>
      </c>
    </row>
    <row r="122" spans="1:33" ht="38.25" hidden="1" x14ac:dyDescent="0.2">
      <c r="A122" s="89" t="s">
        <v>867</v>
      </c>
      <c r="B122" s="89" t="s">
        <v>176</v>
      </c>
      <c r="C122" s="89"/>
      <c r="D122" s="89" t="s">
        <v>605</v>
      </c>
      <c r="E122" s="89" t="s">
        <v>0</v>
      </c>
      <c r="F122" s="89" t="s">
        <v>1626</v>
      </c>
      <c r="G122" s="89" t="s">
        <v>787</v>
      </c>
      <c r="H122" s="89"/>
      <c r="I122" s="9"/>
      <c r="J122" s="9"/>
      <c r="K122" s="9"/>
      <c r="AB122" s="26">
        <f t="shared" si="6"/>
        <v>0</v>
      </c>
      <c r="AC122" s="26">
        <f t="shared" si="7"/>
        <v>0</v>
      </c>
      <c r="AD122" s="26">
        <f t="shared" si="8"/>
        <v>0</v>
      </c>
      <c r="AE122" s="26">
        <f t="shared" si="9"/>
        <v>0</v>
      </c>
      <c r="AF122" s="26">
        <f t="shared" si="10"/>
        <v>0</v>
      </c>
      <c r="AG122" s="26">
        <f t="shared" si="11"/>
        <v>0</v>
      </c>
    </row>
    <row r="123" spans="1:33" customFormat="1" ht="25.5" hidden="1" x14ac:dyDescent="0.25">
      <c r="A123" s="89" t="s">
        <v>867</v>
      </c>
      <c r="B123" s="89" t="s">
        <v>176</v>
      </c>
      <c r="C123" s="89"/>
      <c r="D123" s="89" t="s">
        <v>606</v>
      </c>
      <c r="E123" s="89" t="s">
        <v>0</v>
      </c>
      <c r="F123" s="89" t="s">
        <v>1628</v>
      </c>
      <c r="G123" s="89" t="s">
        <v>789</v>
      </c>
      <c r="H123" s="89"/>
      <c r="I123" s="9"/>
      <c r="J123" s="9"/>
      <c r="K123" s="9"/>
      <c r="AB123" s="26">
        <f t="shared" si="6"/>
        <v>0</v>
      </c>
      <c r="AC123" s="26">
        <f t="shared" si="7"/>
        <v>0</v>
      </c>
      <c r="AD123" s="26">
        <f t="shared" si="8"/>
        <v>0</v>
      </c>
      <c r="AE123" s="26">
        <f t="shared" si="9"/>
        <v>0</v>
      </c>
      <c r="AF123" s="26">
        <f t="shared" si="10"/>
        <v>0</v>
      </c>
      <c r="AG123" s="26">
        <f t="shared" si="11"/>
        <v>0</v>
      </c>
    </row>
    <row r="124" spans="1:33" customFormat="1" ht="38.25" hidden="1" x14ac:dyDescent="0.25">
      <c r="A124" s="89" t="s">
        <v>867</v>
      </c>
      <c r="B124" s="89" t="s">
        <v>176</v>
      </c>
      <c r="C124" s="89"/>
      <c r="D124" s="89" t="s">
        <v>608</v>
      </c>
      <c r="E124" s="89" t="s">
        <v>0</v>
      </c>
      <c r="F124" s="89" t="s">
        <v>1630</v>
      </c>
      <c r="G124" s="89" t="s">
        <v>791</v>
      </c>
      <c r="H124" s="89"/>
      <c r="I124" s="9"/>
      <c r="J124" s="9"/>
      <c r="K124" s="9"/>
      <c r="AB124" s="26">
        <f t="shared" si="6"/>
        <v>0</v>
      </c>
      <c r="AC124" s="26">
        <f t="shared" si="7"/>
        <v>0</v>
      </c>
      <c r="AD124" s="26">
        <f t="shared" si="8"/>
        <v>0</v>
      </c>
      <c r="AE124" s="26">
        <f t="shared" si="9"/>
        <v>0</v>
      </c>
      <c r="AF124" s="26">
        <f t="shared" si="10"/>
        <v>0</v>
      </c>
      <c r="AG124" s="26">
        <f t="shared" si="11"/>
        <v>0</v>
      </c>
    </row>
    <row r="125" spans="1:33" customFormat="1" ht="38.25" hidden="1" x14ac:dyDescent="0.25">
      <c r="A125" s="89" t="s">
        <v>867</v>
      </c>
      <c r="B125" s="89" t="s">
        <v>176</v>
      </c>
      <c r="C125" s="89"/>
      <c r="D125" s="89" t="s">
        <v>609</v>
      </c>
      <c r="E125" s="89" t="s">
        <v>0</v>
      </c>
      <c r="F125" s="89" t="s">
        <v>1632</v>
      </c>
      <c r="G125" s="89" t="s">
        <v>1220</v>
      </c>
      <c r="H125" s="89"/>
      <c r="I125" s="9"/>
      <c r="J125" s="9"/>
      <c r="K125" s="9"/>
      <c r="AB125" s="26">
        <f t="shared" si="6"/>
        <v>0</v>
      </c>
      <c r="AC125" s="26">
        <f t="shared" si="7"/>
        <v>0</v>
      </c>
      <c r="AD125" s="26">
        <f t="shared" si="8"/>
        <v>0</v>
      </c>
      <c r="AE125" s="26">
        <f t="shared" si="9"/>
        <v>0</v>
      </c>
      <c r="AF125" s="26">
        <f t="shared" si="10"/>
        <v>0</v>
      </c>
      <c r="AG125" s="26">
        <f t="shared" si="11"/>
        <v>0</v>
      </c>
    </row>
    <row r="126" spans="1:33" customFormat="1" ht="25.5" hidden="1" x14ac:dyDescent="0.25">
      <c r="A126" s="89" t="s">
        <v>868</v>
      </c>
      <c r="B126" s="89" t="s">
        <v>185</v>
      </c>
      <c r="C126" s="89"/>
      <c r="D126" s="89" t="s">
        <v>601</v>
      </c>
      <c r="E126" s="89" t="s">
        <v>8</v>
      </c>
      <c r="F126" s="89" t="s">
        <v>543</v>
      </c>
      <c r="G126" s="89"/>
      <c r="H126" s="89"/>
      <c r="I126" s="9"/>
      <c r="J126" s="9"/>
      <c r="K126" s="9"/>
      <c r="AB126" s="26">
        <f t="shared" si="6"/>
        <v>0</v>
      </c>
      <c r="AC126" s="26">
        <f t="shared" si="7"/>
        <v>0</v>
      </c>
      <c r="AD126" s="26">
        <f t="shared" si="8"/>
        <v>0</v>
      </c>
      <c r="AE126" s="26">
        <f t="shared" si="9"/>
        <v>0</v>
      </c>
      <c r="AF126" s="26">
        <f t="shared" si="10"/>
        <v>0</v>
      </c>
      <c r="AG126" s="26">
        <f t="shared" si="11"/>
        <v>0</v>
      </c>
    </row>
    <row r="127" spans="1:33" customFormat="1" ht="25.5" x14ac:dyDescent="0.25">
      <c r="A127" s="89" t="s">
        <v>868</v>
      </c>
      <c r="B127" s="89" t="s">
        <v>202</v>
      </c>
      <c r="C127" s="89"/>
      <c r="D127" s="89" t="s">
        <v>612</v>
      </c>
      <c r="E127" s="89" t="s">
        <v>309</v>
      </c>
      <c r="F127" s="89" t="s">
        <v>1478</v>
      </c>
      <c r="G127" s="89"/>
      <c r="H127" s="89"/>
      <c r="I127" s="9"/>
      <c r="J127" s="9"/>
      <c r="K127" s="9"/>
      <c r="AB127" s="26">
        <f t="shared" si="6"/>
        <v>0</v>
      </c>
      <c r="AC127" s="26">
        <f t="shared" si="7"/>
        <v>0</v>
      </c>
      <c r="AD127" s="26">
        <f t="shared" si="8"/>
        <v>0</v>
      </c>
      <c r="AE127" s="26">
        <f t="shared" si="9"/>
        <v>0</v>
      </c>
      <c r="AF127" s="26">
        <f t="shared" si="10"/>
        <v>0</v>
      </c>
      <c r="AG127" s="26">
        <f t="shared" si="11"/>
        <v>1</v>
      </c>
    </row>
    <row r="128" spans="1:33" customFormat="1" ht="15" hidden="1" x14ac:dyDescent="0.25">
      <c r="A128" s="89" t="s">
        <v>868</v>
      </c>
      <c r="B128" s="89" t="s">
        <v>202</v>
      </c>
      <c r="C128" s="89"/>
      <c r="D128" s="89" t="s">
        <v>601</v>
      </c>
      <c r="E128" s="89" t="s">
        <v>8</v>
      </c>
      <c r="F128" s="89" t="s">
        <v>549</v>
      </c>
      <c r="G128" s="89"/>
      <c r="H128" s="89"/>
      <c r="I128" s="9"/>
      <c r="J128" s="9"/>
      <c r="K128" s="9"/>
      <c r="AB128" s="26">
        <f t="shared" si="6"/>
        <v>0</v>
      </c>
      <c r="AC128" s="26">
        <f t="shared" si="7"/>
        <v>0</v>
      </c>
      <c r="AD128" s="26">
        <f t="shared" si="8"/>
        <v>0</v>
      </c>
      <c r="AE128" s="26">
        <f t="shared" si="9"/>
        <v>0</v>
      </c>
      <c r="AF128" s="26">
        <f t="shared" si="10"/>
        <v>0</v>
      </c>
      <c r="AG128" s="26">
        <f t="shared" si="11"/>
        <v>0</v>
      </c>
    </row>
    <row r="129" spans="1:33" customFormat="1" ht="140.25" hidden="1" x14ac:dyDescent="0.25">
      <c r="A129" s="89" t="s">
        <v>867</v>
      </c>
      <c r="B129" s="89" t="s">
        <v>202</v>
      </c>
      <c r="C129" s="89"/>
      <c r="D129" s="89" t="s">
        <v>601</v>
      </c>
      <c r="E129" s="89" t="s">
        <v>0</v>
      </c>
      <c r="F129" s="89" t="s">
        <v>1648</v>
      </c>
      <c r="G129" s="89" t="s">
        <v>809</v>
      </c>
      <c r="H129" s="89"/>
      <c r="I129" s="9"/>
      <c r="J129" s="9"/>
      <c r="K129" s="9"/>
      <c r="AB129" s="26">
        <f t="shared" si="6"/>
        <v>0</v>
      </c>
      <c r="AC129" s="26">
        <f t="shared" si="7"/>
        <v>0</v>
      </c>
      <c r="AD129" s="26">
        <f t="shared" si="8"/>
        <v>0</v>
      </c>
      <c r="AE129" s="26">
        <f t="shared" si="9"/>
        <v>0</v>
      </c>
      <c r="AF129" s="26">
        <f t="shared" si="10"/>
        <v>0</v>
      </c>
      <c r="AG129" s="26">
        <f t="shared" si="11"/>
        <v>0</v>
      </c>
    </row>
    <row r="130" spans="1:33" customFormat="1" ht="114.75" hidden="1" x14ac:dyDescent="0.25">
      <c r="A130" s="89" t="s">
        <v>867</v>
      </c>
      <c r="B130" s="89" t="s">
        <v>202</v>
      </c>
      <c r="C130" s="89"/>
      <c r="D130" s="89" t="s">
        <v>602</v>
      </c>
      <c r="E130" s="89" t="s">
        <v>0</v>
      </c>
      <c r="F130" s="89" t="s">
        <v>1761</v>
      </c>
      <c r="G130" s="89" t="s">
        <v>810</v>
      </c>
      <c r="H130" s="89"/>
      <c r="I130" s="9"/>
      <c r="J130" s="9"/>
      <c r="K130" s="9"/>
      <c r="AB130" s="26">
        <f t="shared" si="6"/>
        <v>0</v>
      </c>
      <c r="AC130" s="26">
        <f t="shared" si="7"/>
        <v>0</v>
      </c>
      <c r="AD130" s="26">
        <f t="shared" si="8"/>
        <v>0</v>
      </c>
      <c r="AE130" s="26">
        <f t="shared" si="9"/>
        <v>0</v>
      </c>
      <c r="AF130" s="26">
        <f t="shared" si="10"/>
        <v>0</v>
      </c>
      <c r="AG130" s="26">
        <f t="shared" si="11"/>
        <v>0</v>
      </c>
    </row>
    <row r="131" spans="1:33" ht="63.75" hidden="1" x14ac:dyDescent="0.2">
      <c r="A131" s="89" t="s">
        <v>867</v>
      </c>
      <c r="B131" s="89" t="s">
        <v>202</v>
      </c>
      <c r="C131" s="89"/>
      <c r="D131" s="89" t="s">
        <v>603</v>
      </c>
      <c r="E131" s="89" t="s">
        <v>0</v>
      </c>
      <c r="F131" s="89" t="s">
        <v>1650</v>
      </c>
      <c r="G131" s="89" t="s">
        <v>812</v>
      </c>
      <c r="H131" s="89"/>
      <c r="I131" s="9"/>
      <c r="J131" s="9"/>
      <c r="K131" s="9"/>
      <c r="AB131" s="26">
        <f t="shared" si="6"/>
        <v>0</v>
      </c>
      <c r="AC131" s="26">
        <f t="shared" si="7"/>
        <v>0</v>
      </c>
      <c r="AD131" s="26">
        <f t="shared" si="8"/>
        <v>0</v>
      </c>
      <c r="AE131" s="26">
        <f t="shared" si="9"/>
        <v>0</v>
      </c>
      <c r="AF131" s="26">
        <f t="shared" si="10"/>
        <v>0</v>
      </c>
      <c r="AG131" s="26">
        <f t="shared" si="11"/>
        <v>0</v>
      </c>
    </row>
    <row r="132" spans="1:33" customFormat="1" ht="63.75" hidden="1" x14ac:dyDescent="0.25">
      <c r="A132" s="89" t="s">
        <v>867</v>
      </c>
      <c r="B132" s="89" t="s">
        <v>202</v>
      </c>
      <c r="C132" s="89"/>
      <c r="D132" s="89" t="s">
        <v>604</v>
      </c>
      <c r="E132" s="89" t="s">
        <v>0</v>
      </c>
      <c r="F132" s="89" t="s">
        <v>1652</v>
      </c>
      <c r="G132" s="89" t="s">
        <v>813</v>
      </c>
      <c r="H132" s="89"/>
      <c r="I132" s="9"/>
      <c r="J132" s="9"/>
      <c r="K132" s="9"/>
      <c r="AB132" s="26">
        <f t="shared" si="6"/>
        <v>0</v>
      </c>
      <c r="AC132" s="26">
        <f t="shared" si="7"/>
        <v>0</v>
      </c>
      <c r="AD132" s="26">
        <f t="shared" si="8"/>
        <v>0</v>
      </c>
      <c r="AE132" s="26">
        <f t="shared" si="9"/>
        <v>0</v>
      </c>
      <c r="AF132" s="26">
        <f t="shared" si="10"/>
        <v>0</v>
      </c>
      <c r="AG132" s="26">
        <f t="shared" si="11"/>
        <v>0</v>
      </c>
    </row>
    <row r="133" spans="1:33" customFormat="1" ht="15" x14ac:dyDescent="0.25">
      <c r="A133" s="89" t="s">
        <v>867</v>
      </c>
      <c r="B133" s="89" t="s">
        <v>205</v>
      </c>
      <c r="C133" s="89"/>
      <c r="D133" s="89" t="s">
        <v>612</v>
      </c>
      <c r="E133" s="89" t="s">
        <v>330</v>
      </c>
      <c r="F133" s="89" t="s">
        <v>815</v>
      </c>
      <c r="G133" s="89"/>
      <c r="H133" s="89"/>
      <c r="I133" s="9"/>
      <c r="J133" s="9"/>
      <c r="K133" s="9"/>
      <c r="AB133" s="26">
        <f t="shared" si="6"/>
        <v>0</v>
      </c>
      <c r="AC133" s="26">
        <f t="shared" si="7"/>
        <v>0</v>
      </c>
      <c r="AD133" s="26">
        <f t="shared" si="8"/>
        <v>0</v>
      </c>
      <c r="AE133" s="26">
        <f t="shared" si="9"/>
        <v>0</v>
      </c>
      <c r="AF133" s="26">
        <f t="shared" si="10"/>
        <v>0</v>
      </c>
      <c r="AG133" s="26">
        <f t="shared" si="11"/>
        <v>1</v>
      </c>
    </row>
    <row r="134" spans="1:33" customFormat="1" ht="38.25" hidden="1" x14ac:dyDescent="0.25">
      <c r="A134" s="89" t="s">
        <v>867</v>
      </c>
      <c r="B134" s="89" t="s">
        <v>205</v>
      </c>
      <c r="C134" s="89"/>
      <c r="D134" s="89" t="s">
        <v>602</v>
      </c>
      <c r="E134" s="89" t="s">
        <v>0</v>
      </c>
      <c r="F134" s="89" t="s">
        <v>1654</v>
      </c>
      <c r="G134" s="89" t="s">
        <v>817</v>
      </c>
      <c r="H134" s="89"/>
      <c r="I134" s="9"/>
      <c r="J134" s="9"/>
      <c r="K134" s="9"/>
      <c r="AB134" s="26">
        <f t="shared" si="6"/>
        <v>0</v>
      </c>
      <c r="AC134" s="26">
        <f t="shared" si="7"/>
        <v>0</v>
      </c>
      <c r="AD134" s="26">
        <f t="shared" si="8"/>
        <v>0</v>
      </c>
      <c r="AE134" s="26">
        <f t="shared" si="9"/>
        <v>0</v>
      </c>
      <c r="AF134" s="26">
        <f t="shared" si="10"/>
        <v>0</v>
      </c>
      <c r="AG134" s="26">
        <f t="shared" si="11"/>
        <v>0</v>
      </c>
    </row>
    <row r="135" spans="1:33" customFormat="1" ht="25.5" hidden="1" x14ac:dyDescent="0.25">
      <c r="A135" s="89" t="s">
        <v>867</v>
      </c>
      <c r="B135" s="89" t="s">
        <v>205</v>
      </c>
      <c r="C135" s="89"/>
      <c r="D135" s="89" t="s">
        <v>603</v>
      </c>
      <c r="E135" s="89" t="s">
        <v>0</v>
      </c>
      <c r="F135" s="89" t="s">
        <v>1656</v>
      </c>
      <c r="G135" s="89" t="s">
        <v>819</v>
      </c>
      <c r="H135" s="89"/>
      <c r="I135" s="9"/>
      <c r="J135" s="9"/>
      <c r="K135" s="9"/>
      <c r="AB135" s="26">
        <f t="shared" si="6"/>
        <v>0</v>
      </c>
      <c r="AC135" s="26">
        <f t="shared" si="7"/>
        <v>0</v>
      </c>
      <c r="AD135" s="26">
        <f t="shared" si="8"/>
        <v>0</v>
      </c>
      <c r="AE135" s="26">
        <f t="shared" si="9"/>
        <v>0</v>
      </c>
      <c r="AF135" s="26">
        <f t="shared" si="10"/>
        <v>0</v>
      </c>
      <c r="AG135" s="26">
        <f t="shared" si="11"/>
        <v>0</v>
      </c>
    </row>
    <row r="136" spans="1:33" x14ac:dyDescent="0.2">
      <c r="A136" s="89" t="s">
        <v>867</v>
      </c>
      <c r="B136" s="89" t="s">
        <v>384</v>
      </c>
      <c r="C136" s="89"/>
      <c r="D136" s="89" t="s">
        <v>612</v>
      </c>
      <c r="E136" s="89" t="s">
        <v>330</v>
      </c>
      <c r="F136" s="89" t="s">
        <v>222</v>
      </c>
      <c r="G136" s="89"/>
      <c r="H136" s="89"/>
      <c r="I136" s="9"/>
      <c r="J136" s="9"/>
      <c r="K136" s="9"/>
      <c r="AB136" s="26">
        <f t="shared" si="6"/>
        <v>0</v>
      </c>
      <c r="AC136" s="26">
        <f t="shared" si="7"/>
        <v>0</v>
      </c>
      <c r="AD136" s="26">
        <f t="shared" si="8"/>
        <v>0</v>
      </c>
      <c r="AE136" s="26">
        <f t="shared" si="9"/>
        <v>0</v>
      </c>
      <c r="AF136" s="26">
        <f t="shared" si="10"/>
        <v>0</v>
      </c>
      <c r="AG136" s="26">
        <f t="shared" si="11"/>
        <v>1</v>
      </c>
    </row>
    <row r="137" spans="1:33" ht="63.75" hidden="1" x14ac:dyDescent="0.2">
      <c r="A137" s="89" t="s">
        <v>867</v>
      </c>
      <c r="B137" s="89" t="s">
        <v>384</v>
      </c>
      <c r="C137" s="89"/>
      <c r="D137" s="89" t="s">
        <v>606</v>
      </c>
      <c r="E137" s="89" t="s">
        <v>0</v>
      </c>
      <c r="F137" s="89" t="s">
        <v>1670</v>
      </c>
      <c r="G137" s="89" t="s">
        <v>1477</v>
      </c>
      <c r="H137" s="89"/>
      <c r="I137" s="9"/>
      <c r="J137" s="9"/>
      <c r="K137" s="9"/>
      <c r="AB137" s="26">
        <f t="shared" si="6"/>
        <v>0</v>
      </c>
      <c r="AC137" s="26">
        <f t="shared" si="7"/>
        <v>0</v>
      </c>
      <c r="AD137" s="26">
        <f t="shared" si="8"/>
        <v>0</v>
      </c>
      <c r="AE137" s="26">
        <f t="shared" si="9"/>
        <v>0</v>
      </c>
      <c r="AF137" s="26">
        <f t="shared" si="10"/>
        <v>0</v>
      </c>
      <c r="AG137" s="26">
        <f t="shared" si="11"/>
        <v>0</v>
      </c>
    </row>
    <row r="138" spans="1:33" ht="38.25" hidden="1" x14ac:dyDescent="0.2">
      <c r="A138" s="89" t="s">
        <v>867</v>
      </c>
      <c r="B138" s="89" t="s">
        <v>384</v>
      </c>
      <c r="C138" s="89"/>
      <c r="D138" s="89" t="s">
        <v>608</v>
      </c>
      <c r="E138" s="89" t="s">
        <v>0</v>
      </c>
      <c r="F138" s="89" t="s">
        <v>1672</v>
      </c>
      <c r="G138" s="89" t="s">
        <v>833</v>
      </c>
      <c r="H138" s="89"/>
      <c r="I138" s="9"/>
      <c r="J138" s="9"/>
      <c r="K138" s="9"/>
      <c r="AB138" s="26">
        <f t="shared" si="6"/>
        <v>0</v>
      </c>
      <c r="AC138" s="26">
        <f t="shared" si="7"/>
        <v>0</v>
      </c>
      <c r="AD138" s="26">
        <f t="shared" si="8"/>
        <v>0</v>
      </c>
      <c r="AE138" s="26">
        <f t="shared" si="9"/>
        <v>0</v>
      </c>
      <c r="AF138" s="26">
        <f t="shared" si="10"/>
        <v>0</v>
      </c>
      <c r="AG138" s="26">
        <f t="shared" si="11"/>
        <v>0</v>
      </c>
    </row>
    <row r="139" spans="1:33" ht="76.5" hidden="1" x14ac:dyDescent="0.2">
      <c r="A139" s="89" t="s">
        <v>867</v>
      </c>
      <c r="B139" s="89" t="s">
        <v>384</v>
      </c>
      <c r="C139" s="89"/>
      <c r="D139" s="89" t="s">
        <v>609</v>
      </c>
      <c r="E139" s="89" t="s">
        <v>0</v>
      </c>
      <c r="F139" s="89" t="s">
        <v>1674</v>
      </c>
      <c r="G139" s="89" t="s">
        <v>834</v>
      </c>
      <c r="H139" s="89"/>
      <c r="I139" s="9"/>
      <c r="J139" s="9"/>
      <c r="K139" s="9"/>
      <c r="AB139" s="26">
        <f t="shared" si="6"/>
        <v>0</v>
      </c>
      <c r="AC139" s="26">
        <f t="shared" si="7"/>
        <v>0</v>
      </c>
      <c r="AD139" s="26">
        <f t="shared" si="8"/>
        <v>0</v>
      </c>
      <c r="AE139" s="26">
        <f t="shared" si="9"/>
        <v>0</v>
      </c>
      <c r="AF139" s="26">
        <f t="shared" si="10"/>
        <v>0</v>
      </c>
      <c r="AG139" s="26">
        <f t="shared" si="11"/>
        <v>0</v>
      </c>
    </row>
    <row r="140" spans="1:33" ht="25.5" hidden="1" x14ac:dyDescent="0.2">
      <c r="A140" s="89" t="s">
        <v>868</v>
      </c>
      <c r="B140" s="89" t="s">
        <v>219</v>
      </c>
      <c r="C140" s="89"/>
      <c r="D140" s="89" t="s">
        <v>601</v>
      </c>
      <c r="E140" s="89" t="s">
        <v>8</v>
      </c>
      <c r="F140" s="89" t="s">
        <v>575</v>
      </c>
      <c r="G140" s="89"/>
      <c r="H140" s="89"/>
      <c r="I140" s="9"/>
      <c r="J140" s="9"/>
      <c r="K140" s="9"/>
      <c r="AB140" s="26">
        <f t="shared" si="6"/>
        <v>0</v>
      </c>
      <c r="AC140" s="26">
        <f t="shared" si="7"/>
        <v>0</v>
      </c>
      <c r="AD140" s="26">
        <f t="shared" si="8"/>
        <v>0</v>
      </c>
      <c r="AE140" s="26">
        <f t="shared" si="9"/>
        <v>0</v>
      </c>
      <c r="AF140" s="26">
        <f t="shared" si="10"/>
        <v>0</v>
      </c>
      <c r="AG140" s="26">
        <f t="shared" si="11"/>
        <v>0</v>
      </c>
    </row>
    <row r="141" spans="1:33" ht="25.5" x14ac:dyDescent="0.2">
      <c r="A141" s="89" t="s">
        <v>868</v>
      </c>
      <c r="B141" s="89" t="s">
        <v>273</v>
      </c>
      <c r="C141" s="89"/>
      <c r="D141" s="89" t="s">
        <v>612</v>
      </c>
      <c r="E141" s="89" t="s">
        <v>309</v>
      </c>
      <c r="F141" s="89" t="s">
        <v>1460</v>
      </c>
      <c r="G141" s="89"/>
      <c r="H141" s="89"/>
      <c r="I141" s="9"/>
      <c r="J141" s="9"/>
      <c r="K141" s="9"/>
      <c r="AB141" s="26">
        <f t="shared" si="6"/>
        <v>0</v>
      </c>
      <c r="AC141" s="26">
        <f t="shared" si="7"/>
        <v>0</v>
      </c>
      <c r="AD141" s="26">
        <f t="shared" si="8"/>
        <v>0</v>
      </c>
      <c r="AE141" s="26">
        <f t="shared" si="9"/>
        <v>0</v>
      </c>
      <c r="AF141" s="26">
        <f t="shared" si="10"/>
        <v>0</v>
      </c>
      <c r="AG141" s="26">
        <f t="shared" si="11"/>
        <v>1</v>
      </c>
    </row>
    <row r="142" spans="1:33" ht="25.5" hidden="1" x14ac:dyDescent="0.2">
      <c r="A142" s="89" t="s">
        <v>868</v>
      </c>
      <c r="B142" s="89" t="s">
        <v>273</v>
      </c>
      <c r="C142" s="89"/>
      <c r="D142" s="89" t="s">
        <v>602</v>
      </c>
      <c r="E142" s="89" t="s">
        <v>8</v>
      </c>
      <c r="F142" s="89" t="s">
        <v>577</v>
      </c>
      <c r="G142" s="89"/>
      <c r="H142" s="89"/>
      <c r="I142" s="9"/>
      <c r="J142" s="9"/>
      <c r="K142" s="9"/>
      <c r="AB142" s="26">
        <f t="shared" si="6"/>
        <v>0</v>
      </c>
      <c r="AC142" s="26">
        <f t="shared" si="7"/>
        <v>0</v>
      </c>
      <c r="AD142" s="26">
        <f t="shared" si="8"/>
        <v>0</v>
      </c>
      <c r="AE142" s="26">
        <f t="shared" si="9"/>
        <v>0</v>
      </c>
      <c r="AF142" s="26">
        <f t="shared" si="10"/>
        <v>0</v>
      </c>
      <c r="AG142" s="26">
        <f t="shared" si="11"/>
        <v>0</v>
      </c>
    </row>
    <row r="143" spans="1:33" ht="25.5" hidden="1" x14ac:dyDescent="0.2">
      <c r="A143" s="89" t="s">
        <v>868</v>
      </c>
      <c r="B143" s="89" t="s">
        <v>273</v>
      </c>
      <c r="C143" s="89"/>
      <c r="D143" s="89" t="s">
        <v>603</v>
      </c>
      <c r="E143" s="89" t="s">
        <v>8</v>
      </c>
      <c r="F143" s="89" t="s">
        <v>579</v>
      </c>
      <c r="G143" s="89"/>
      <c r="H143" s="89"/>
      <c r="I143" s="9"/>
      <c r="J143" s="9"/>
      <c r="K143" s="9"/>
      <c r="AB143" s="26">
        <f t="shared" ref="AB143:AB206" si="12">IF(AND($D143="Question",$H143="OK"),1,0)</f>
        <v>0</v>
      </c>
      <c r="AC143" s="26">
        <f t="shared" ref="AC143:AC206" si="13">IF(AND($D143="Question",$H143="OK with hints"),1,0)</f>
        <v>0</v>
      </c>
      <c r="AD143" s="26">
        <f t="shared" ref="AD143:AD206" si="14">IF(AND($D143="Question",$H143="Minor non-conformity"),1,0)</f>
        <v>0</v>
      </c>
      <c r="AE143" s="26">
        <f t="shared" ref="AE143:AE206" si="15">IF(AND($D143="Question",$H143="Major non-conformity"),1,0)</f>
        <v>0</v>
      </c>
      <c r="AF143" s="26">
        <f t="shared" ref="AF143:AF206" si="16">IF(AND($D143="Question",$H143="Not applicable"),1,0)</f>
        <v>0</v>
      </c>
      <c r="AG143" s="26">
        <f t="shared" ref="AG143:AG206" si="17">IF(AND($D143="Question",$H143=""),1,0)</f>
        <v>0</v>
      </c>
    </row>
    <row r="144" spans="1:33" x14ac:dyDescent="0.2">
      <c r="A144" s="89" t="s">
        <v>868</v>
      </c>
      <c r="B144" s="89" t="s">
        <v>282</v>
      </c>
      <c r="C144" s="89"/>
      <c r="D144" s="89" t="s">
        <v>612</v>
      </c>
      <c r="E144" s="89" t="s">
        <v>309</v>
      </c>
      <c r="F144" s="89" t="s">
        <v>1485</v>
      </c>
      <c r="G144" s="89"/>
      <c r="H144" s="89"/>
      <c r="I144" s="9"/>
      <c r="J144" s="9"/>
      <c r="K144" s="9"/>
      <c r="AB144" s="26">
        <f t="shared" si="12"/>
        <v>0</v>
      </c>
      <c r="AC144" s="26">
        <f t="shared" si="13"/>
        <v>0</v>
      </c>
      <c r="AD144" s="26">
        <f t="shared" si="14"/>
        <v>0</v>
      </c>
      <c r="AE144" s="26">
        <f t="shared" si="15"/>
        <v>0</v>
      </c>
      <c r="AF144" s="26">
        <f t="shared" si="16"/>
        <v>0</v>
      </c>
      <c r="AG144" s="26">
        <f t="shared" si="17"/>
        <v>1</v>
      </c>
    </row>
    <row r="145" spans="1:33" ht="25.5" hidden="1" x14ac:dyDescent="0.2">
      <c r="A145" s="89" t="s">
        <v>868</v>
      </c>
      <c r="B145" s="89" t="s">
        <v>282</v>
      </c>
      <c r="C145" s="89"/>
      <c r="D145" s="89" t="s">
        <v>604</v>
      </c>
      <c r="E145" s="89" t="s">
        <v>8</v>
      </c>
      <c r="F145" s="89" t="s">
        <v>585</v>
      </c>
      <c r="G145" s="89"/>
      <c r="H145" s="89"/>
      <c r="I145" s="9"/>
      <c r="J145" s="9"/>
      <c r="K145" s="9"/>
      <c r="AB145" s="26">
        <f t="shared" si="12"/>
        <v>0</v>
      </c>
      <c r="AC145" s="26">
        <f t="shared" si="13"/>
        <v>0</v>
      </c>
      <c r="AD145" s="26">
        <f t="shared" si="14"/>
        <v>0</v>
      </c>
      <c r="AE145" s="26">
        <f t="shared" si="15"/>
        <v>0</v>
      </c>
      <c r="AF145" s="26">
        <f t="shared" si="16"/>
        <v>0</v>
      </c>
      <c r="AG145" s="26">
        <f t="shared" si="17"/>
        <v>0</v>
      </c>
    </row>
    <row r="146" spans="1:33" ht="38.25" hidden="1" x14ac:dyDescent="0.2">
      <c r="A146" s="89" t="s">
        <v>868</v>
      </c>
      <c r="B146" s="89" t="s">
        <v>282</v>
      </c>
      <c r="C146" s="89"/>
      <c r="D146" s="89" t="s">
        <v>605</v>
      </c>
      <c r="E146" s="89" t="s">
        <v>8</v>
      </c>
      <c r="F146" s="89" t="s">
        <v>587</v>
      </c>
      <c r="G146" s="89"/>
      <c r="H146" s="89"/>
      <c r="I146" s="9"/>
      <c r="J146" s="9"/>
      <c r="K146" s="9"/>
      <c r="AB146" s="26">
        <f t="shared" si="12"/>
        <v>0</v>
      </c>
      <c r="AC146" s="26">
        <f t="shared" si="13"/>
        <v>0</v>
      </c>
      <c r="AD146" s="26">
        <f t="shared" si="14"/>
        <v>0</v>
      </c>
      <c r="AE146" s="26">
        <f t="shared" si="15"/>
        <v>0</v>
      </c>
      <c r="AF146" s="26">
        <f t="shared" si="16"/>
        <v>0</v>
      </c>
      <c r="AG146" s="26">
        <f t="shared" si="17"/>
        <v>0</v>
      </c>
    </row>
    <row r="147" spans="1:33" ht="51" hidden="1" x14ac:dyDescent="0.2">
      <c r="A147" s="89" t="s">
        <v>868</v>
      </c>
      <c r="B147" s="89" t="s">
        <v>282</v>
      </c>
      <c r="C147" s="89"/>
      <c r="D147" s="89" t="s">
        <v>606</v>
      </c>
      <c r="E147" s="89" t="s">
        <v>8</v>
      </c>
      <c r="F147" s="89" t="s">
        <v>589</v>
      </c>
      <c r="G147" s="89"/>
      <c r="H147" s="89"/>
      <c r="I147" s="9"/>
      <c r="J147" s="9"/>
      <c r="K147" s="9"/>
      <c r="AB147" s="26">
        <f t="shared" si="12"/>
        <v>0</v>
      </c>
      <c r="AC147" s="26">
        <f t="shared" si="13"/>
        <v>0</v>
      </c>
      <c r="AD147" s="26">
        <f t="shared" si="14"/>
        <v>0</v>
      </c>
      <c r="AE147" s="26">
        <f t="shared" si="15"/>
        <v>0</v>
      </c>
      <c r="AF147" s="26">
        <f t="shared" si="16"/>
        <v>0</v>
      </c>
      <c r="AG147" s="26">
        <f t="shared" si="17"/>
        <v>0</v>
      </c>
    </row>
    <row r="148" spans="1:33" ht="38.25" hidden="1" x14ac:dyDescent="0.2">
      <c r="A148" s="89" t="s">
        <v>868</v>
      </c>
      <c r="B148" s="89" t="s">
        <v>282</v>
      </c>
      <c r="C148" s="89"/>
      <c r="D148" s="89" t="s">
        <v>608</v>
      </c>
      <c r="E148" s="89" t="s">
        <v>8</v>
      </c>
      <c r="F148" s="89" t="s">
        <v>591</v>
      </c>
      <c r="G148" s="89"/>
      <c r="H148" s="89"/>
      <c r="I148" s="9"/>
      <c r="J148" s="9"/>
      <c r="K148" s="9"/>
      <c r="AB148" s="26">
        <f t="shared" si="12"/>
        <v>0</v>
      </c>
      <c r="AC148" s="26">
        <f t="shared" si="13"/>
        <v>0</v>
      </c>
      <c r="AD148" s="26">
        <f t="shared" si="14"/>
        <v>0</v>
      </c>
      <c r="AE148" s="26">
        <f t="shared" si="15"/>
        <v>0</v>
      </c>
      <c r="AF148" s="26">
        <f t="shared" si="16"/>
        <v>0</v>
      </c>
      <c r="AG148" s="26">
        <f t="shared" si="17"/>
        <v>0</v>
      </c>
    </row>
    <row r="149" spans="1:33" x14ac:dyDescent="0.2">
      <c r="A149" s="89" t="s">
        <v>867</v>
      </c>
      <c r="B149" s="89" t="s">
        <v>288</v>
      </c>
      <c r="C149" s="89"/>
      <c r="D149" s="89" t="s">
        <v>612</v>
      </c>
      <c r="E149" s="89" t="s">
        <v>309</v>
      </c>
      <c r="F149" s="89" t="s">
        <v>419</v>
      </c>
      <c r="G149" s="89"/>
      <c r="H149" s="89"/>
      <c r="I149" s="9"/>
      <c r="J149" s="9"/>
      <c r="K149" s="9"/>
      <c r="AB149" s="26">
        <f t="shared" si="12"/>
        <v>0</v>
      </c>
      <c r="AC149" s="26">
        <f t="shared" si="13"/>
        <v>0</v>
      </c>
      <c r="AD149" s="26">
        <f t="shared" si="14"/>
        <v>0</v>
      </c>
      <c r="AE149" s="26">
        <f t="shared" si="15"/>
        <v>0</v>
      </c>
      <c r="AF149" s="26">
        <f t="shared" si="16"/>
        <v>0</v>
      </c>
      <c r="AG149" s="26">
        <f t="shared" si="17"/>
        <v>1</v>
      </c>
    </row>
    <row r="150" spans="1:33" ht="25.5" hidden="1" x14ac:dyDescent="0.2">
      <c r="A150" s="89" t="s">
        <v>868</v>
      </c>
      <c r="B150" s="89" t="s">
        <v>288</v>
      </c>
      <c r="C150" s="89"/>
      <c r="D150" s="89" t="s">
        <v>601</v>
      </c>
      <c r="E150" s="89" t="s">
        <v>8</v>
      </c>
      <c r="F150" s="89" t="s">
        <v>655</v>
      </c>
      <c r="G150" s="89"/>
      <c r="H150" s="89"/>
      <c r="I150" s="9"/>
      <c r="J150" s="9"/>
      <c r="K150" s="9"/>
      <c r="AB150" s="26">
        <f t="shared" si="12"/>
        <v>0</v>
      </c>
      <c r="AC150" s="26">
        <f t="shared" si="13"/>
        <v>0</v>
      </c>
      <c r="AD150" s="26">
        <f t="shared" si="14"/>
        <v>0</v>
      </c>
      <c r="AE150" s="26">
        <f t="shared" si="15"/>
        <v>0</v>
      </c>
      <c r="AF150" s="26">
        <f t="shared" si="16"/>
        <v>0</v>
      </c>
      <c r="AG150" s="26">
        <f t="shared" si="17"/>
        <v>0</v>
      </c>
    </row>
    <row r="151" spans="1:33" ht="38.25" hidden="1" x14ac:dyDescent="0.2">
      <c r="A151" s="89" t="s">
        <v>867</v>
      </c>
      <c r="B151" s="89" t="s">
        <v>288</v>
      </c>
      <c r="C151" s="89"/>
      <c r="D151" s="89" t="s">
        <v>601</v>
      </c>
      <c r="E151" s="89" t="s">
        <v>0</v>
      </c>
      <c r="F151" s="89" t="s">
        <v>1777</v>
      </c>
      <c r="G151" s="89" t="s">
        <v>857</v>
      </c>
      <c r="H151" s="89"/>
      <c r="I151" s="9"/>
      <c r="J151" s="9"/>
      <c r="K151" s="9"/>
      <c r="AB151" s="26">
        <f t="shared" si="12"/>
        <v>0</v>
      </c>
      <c r="AC151" s="26">
        <f t="shared" si="13"/>
        <v>0</v>
      </c>
      <c r="AD151" s="26">
        <f t="shared" si="14"/>
        <v>0</v>
      </c>
      <c r="AE151" s="26">
        <f t="shared" si="15"/>
        <v>0</v>
      </c>
      <c r="AF151" s="26">
        <f t="shared" si="16"/>
        <v>0</v>
      </c>
      <c r="AG151" s="26">
        <f t="shared" si="17"/>
        <v>0</v>
      </c>
    </row>
    <row r="152" spans="1:33" ht="63.75" hidden="1" x14ac:dyDescent="0.2">
      <c r="A152" s="89" t="s">
        <v>867</v>
      </c>
      <c r="B152" s="89" t="s">
        <v>288</v>
      </c>
      <c r="C152" s="89"/>
      <c r="D152" s="89" t="s">
        <v>602</v>
      </c>
      <c r="E152" s="89" t="s">
        <v>0</v>
      </c>
      <c r="F152" s="89" t="s">
        <v>1706</v>
      </c>
      <c r="G152" s="89" t="s">
        <v>1415</v>
      </c>
      <c r="H152" s="89"/>
      <c r="I152" s="9"/>
      <c r="J152" s="9"/>
      <c r="K152" s="9"/>
      <c r="AB152" s="26">
        <f t="shared" si="12"/>
        <v>0</v>
      </c>
      <c r="AC152" s="26">
        <f t="shared" si="13"/>
        <v>0</v>
      </c>
      <c r="AD152" s="26">
        <f t="shared" si="14"/>
        <v>0</v>
      </c>
      <c r="AE152" s="26">
        <f t="shared" si="15"/>
        <v>0</v>
      </c>
      <c r="AF152" s="26">
        <f t="shared" si="16"/>
        <v>0</v>
      </c>
      <c r="AG152" s="26">
        <f t="shared" si="17"/>
        <v>0</v>
      </c>
    </row>
    <row r="153" spans="1:33" ht="38.25" hidden="1" x14ac:dyDescent="0.2">
      <c r="A153" s="89" t="s">
        <v>867</v>
      </c>
      <c r="B153" s="89" t="s">
        <v>288</v>
      </c>
      <c r="C153" s="89"/>
      <c r="D153" s="89" t="s">
        <v>601</v>
      </c>
      <c r="E153" s="89" t="s">
        <v>0</v>
      </c>
      <c r="F153" s="89" t="s">
        <v>1708</v>
      </c>
      <c r="G153" s="89" t="s">
        <v>858</v>
      </c>
      <c r="H153" s="89"/>
      <c r="I153" s="9"/>
      <c r="J153" s="9"/>
      <c r="K153" s="9"/>
      <c r="AB153" s="26">
        <f t="shared" si="12"/>
        <v>0</v>
      </c>
      <c r="AC153" s="26">
        <f t="shared" si="13"/>
        <v>0</v>
      </c>
      <c r="AD153" s="26">
        <f t="shared" si="14"/>
        <v>0</v>
      </c>
      <c r="AE153" s="26">
        <f t="shared" si="15"/>
        <v>0</v>
      </c>
      <c r="AF153" s="26">
        <f t="shared" si="16"/>
        <v>0</v>
      </c>
      <c r="AG153" s="26">
        <f t="shared" si="17"/>
        <v>0</v>
      </c>
    </row>
    <row r="154" spans="1:33" ht="76.5" hidden="1" x14ac:dyDescent="0.2">
      <c r="A154" s="89" t="s">
        <v>867</v>
      </c>
      <c r="B154" s="89" t="s">
        <v>292</v>
      </c>
      <c r="C154" s="89"/>
      <c r="D154" s="89" t="s">
        <v>601</v>
      </c>
      <c r="E154" s="89" t="s">
        <v>0</v>
      </c>
      <c r="F154" s="89" t="s">
        <v>1775</v>
      </c>
      <c r="G154" s="89" t="s">
        <v>853</v>
      </c>
      <c r="H154" s="89"/>
      <c r="I154" s="9"/>
      <c r="J154" s="9"/>
      <c r="K154" s="9"/>
      <c r="AB154" s="26">
        <f t="shared" si="12"/>
        <v>0</v>
      </c>
      <c r="AC154" s="26">
        <f t="shared" si="13"/>
        <v>0</v>
      </c>
      <c r="AD154" s="26">
        <f t="shared" si="14"/>
        <v>0</v>
      </c>
      <c r="AE154" s="26">
        <f t="shared" si="15"/>
        <v>0</v>
      </c>
      <c r="AF154" s="26">
        <f t="shared" si="16"/>
        <v>0</v>
      </c>
      <c r="AG154" s="26">
        <f t="shared" si="17"/>
        <v>0</v>
      </c>
    </row>
    <row r="155" spans="1:33" ht="38.25" hidden="1" x14ac:dyDescent="0.2">
      <c r="A155" s="89" t="s">
        <v>867</v>
      </c>
      <c r="B155" s="89" t="s">
        <v>292</v>
      </c>
      <c r="C155" s="89"/>
      <c r="D155" s="89" t="s">
        <v>602</v>
      </c>
      <c r="E155" s="89" t="s">
        <v>0</v>
      </c>
      <c r="F155" s="89" t="s">
        <v>1704</v>
      </c>
      <c r="G155" s="89" t="s">
        <v>855</v>
      </c>
      <c r="H155" s="89"/>
      <c r="I155" s="9"/>
      <c r="J155" s="9"/>
      <c r="K155" s="9"/>
      <c r="AB155" s="26">
        <f t="shared" si="12"/>
        <v>0</v>
      </c>
      <c r="AC155" s="26">
        <f t="shared" si="13"/>
        <v>0</v>
      </c>
      <c r="AD155" s="26">
        <f t="shared" si="14"/>
        <v>0</v>
      </c>
      <c r="AE155" s="26">
        <f t="shared" si="15"/>
        <v>0</v>
      </c>
      <c r="AF155" s="26">
        <f t="shared" si="16"/>
        <v>0</v>
      </c>
      <c r="AG155" s="26">
        <f t="shared" si="17"/>
        <v>0</v>
      </c>
    </row>
    <row r="156" spans="1:33" ht="63.75" hidden="1" x14ac:dyDescent="0.2">
      <c r="A156" s="89" t="s">
        <v>867</v>
      </c>
      <c r="B156" s="89" t="s">
        <v>386</v>
      </c>
      <c r="C156" s="89"/>
      <c r="D156" s="89" t="s">
        <v>601</v>
      </c>
      <c r="E156" s="89" t="s">
        <v>0</v>
      </c>
      <c r="F156" s="89" t="s">
        <v>1773</v>
      </c>
      <c r="G156" s="89" t="s">
        <v>1392</v>
      </c>
      <c r="H156" s="89"/>
      <c r="I156" s="9"/>
      <c r="J156" s="9"/>
      <c r="K156" s="9"/>
      <c r="AB156" s="26">
        <f t="shared" si="12"/>
        <v>0</v>
      </c>
      <c r="AC156" s="26">
        <f t="shared" si="13"/>
        <v>0</v>
      </c>
      <c r="AD156" s="26">
        <f t="shared" si="14"/>
        <v>0</v>
      </c>
      <c r="AE156" s="26">
        <f t="shared" si="15"/>
        <v>0</v>
      </c>
      <c r="AF156" s="26">
        <f t="shared" si="16"/>
        <v>0</v>
      </c>
      <c r="AG156" s="26">
        <f t="shared" si="17"/>
        <v>0</v>
      </c>
    </row>
    <row r="157" spans="1:33" ht="51" hidden="1" x14ac:dyDescent="0.2">
      <c r="A157" s="89" t="s">
        <v>867</v>
      </c>
      <c r="B157" s="89" t="s">
        <v>386</v>
      </c>
      <c r="C157" s="89"/>
      <c r="D157" s="89" t="s">
        <v>602</v>
      </c>
      <c r="E157" s="89" t="s">
        <v>0</v>
      </c>
      <c r="F157" s="89" t="s">
        <v>1700</v>
      </c>
      <c r="G157" s="89" t="s">
        <v>849</v>
      </c>
      <c r="H157" s="89"/>
      <c r="I157" s="9"/>
      <c r="J157" s="9"/>
      <c r="K157" s="9"/>
      <c r="AB157" s="26">
        <f t="shared" si="12"/>
        <v>0</v>
      </c>
      <c r="AC157" s="26">
        <f t="shared" si="13"/>
        <v>0</v>
      </c>
      <c r="AD157" s="26">
        <f t="shared" si="14"/>
        <v>0</v>
      </c>
      <c r="AE157" s="26">
        <f t="shared" si="15"/>
        <v>0</v>
      </c>
      <c r="AF157" s="26">
        <f t="shared" si="16"/>
        <v>0</v>
      </c>
      <c r="AG157" s="26">
        <f t="shared" si="17"/>
        <v>0</v>
      </c>
    </row>
    <row r="158" spans="1:33" ht="51" hidden="1" x14ac:dyDescent="0.2">
      <c r="A158" s="89" t="s">
        <v>867</v>
      </c>
      <c r="B158" s="89" t="s">
        <v>386</v>
      </c>
      <c r="C158" s="89"/>
      <c r="D158" s="89" t="s">
        <v>603</v>
      </c>
      <c r="E158" s="89" t="s">
        <v>0</v>
      </c>
      <c r="F158" s="89" t="s">
        <v>1702</v>
      </c>
      <c r="G158" s="89" t="s">
        <v>851</v>
      </c>
      <c r="H158" s="89"/>
      <c r="I158" s="9"/>
      <c r="J158" s="9"/>
      <c r="K158" s="9"/>
      <c r="AB158" s="26">
        <f t="shared" si="12"/>
        <v>0</v>
      </c>
      <c r="AC158" s="26">
        <f t="shared" si="13"/>
        <v>0</v>
      </c>
      <c r="AD158" s="26">
        <f t="shared" si="14"/>
        <v>0</v>
      </c>
      <c r="AE158" s="26">
        <f t="shared" si="15"/>
        <v>0</v>
      </c>
      <c r="AF158" s="26">
        <f t="shared" si="16"/>
        <v>0</v>
      </c>
      <c r="AG158" s="26">
        <f t="shared" si="17"/>
        <v>0</v>
      </c>
    </row>
    <row r="159" spans="1:33" ht="25.5" x14ac:dyDescent="0.2">
      <c r="A159" s="89" t="s">
        <v>868</v>
      </c>
      <c r="B159" s="89" t="s">
        <v>298</v>
      </c>
      <c r="C159" s="89"/>
      <c r="D159" s="89" t="s">
        <v>612</v>
      </c>
      <c r="E159" s="89" t="s">
        <v>309</v>
      </c>
      <c r="F159" s="89" t="s">
        <v>1457</v>
      </c>
      <c r="G159" s="89"/>
      <c r="H159" s="89"/>
      <c r="I159" s="9"/>
      <c r="J159" s="9"/>
      <c r="K159" s="9"/>
      <c r="AB159" s="26">
        <f t="shared" si="12"/>
        <v>0</v>
      </c>
      <c r="AC159" s="26">
        <f t="shared" si="13"/>
        <v>0</v>
      </c>
      <c r="AD159" s="26">
        <f t="shared" si="14"/>
        <v>0</v>
      </c>
      <c r="AE159" s="26">
        <f t="shared" si="15"/>
        <v>0</v>
      </c>
      <c r="AF159" s="26">
        <f t="shared" si="16"/>
        <v>0</v>
      </c>
      <c r="AG159" s="26">
        <f t="shared" si="17"/>
        <v>1</v>
      </c>
    </row>
    <row r="160" spans="1:33" ht="38.25" hidden="1" x14ac:dyDescent="0.2">
      <c r="A160" s="89" t="s">
        <v>868</v>
      </c>
      <c r="B160" s="89" t="s">
        <v>298</v>
      </c>
      <c r="C160" s="89"/>
      <c r="D160" s="89" t="s">
        <v>602</v>
      </c>
      <c r="E160" s="89" t="s">
        <v>8</v>
      </c>
      <c r="F160" s="89" t="s">
        <v>872</v>
      </c>
      <c r="G160" s="89"/>
      <c r="H160" s="89"/>
      <c r="I160" s="9"/>
      <c r="J160" s="9"/>
      <c r="K160" s="9"/>
      <c r="AB160" s="26">
        <f t="shared" si="12"/>
        <v>0</v>
      </c>
      <c r="AC160" s="26">
        <f t="shared" si="13"/>
        <v>0</v>
      </c>
      <c r="AD160" s="26">
        <f t="shared" si="14"/>
        <v>0</v>
      </c>
      <c r="AE160" s="26">
        <f t="shared" si="15"/>
        <v>0</v>
      </c>
      <c r="AF160" s="26">
        <f t="shared" si="16"/>
        <v>0</v>
      </c>
      <c r="AG160" s="26">
        <f t="shared" si="17"/>
        <v>0</v>
      </c>
    </row>
    <row r="161" spans="1:33" ht="51" hidden="1" x14ac:dyDescent="0.2">
      <c r="A161" s="89" t="s">
        <v>868</v>
      </c>
      <c r="B161" s="89" t="s">
        <v>298</v>
      </c>
      <c r="C161" s="89"/>
      <c r="D161" s="89" t="s">
        <v>603</v>
      </c>
      <c r="E161" s="89" t="s">
        <v>8</v>
      </c>
      <c r="F161" s="89" t="s">
        <v>594</v>
      </c>
      <c r="G161" s="89"/>
      <c r="H161" s="89"/>
      <c r="I161" s="9"/>
      <c r="J161" s="9"/>
      <c r="K161" s="9"/>
      <c r="AB161" s="26">
        <f t="shared" si="12"/>
        <v>0</v>
      </c>
      <c r="AC161" s="26">
        <f t="shared" si="13"/>
        <v>0</v>
      </c>
      <c r="AD161" s="26">
        <f t="shared" si="14"/>
        <v>0</v>
      </c>
      <c r="AE161" s="26">
        <f t="shared" si="15"/>
        <v>0</v>
      </c>
      <c r="AF161" s="26">
        <f t="shared" si="16"/>
        <v>0</v>
      </c>
      <c r="AG161" s="26">
        <f t="shared" si="17"/>
        <v>0</v>
      </c>
    </row>
    <row r="162" spans="1:33" ht="76.5" hidden="1" x14ac:dyDescent="0.2">
      <c r="A162" s="89" t="s">
        <v>868</v>
      </c>
      <c r="B162" s="89" t="s">
        <v>298</v>
      </c>
      <c r="C162" s="89"/>
      <c r="D162" s="89" t="s">
        <v>604</v>
      </c>
      <c r="E162" s="89" t="s">
        <v>8</v>
      </c>
      <c r="F162" s="89" t="s">
        <v>598</v>
      </c>
      <c r="G162" s="89"/>
      <c r="H162" s="89"/>
      <c r="I162" s="9"/>
      <c r="J162" s="9"/>
      <c r="K162" s="9"/>
      <c r="AB162" s="26">
        <f t="shared" si="12"/>
        <v>0</v>
      </c>
      <c r="AC162" s="26">
        <f t="shared" si="13"/>
        <v>0</v>
      </c>
      <c r="AD162" s="26">
        <f t="shared" si="14"/>
        <v>0</v>
      </c>
      <c r="AE162" s="26">
        <f t="shared" si="15"/>
        <v>0</v>
      </c>
      <c r="AF162" s="26">
        <f t="shared" si="16"/>
        <v>0</v>
      </c>
      <c r="AG162" s="26">
        <f t="shared" si="17"/>
        <v>0</v>
      </c>
    </row>
    <row r="163" spans="1:33" hidden="1" x14ac:dyDescent="0.2">
      <c r="A163" s="89" t="s">
        <v>868</v>
      </c>
      <c r="B163" s="89" t="s">
        <v>298</v>
      </c>
      <c r="C163" s="89"/>
      <c r="D163" s="89" t="s">
        <v>606</v>
      </c>
      <c r="E163" s="89" t="s">
        <v>8</v>
      </c>
      <c r="F163" s="89" t="s">
        <v>600</v>
      </c>
      <c r="G163" s="89"/>
      <c r="H163" s="89"/>
      <c r="I163" s="9"/>
      <c r="J163" s="9"/>
      <c r="K163" s="9"/>
      <c r="AB163" s="26">
        <f t="shared" si="12"/>
        <v>0</v>
      </c>
      <c r="AC163" s="26">
        <f t="shared" si="13"/>
        <v>0</v>
      </c>
      <c r="AD163" s="26">
        <f t="shared" si="14"/>
        <v>0</v>
      </c>
      <c r="AE163" s="26">
        <f t="shared" si="15"/>
        <v>0</v>
      </c>
      <c r="AF163" s="26">
        <f t="shared" si="16"/>
        <v>0</v>
      </c>
      <c r="AG163" s="26">
        <f t="shared" si="17"/>
        <v>0</v>
      </c>
    </row>
    <row r="164" spans="1:33" ht="63.75" hidden="1" x14ac:dyDescent="0.2">
      <c r="A164" s="89" t="s">
        <v>867</v>
      </c>
      <c r="B164" s="89" t="s">
        <v>298</v>
      </c>
      <c r="C164" s="89"/>
      <c r="D164" s="89" t="s">
        <v>601</v>
      </c>
      <c r="E164" s="89" t="s">
        <v>0</v>
      </c>
      <c r="F164" s="89" t="s">
        <v>1783</v>
      </c>
      <c r="G164" s="89" t="s">
        <v>421</v>
      </c>
      <c r="H164" s="89"/>
      <c r="I164" s="9"/>
      <c r="J164" s="9"/>
      <c r="K164" s="9"/>
      <c r="AB164" s="26">
        <f t="shared" si="12"/>
        <v>0</v>
      </c>
      <c r="AC164" s="26">
        <f t="shared" si="13"/>
        <v>0</v>
      </c>
      <c r="AD164" s="26">
        <f t="shared" si="14"/>
        <v>0</v>
      </c>
      <c r="AE164" s="26">
        <f t="shared" si="15"/>
        <v>0</v>
      </c>
      <c r="AF164" s="26">
        <f t="shared" si="16"/>
        <v>0</v>
      </c>
      <c r="AG164" s="26">
        <f t="shared" si="17"/>
        <v>0</v>
      </c>
    </row>
    <row r="165" spans="1:33" x14ac:dyDescent="0.2">
      <c r="A165" s="89"/>
      <c r="B165" s="89"/>
      <c r="C165" s="89"/>
      <c r="D165" s="89"/>
      <c r="E165" s="89"/>
      <c r="F165" s="89"/>
      <c r="G165" s="89"/>
      <c r="H165" s="89"/>
      <c r="I165" s="9"/>
      <c r="J165" s="9"/>
      <c r="K165" s="9"/>
      <c r="AB165" s="26">
        <f t="shared" si="12"/>
        <v>0</v>
      </c>
      <c r="AC165" s="26">
        <f t="shared" si="13"/>
        <v>0</v>
      </c>
      <c r="AD165" s="26">
        <f t="shared" si="14"/>
        <v>0</v>
      </c>
      <c r="AE165" s="26">
        <f t="shared" si="15"/>
        <v>0</v>
      </c>
      <c r="AF165" s="26">
        <f t="shared" si="16"/>
        <v>0</v>
      </c>
      <c r="AG165" s="26">
        <f t="shared" si="17"/>
        <v>0</v>
      </c>
    </row>
    <row r="166" spans="1:33" x14ac:dyDescent="0.2">
      <c r="A166" s="89"/>
      <c r="B166" s="89"/>
      <c r="C166" s="89"/>
      <c r="D166" s="89"/>
      <c r="E166" s="89"/>
      <c r="F166" s="89"/>
      <c r="G166" s="89"/>
      <c r="H166" s="89"/>
      <c r="I166" s="9"/>
      <c r="J166" s="9"/>
      <c r="K166" s="9"/>
      <c r="AB166" s="26">
        <f t="shared" si="12"/>
        <v>0</v>
      </c>
      <c r="AC166" s="26">
        <f t="shared" si="13"/>
        <v>0</v>
      </c>
      <c r="AD166" s="26">
        <f t="shared" si="14"/>
        <v>0</v>
      </c>
      <c r="AE166" s="26">
        <f t="shared" si="15"/>
        <v>0</v>
      </c>
      <c r="AF166" s="26">
        <f t="shared" si="16"/>
        <v>0</v>
      </c>
      <c r="AG166" s="26">
        <f t="shared" si="17"/>
        <v>0</v>
      </c>
    </row>
    <row r="167" spans="1:33" x14ac:dyDescent="0.2">
      <c r="A167" s="89"/>
      <c r="B167" s="89"/>
      <c r="C167" s="89"/>
      <c r="D167" s="89"/>
      <c r="E167" s="89"/>
      <c r="F167" s="89"/>
      <c r="G167" s="89"/>
      <c r="H167" s="89"/>
      <c r="I167" s="9"/>
      <c r="J167" s="9"/>
      <c r="K167" s="9"/>
      <c r="AB167" s="26">
        <f t="shared" si="12"/>
        <v>0</v>
      </c>
      <c r="AC167" s="26">
        <f t="shared" si="13"/>
        <v>0</v>
      </c>
      <c r="AD167" s="26">
        <f t="shared" si="14"/>
        <v>0</v>
      </c>
      <c r="AE167" s="26">
        <f t="shared" si="15"/>
        <v>0</v>
      </c>
      <c r="AF167" s="26">
        <f t="shared" si="16"/>
        <v>0</v>
      </c>
      <c r="AG167" s="26">
        <f t="shared" si="17"/>
        <v>0</v>
      </c>
    </row>
    <row r="168" spans="1:33" x14ac:dyDescent="0.2">
      <c r="A168" s="89"/>
      <c r="B168" s="89"/>
      <c r="C168" s="89"/>
      <c r="D168" s="89"/>
      <c r="E168" s="89"/>
      <c r="F168" s="89"/>
      <c r="G168" s="89"/>
      <c r="H168" s="89"/>
      <c r="I168" s="9"/>
      <c r="J168" s="9"/>
      <c r="K168" s="9"/>
      <c r="AB168" s="26">
        <f t="shared" si="12"/>
        <v>0</v>
      </c>
      <c r="AC168" s="26">
        <f t="shared" si="13"/>
        <v>0</v>
      </c>
      <c r="AD168" s="26">
        <f t="shared" si="14"/>
        <v>0</v>
      </c>
      <c r="AE168" s="26">
        <f t="shared" si="15"/>
        <v>0</v>
      </c>
      <c r="AF168" s="26">
        <f t="shared" si="16"/>
        <v>0</v>
      </c>
      <c r="AG168" s="26">
        <f t="shared" si="17"/>
        <v>0</v>
      </c>
    </row>
    <row r="169" spans="1:33" x14ac:dyDescent="0.2">
      <c r="A169" s="89"/>
      <c r="B169" s="89"/>
      <c r="C169" s="89"/>
      <c r="D169" s="89"/>
      <c r="E169" s="89"/>
      <c r="F169" s="89"/>
      <c r="G169" s="89"/>
      <c r="H169" s="89"/>
      <c r="I169" s="9"/>
      <c r="J169" s="9"/>
      <c r="K169" s="9"/>
      <c r="AB169" s="26">
        <f t="shared" si="12"/>
        <v>0</v>
      </c>
      <c r="AC169" s="26">
        <f t="shared" si="13"/>
        <v>0</v>
      </c>
      <c r="AD169" s="26">
        <f t="shared" si="14"/>
        <v>0</v>
      </c>
      <c r="AE169" s="26">
        <f t="shared" si="15"/>
        <v>0</v>
      </c>
      <c r="AF169" s="26">
        <f t="shared" si="16"/>
        <v>0</v>
      </c>
      <c r="AG169" s="26">
        <f t="shared" si="17"/>
        <v>0</v>
      </c>
    </row>
    <row r="170" spans="1:33" x14ac:dyDescent="0.2">
      <c r="A170" s="89"/>
      <c r="B170" s="89"/>
      <c r="C170" s="89"/>
      <c r="D170" s="89"/>
      <c r="E170" s="89"/>
      <c r="F170" s="89"/>
      <c r="G170" s="89"/>
      <c r="H170" s="89"/>
      <c r="I170" s="9"/>
      <c r="J170" s="9"/>
      <c r="K170" s="9"/>
      <c r="AB170" s="26">
        <f t="shared" si="12"/>
        <v>0</v>
      </c>
      <c r="AC170" s="26">
        <f t="shared" si="13"/>
        <v>0</v>
      </c>
      <c r="AD170" s="26">
        <f t="shared" si="14"/>
        <v>0</v>
      </c>
      <c r="AE170" s="26">
        <f t="shared" si="15"/>
        <v>0</v>
      </c>
      <c r="AF170" s="26">
        <f t="shared" si="16"/>
        <v>0</v>
      </c>
      <c r="AG170" s="26">
        <f t="shared" si="17"/>
        <v>0</v>
      </c>
    </row>
    <row r="171" spans="1:33" x14ac:dyDescent="0.2">
      <c r="A171" s="89"/>
      <c r="B171" s="89"/>
      <c r="C171" s="89"/>
      <c r="D171" s="89"/>
      <c r="E171" s="89"/>
      <c r="F171" s="89"/>
      <c r="G171" s="89"/>
      <c r="H171" s="89"/>
      <c r="I171" s="9"/>
      <c r="J171" s="9"/>
      <c r="K171" s="9"/>
      <c r="AB171" s="26">
        <f t="shared" si="12"/>
        <v>0</v>
      </c>
      <c r="AC171" s="26">
        <f t="shared" si="13"/>
        <v>0</v>
      </c>
      <c r="AD171" s="26">
        <f t="shared" si="14"/>
        <v>0</v>
      </c>
      <c r="AE171" s="26">
        <f t="shared" si="15"/>
        <v>0</v>
      </c>
      <c r="AF171" s="26">
        <f t="shared" si="16"/>
        <v>0</v>
      </c>
      <c r="AG171" s="26">
        <f t="shared" si="17"/>
        <v>0</v>
      </c>
    </row>
    <row r="172" spans="1:33" x14ac:dyDescent="0.2">
      <c r="A172" s="89"/>
      <c r="B172" s="89"/>
      <c r="C172" s="89"/>
      <c r="D172" s="89"/>
      <c r="E172" s="89"/>
      <c r="F172" s="89"/>
      <c r="G172" s="89"/>
      <c r="H172" s="89"/>
      <c r="I172" s="9"/>
      <c r="J172" s="9"/>
      <c r="K172" s="9"/>
      <c r="AB172" s="26">
        <f t="shared" si="12"/>
        <v>0</v>
      </c>
      <c r="AC172" s="26">
        <f t="shared" si="13"/>
        <v>0</v>
      </c>
      <c r="AD172" s="26">
        <f t="shared" si="14"/>
        <v>0</v>
      </c>
      <c r="AE172" s="26">
        <f t="shared" si="15"/>
        <v>0</v>
      </c>
      <c r="AF172" s="26">
        <f t="shared" si="16"/>
        <v>0</v>
      </c>
      <c r="AG172" s="26">
        <f t="shared" si="17"/>
        <v>0</v>
      </c>
    </row>
    <row r="173" spans="1:33" x14ac:dyDescent="0.2">
      <c r="A173" s="89"/>
      <c r="B173" s="89"/>
      <c r="C173" s="89"/>
      <c r="D173" s="89"/>
      <c r="E173" s="89"/>
      <c r="F173" s="89"/>
      <c r="G173" s="89"/>
      <c r="H173" s="89"/>
      <c r="I173" s="9"/>
      <c r="J173" s="9"/>
      <c r="K173" s="9"/>
      <c r="AB173" s="26">
        <f t="shared" si="12"/>
        <v>0</v>
      </c>
      <c r="AC173" s="26">
        <f t="shared" si="13"/>
        <v>0</v>
      </c>
      <c r="AD173" s="26">
        <f t="shared" si="14"/>
        <v>0</v>
      </c>
      <c r="AE173" s="26">
        <f t="shared" si="15"/>
        <v>0</v>
      </c>
      <c r="AF173" s="26">
        <f t="shared" si="16"/>
        <v>0</v>
      </c>
      <c r="AG173" s="26">
        <f t="shared" si="17"/>
        <v>0</v>
      </c>
    </row>
    <row r="174" spans="1:33" x14ac:dyDescent="0.2">
      <c r="A174" s="89"/>
      <c r="B174" s="89"/>
      <c r="C174" s="89"/>
      <c r="D174" s="89"/>
      <c r="E174" s="89"/>
      <c r="F174" s="89"/>
      <c r="G174" s="89"/>
      <c r="H174" s="89"/>
      <c r="I174" s="9"/>
      <c r="J174" s="9"/>
      <c r="K174" s="9"/>
      <c r="AB174" s="26">
        <f t="shared" si="12"/>
        <v>0</v>
      </c>
      <c r="AC174" s="26">
        <f t="shared" si="13"/>
        <v>0</v>
      </c>
      <c r="AD174" s="26">
        <f t="shared" si="14"/>
        <v>0</v>
      </c>
      <c r="AE174" s="26">
        <f t="shared" si="15"/>
        <v>0</v>
      </c>
      <c r="AF174" s="26">
        <f t="shared" si="16"/>
        <v>0</v>
      </c>
      <c r="AG174" s="26">
        <f t="shared" si="17"/>
        <v>0</v>
      </c>
    </row>
    <row r="175" spans="1:33" x14ac:dyDescent="0.2">
      <c r="A175" s="89"/>
      <c r="B175" s="89"/>
      <c r="C175" s="89"/>
      <c r="D175" s="89"/>
      <c r="E175" s="89"/>
      <c r="F175" s="89"/>
      <c r="G175" s="89"/>
      <c r="H175" s="89"/>
      <c r="I175" s="9"/>
      <c r="J175" s="9"/>
      <c r="K175" s="9"/>
      <c r="AB175" s="26">
        <f t="shared" si="12"/>
        <v>0</v>
      </c>
      <c r="AC175" s="26">
        <f t="shared" si="13"/>
        <v>0</v>
      </c>
      <c r="AD175" s="26">
        <f t="shared" si="14"/>
        <v>0</v>
      </c>
      <c r="AE175" s="26">
        <f t="shared" si="15"/>
        <v>0</v>
      </c>
      <c r="AF175" s="26">
        <f t="shared" si="16"/>
        <v>0</v>
      </c>
      <c r="AG175" s="26">
        <f t="shared" si="17"/>
        <v>0</v>
      </c>
    </row>
    <row r="176" spans="1:33" x14ac:dyDescent="0.2">
      <c r="A176" s="89"/>
      <c r="B176" s="89"/>
      <c r="C176" s="89"/>
      <c r="D176" s="89"/>
      <c r="E176" s="89"/>
      <c r="F176" s="89"/>
      <c r="G176" s="89"/>
      <c r="H176" s="89"/>
      <c r="I176" s="9"/>
      <c r="J176" s="9"/>
      <c r="K176" s="9"/>
      <c r="AB176" s="26">
        <f t="shared" si="12"/>
        <v>0</v>
      </c>
      <c r="AC176" s="26">
        <f t="shared" si="13"/>
        <v>0</v>
      </c>
      <c r="AD176" s="26">
        <f t="shared" si="14"/>
        <v>0</v>
      </c>
      <c r="AE176" s="26">
        <f t="shared" si="15"/>
        <v>0</v>
      </c>
      <c r="AF176" s="26">
        <f t="shared" si="16"/>
        <v>0</v>
      </c>
      <c r="AG176" s="26">
        <f t="shared" si="17"/>
        <v>0</v>
      </c>
    </row>
    <row r="177" spans="1:33" x14ac:dyDescent="0.2">
      <c r="A177" s="89"/>
      <c r="B177" s="89"/>
      <c r="C177" s="89"/>
      <c r="D177" s="89"/>
      <c r="E177" s="89"/>
      <c r="F177" s="89"/>
      <c r="G177" s="89"/>
      <c r="H177" s="89"/>
      <c r="I177" s="9"/>
      <c r="J177" s="9"/>
      <c r="K177" s="9"/>
      <c r="AB177" s="26">
        <f t="shared" si="12"/>
        <v>0</v>
      </c>
      <c r="AC177" s="26">
        <f t="shared" si="13"/>
        <v>0</v>
      </c>
      <c r="AD177" s="26">
        <f t="shared" si="14"/>
        <v>0</v>
      </c>
      <c r="AE177" s="26">
        <f t="shared" si="15"/>
        <v>0</v>
      </c>
      <c r="AF177" s="26">
        <f t="shared" si="16"/>
        <v>0</v>
      </c>
      <c r="AG177" s="26">
        <f t="shared" si="17"/>
        <v>0</v>
      </c>
    </row>
    <row r="178" spans="1:33" x14ac:dyDescent="0.2">
      <c r="A178" s="89"/>
      <c r="B178" s="89"/>
      <c r="C178" s="89"/>
      <c r="D178" s="89"/>
      <c r="E178" s="89"/>
      <c r="F178" s="89"/>
      <c r="G178" s="89"/>
      <c r="H178" s="89"/>
      <c r="I178" s="9"/>
      <c r="J178" s="9"/>
      <c r="K178" s="9"/>
      <c r="AB178" s="26">
        <f t="shared" si="12"/>
        <v>0</v>
      </c>
      <c r="AC178" s="26">
        <f t="shared" si="13"/>
        <v>0</v>
      </c>
      <c r="AD178" s="26">
        <f t="shared" si="14"/>
        <v>0</v>
      </c>
      <c r="AE178" s="26">
        <f t="shared" si="15"/>
        <v>0</v>
      </c>
      <c r="AF178" s="26">
        <f t="shared" si="16"/>
        <v>0</v>
      </c>
      <c r="AG178" s="26">
        <f t="shared" si="17"/>
        <v>0</v>
      </c>
    </row>
    <row r="179" spans="1:33" x14ac:dyDescent="0.2">
      <c r="A179" s="89"/>
      <c r="B179" s="89"/>
      <c r="C179" s="89"/>
      <c r="D179" s="89"/>
      <c r="E179" s="89"/>
      <c r="F179" s="89"/>
      <c r="G179" s="89"/>
      <c r="H179" s="89"/>
      <c r="I179" s="9"/>
      <c r="J179" s="9"/>
      <c r="K179" s="9"/>
      <c r="AB179" s="26">
        <f t="shared" si="12"/>
        <v>0</v>
      </c>
      <c r="AC179" s="26">
        <f t="shared" si="13"/>
        <v>0</v>
      </c>
      <c r="AD179" s="26">
        <f t="shared" si="14"/>
        <v>0</v>
      </c>
      <c r="AE179" s="26">
        <f t="shared" si="15"/>
        <v>0</v>
      </c>
      <c r="AF179" s="26">
        <f t="shared" si="16"/>
        <v>0</v>
      </c>
      <c r="AG179" s="26">
        <f t="shared" si="17"/>
        <v>0</v>
      </c>
    </row>
    <row r="180" spans="1:33" x14ac:dyDescent="0.2">
      <c r="A180" s="89"/>
      <c r="B180" s="89"/>
      <c r="C180" s="89"/>
      <c r="D180" s="89"/>
      <c r="E180" s="89"/>
      <c r="F180" s="89"/>
      <c r="G180" s="89"/>
      <c r="H180" s="89"/>
      <c r="I180" s="9"/>
      <c r="J180" s="9"/>
      <c r="K180" s="9"/>
      <c r="AB180" s="26">
        <f t="shared" si="12"/>
        <v>0</v>
      </c>
      <c r="AC180" s="26">
        <f t="shared" si="13"/>
        <v>0</v>
      </c>
      <c r="AD180" s="26">
        <f t="shared" si="14"/>
        <v>0</v>
      </c>
      <c r="AE180" s="26">
        <f t="shared" si="15"/>
        <v>0</v>
      </c>
      <c r="AF180" s="26">
        <f t="shared" si="16"/>
        <v>0</v>
      </c>
      <c r="AG180" s="26">
        <f t="shared" si="17"/>
        <v>0</v>
      </c>
    </row>
    <row r="181" spans="1:33" x14ac:dyDescent="0.2">
      <c r="A181" s="89"/>
      <c r="B181" s="89"/>
      <c r="C181" s="89"/>
      <c r="D181" s="89"/>
      <c r="E181" s="89"/>
      <c r="F181" s="89"/>
      <c r="G181" s="89"/>
      <c r="H181" s="89"/>
      <c r="I181" s="9"/>
      <c r="J181" s="9"/>
      <c r="K181" s="9"/>
      <c r="AB181" s="26">
        <f t="shared" si="12"/>
        <v>0</v>
      </c>
      <c r="AC181" s="26">
        <f t="shared" si="13"/>
        <v>0</v>
      </c>
      <c r="AD181" s="26">
        <f t="shared" si="14"/>
        <v>0</v>
      </c>
      <c r="AE181" s="26">
        <f t="shared" si="15"/>
        <v>0</v>
      </c>
      <c r="AF181" s="26">
        <f t="shared" si="16"/>
        <v>0</v>
      </c>
      <c r="AG181" s="26">
        <f t="shared" si="17"/>
        <v>0</v>
      </c>
    </row>
    <row r="182" spans="1:33" x14ac:dyDescent="0.2">
      <c r="A182" s="89"/>
      <c r="B182" s="89"/>
      <c r="C182" s="89"/>
      <c r="D182" s="89"/>
      <c r="E182" s="89"/>
      <c r="F182" s="89"/>
      <c r="G182" s="89"/>
      <c r="H182" s="89"/>
      <c r="I182" s="9"/>
      <c r="J182" s="9"/>
      <c r="K182" s="9"/>
      <c r="AB182" s="26">
        <f t="shared" si="12"/>
        <v>0</v>
      </c>
      <c r="AC182" s="26">
        <f t="shared" si="13"/>
        <v>0</v>
      </c>
      <c r="AD182" s="26">
        <f t="shared" si="14"/>
        <v>0</v>
      </c>
      <c r="AE182" s="26">
        <f t="shared" si="15"/>
        <v>0</v>
      </c>
      <c r="AF182" s="26">
        <f t="shared" si="16"/>
        <v>0</v>
      </c>
      <c r="AG182" s="26">
        <f t="shared" si="17"/>
        <v>0</v>
      </c>
    </row>
    <row r="183" spans="1:33" x14ac:dyDescent="0.2">
      <c r="A183" s="89"/>
      <c r="B183" s="89"/>
      <c r="C183" s="89"/>
      <c r="D183" s="89"/>
      <c r="E183" s="89"/>
      <c r="F183" s="89"/>
      <c r="G183" s="89"/>
      <c r="H183" s="89"/>
      <c r="I183" s="9"/>
      <c r="J183" s="9"/>
      <c r="K183" s="9"/>
      <c r="AB183" s="26">
        <f t="shared" si="12"/>
        <v>0</v>
      </c>
      <c r="AC183" s="26">
        <f t="shared" si="13"/>
        <v>0</v>
      </c>
      <c r="AD183" s="26">
        <f t="shared" si="14"/>
        <v>0</v>
      </c>
      <c r="AE183" s="26">
        <f t="shared" si="15"/>
        <v>0</v>
      </c>
      <c r="AF183" s="26">
        <f t="shared" si="16"/>
        <v>0</v>
      </c>
      <c r="AG183" s="26">
        <f t="shared" si="17"/>
        <v>0</v>
      </c>
    </row>
    <row r="184" spans="1:33" x14ac:dyDescent="0.2">
      <c r="A184" s="89"/>
      <c r="B184" s="89"/>
      <c r="C184" s="89"/>
      <c r="D184" s="89"/>
      <c r="E184" s="89"/>
      <c r="F184" s="89"/>
      <c r="G184" s="89"/>
      <c r="H184" s="89"/>
      <c r="I184" s="9"/>
      <c r="J184" s="9"/>
      <c r="K184" s="9"/>
      <c r="AB184" s="26">
        <f t="shared" si="12"/>
        <v>0</v>
      </c>
      <c r="AC184" s="26">
        <f t="shared" si="13"/>
        <v>0</v>
      </c>
      <c r="AD184" s="26">
        <f t="shared" si="14"/>
        <v>0</v>
      </c>
      <c r="AE184" s="26">
        <f t="shared" si="15"/>
        <v>0</v>
      </c>
      <c r="AF184" s="26">
        <f t="shared" si="16"/>
        <v>0</v>
      </c>
      <c r="AG184" s="26">
        <f t="shared" si="17"/>
        <v>0</v>
      </c>
    </row>
    <row r="185" spans="1:33" x14ac:dyDescent="0.2">
      <c r="A185" s="89"/>
      <c r="B185" s="89"/>
      <c r="C185" s="89"/>
      <c r="D185" s="89"/>
      <c r="E185" s="89"/>
      <c r="F185" s="89"/>
      <c r="G185" s="89"/>
      <c r="H185" s="89"/>
      <c r="I185" s="9"/>
      <c r="J185" s="9"/>
      <c r="K185" s="9"/>
      <c r="AB185" s="26">
        <f t="shared" si="12"/>
        <v>0</v>
      </c>
      <c r="AC185" s="26">
        <f t="shared" si="13"/>
        <v>0</v>
      </c>
      <c r="AD185" s="26">
        <f t="shared" si="14"/>
        <v>0</v>
      </c>
      <c r="AE185" s="26">
        <f t="shared" si="15"/>
        <v>0</v>
      </c>
      <c r="AF185" s="26">
        <f t="shared" si="16"/>
        <v>0</v>
      </c>
      <c r="AG185" s="26">
        <f t="shared" si="17"/>
        <v>0</v>
      </c>
    </row>
    <row r="186" spans="1:33" x14ac:dyDescent="0.2">
      <c r="A186" s="89"/>
      <c r="B186" s="89"/>
      <c r="C186" s="89"/>
      <c r="D186" s="89"/>
      <c r="E186" s="89"/>
      <c r="F186" s="89"/>
      <c r="G186" s="89"/>
      <c r="H186" s="89"/>
      <c r="I186" s="9"/>
      <c r="J186" s="9"/>
      <c r="K186" s="9"/>
      <c r="AB186" s="26">
        <f t="shared" si="12"/>
        <v>0</v>
      </c>
      <c r="AC186" s="26">
        <f t="shared" si="13"/>
        <v>0</v>
      </c>
      <c r="AD186" s="26">
        <f t="shared" si="14"/>
        <v>0</v>
      </c>
      <c r="AE186" s="26">
        <f t="shared" si="15"/>
        <v>0</v>
      </c>
      <c r="AF186" s="26">
        <f t="shared" si="16"/>
        <v>0</v>
      </c>
      <c r="AG186" s="26">
        <f t="shared" si="17"/>
        <v>0</v>
      </c>
    </row>
    <row r="187" spans="1:33" x14ac:dyDescent="0.2">
      <c r="A187" s="89"/>
      <c r="B187" s="89"/>
      <c r="C187" s="89"/>
      <c r="D187" s="89"/>
      <c r="E187" s="89"/>
      <c r="F187" s="89"/>
      <c r="G187" s="89"/>
      <c r="H187" s="89"/>
      <c r="I187" s="9"/>
      <c r="J187" s="9"/>
      <c r="K187" s="9"/>
      <c r="AB187" s="26">
        <f t="shared" si="12"/>
        <v>0</v>
      </c>
      <c r="AC187" s="26">
        <f t="shared" si="13"/>
        <v>0</v>
      </c>
      <c r="AD187" s="26">
        <f t="shared" si="14"/>
        <v>0</v>
      </c>
      <c r="AE187" s="26">
        <f t="shared" si="15"/>
        <v>0</v>
      </c>
      <c r="AF187" s="26">
        <f t="shared" si="16"/>
        <v>0</v>
      </c>
      <c r="AG187" s="26">
        <f t="shared" si="17"/>
        <v>0</v>
      </c>
    </row>
    <row r="188" spans="1:33" x14ac:dyDescent="0.2">
      <c r="A188" s="89"/>
      <c r="B188" s="89"/>
      <c r="C188" s="89"/>
      <c r="D188" s="89"/>
      <c r="E188" s="89"/>
      <c r="F188" s="89"/>
      <c r="G188" s="89"/>
      <c r="H188" s="89"/>
      <c r="I188" s="9"/>
      <c r="J188" s="9"/>
      <c r="K188" s="9"/>
      <c r="AB188" s="26">
        <f t="shared" si="12"/>
        <v>0</v>
      </c>
      <c r="AC188" s="26">
        <f t="shared" si="13"/>
        <v>0</v>
      </c>
      <c r="AD188" s="26">
        <f t="shared" si="14"/>
        <v>0</v>
      </c>
      <c r="AE188" s="26">
        <f t="shared" si="15"/>
        <v>0</v>
      </c>
      <c r="AF188" s="26">
        <f t="shared" si="16"/>
        <v>0</v>
      </c>
      <c r="AG188" s="26">
        <f t="shared" si="17"/>
        <v>0</v>
      </c>
    </row>
    <row r="189" spans="1:33" x14ac:dyDescent="0.2">
      <c r="A189" s="89"/>
      <c r="B189" s="89"/>
      <c r="C189" s="89"/>
      <c r="D189" s="89"/>
      <c r="E189" s="89"/>
      <c r="F189" s="89"/>
      <c r="G189" s="89"/>
      <c r="H189" s="89"/>
      <c r="I189" s="9"/>
      <c r="J189" s="9"/>
      <c r="K189" s="9"/>
      <c r="AB189" s="26">
        <f t="shared" si="12"/>
        <v>0</v>
      </c>
      <c r="AC189" s="26">
        <f t="shared" si="13"/>
        <v>0</v>
      </c>
      <c r="AD189" s="26">
        <f t="shared" si="14"/>
        <v>0</v>
      </c>
      <c r="AE189" s="26">
        <f t="shared" si="15"/>
        <v>0</v>
      </c>
      <c r="AF189" s="26">
        <f t="shared" si="16"/>
        <v>0</v>
      </c>
      <c r="AG189" s="26">
        <f t="shared" si="17"/>
        <v>0</v>
      </c>
    </row>
    <row r="190" spans="1:33" x14ac:dyDescent="0.2">
      <c r="A190" s="89"/>
      <c r="B190" s="89"/>
      <c r="C190" s="89"/>
      <c r="D190" s="89"/>
      <c r="E190" s="89"/>
      <c r="F190" s="89"/>
      <c r="G190" s="89"/>
      <c r="H190" s="89"/>
      <c r="I190" s="9"/>
      <c r="J190" s="9"/>
      <c r="K190" s="9"/>
      <c r="AB190" s="26">
        <f t="shared" si="12"/>
        <v>0</v>
      </c>
      <c r="AC190" s="26">
        <f t="shared" si="13"/>
        <v>0</v>
      </c>
      <c r="AD190" s="26">
        <f t="shared" si="14"/>
        <v>0</v>
      </c>
      <c r="AE190" s="26">
        <f t="shared" si="15"/>
        <v>0</v>
      </c>
      <c r="AF190" s="26">
        <f t="shared" si="16"/>
        <v>0</v>
      </c>
      <c r="AG190" s="26">
        <f t="shared" si="17"/>
        <v>0</v>
      </c>
    </row>
    <row r="191" spans="1:33" x14ac:dyDescent="0.2">
      <c r="A191" s="89"/>
      <c r="B191" s="89"/>
      <c r="C191" s="89"/>
      <c r="D191" s="89"/>
      <c r="E191" s="89"/>
      <c r="F191" s="89"/>
      <c r="G191" s="89"/>
      <c r="H191" s="89"/>
      <c r="I191" s="9"/>
      <c r="J191" s="9"/>
      <c r="K191" s="9"/>
      <c r="AB191" s="26">
        <f t="shared" si="12"/>
        <v>0</v>
      </c>
      <c r="AC191" s="26">
        <f t="shared" si="13"/>
        <v>0</v>
      </c>
      <c r="AD191" s="26">
        <f t="shared" si="14"/>
        <v>0</v>
      </c>
      <c r="AE191" s="26">
        <f t="shared" si="15"/>
        <v>0</v>
      </c>
      <c r="AF191" s="26">
        <f t="shared" si="16"/>
        <v>0</v>
      </c>
      <c r="AG191" s="26">
        <f t="shared" si="17"/>
        <v>0</v>
      </c>
    </row>
    <row r="192" spans="1:33" x14ac:dyDescent="0.2">
      <c r="A192" s="89"/>
      <c r="B192" s="89"/>
      <c r="C192" s="89"/>
      <c r="D192" s="89"/>
      <c r="E192" s="89"/>
      <c r="F192" s="89"/>
      <c r="G192" s="89"/>
      <c r="H192" s="89"/>
      <c r="I192" s="9"/>
      <c r="J192" s="9"/>
      <c r="K192" s="9"/>
      <c r="AB192" s="26">
        <f t="shared" si="12"/>
        <v>0</v>
      </c>
      <c r="AC192" s="26">
        <f t="shared" si="13"/>
        <v>0</v>
      </c>
      <c r="AD192" s="26">
        <f t="shared" si="14"/>
        <v>0</v>
      </c>
      <c r="AE192" s="26">
        <f t="shared" si="15"/>
        <v>0</v>
      </c>
      <c r="AF192" s="26">
        <f t="shared" si="16"/>
        <v>0</v>
      </c>
      <c r="AG192" s="26">
        <f t="shared" si="17"/>
        <v>0</v>
      </c>
    </row>
    <row r="193" spans="1:33" x14ac:dyDescent="0.2">
      <c r="A193" s="89"/>
      <c r="B193" s="89"/>
      <c r="C193" s="89"/>
      <c r="D193" s="89"/>
      <c r="E193" s="89"/>
      <c r="F193" s="89"/>
      <c r="G193" s="89"/>
      <c r="H193" s="89"/>
      <c r="I193" s="9"/>
      <c r="J193" s="9"/>
      <c r="K193" s="9"/>
      <c r="AB193" s="26">
        <f t="shared" si="12"/>
        <v>0</v>
      </c>
      <c r="AC193" s="26">
        <f t="shared" si="13"/>
        <v>0</v>
      </c>
      <c r="AD193" s="26">
        <f t="shared" si="14"/>
        <v>0</v>
      </c>
      <c r="AE193" s="26">
        <f t="shared" si="15"/>
        <v>0</v>
      </c>
      <c r="AF193" s="26">
        <f t="shared" si="16"/>
        <v>0</v>
      </c>
      <c r="AG193" s="26">
        <f t="shared" si="17"/>
        <v>0</v>
      </c>
    </row>
    <row r="194" spans="1:33" x14ac:dyDescent="0.2">
      <c r="A194" s="89"/>
      <c r="B194" s="89"/>
      <c r="C194" s="89"/>
      <c r="D194" s="89"/>
      <c r="E194" s="89"/>
      <c r="F194" s="89"/>
      <c r="G194" s="89"/>
      <c r="H194" s="89"/>
      <c r="I194" s="9"/>
      <c r="J194" s="9"/>
      <c r="K194" s="9"/>
      <c r="AB194" s="26">
        <f t="shared" si="12"/>
        <v>0</v>
      </c>
      <c r="AC194" s="26">
        <f t="shared" si="13"/>
        <v>0</v>
      </c>
      <c r="AD194" s="26">
        <f t="shared" si="14"/>
        <v>0</v>
      </c>
      <c r="AE194" s="26">
        <f t="shared" si="15"/>
        <v>0</v>
      </c>
      <c r="AF194" s="26">
        <f t="shared" si="16"/>
        <v>0</v>
      </c>
      <c r="AG194" s="26">
        <f t="shared" si="17"/>
        <v>0</v>
      </c>
    </row>
    <row r="195" spans="1:33" x14ac:dyDescent="0.2">
      <c r="A195" s="89"/>
      <c r="B195" s="89"/>
      <c r="C195" s="89"/>
      <c r="D195" s="89"/>
      <c r="E195" s="89"/>
      <c r="F195" s="89"/>
      <c r="G195" s="89"/>
      <c r="H195" s="89"/>
      <c r="I195" s="9"/>
      <c r="J195" s="9"/>
      <c r="K195" s="9"/>
      <c r="AB195" s="26">
        <f t="shared" si="12"/>
        <v>0</v>
      </c>
      <c r="AC195" s="26">
        <f t="shared" si="13"/>
        <v>0</v>
      </c>
      <c r="AD195" s="26">
        <f t="shared" si="14"/>
        <v>0</v>
      </c>
      <c r="AE195" s="26">
        <f t="shared" si="15"/>
        <v>0</v>
      </c>
      <c r="AF195" s="26">
        <f t="shared" si="16"/>
        <v>0</v>
      </c>
      <c r="AG195" s="26">
        <f t="shared" si="17"/>
        <v>0</v>
      </c>
    </row>
    <row r="196" spans="1:33" x14ac:dyDescent="0.2">
      <c r="A196" s="89"/>
      <c r="B196" s="89"/>
      <c r="C196" s="89"/>
      <c r="D196" s="89"/>
      <c r="E196" s="89"/>
      <c r="F196" s="89"/>
      <c r="G196" s="89"/>
      <c r="H196" s="89"/>
      <c r="I196" s="9"/>
      <c r="J196" s="9"/>
      <c r="K196" s="9"/>
      <c r="AB196" s="26">
        <f t="shared" si="12"/>
        <v>0</v>
      </c>
      <c r="AC196" s="26">
        <f t="shared" si="13"/>
        <v>0</v>
      </c>
      <c r="AD196" s="26">
        <f t="shared" si="14"/>
        <v>0</v>
      </c>
      <c r="AE196" s="26">
        <f t="shared" si="15"/>
        <v>0</v>
      </c>
      <c r="AF196" s="26">
        <f t="shared" si="16"/>
        <v>0</v>
      </c>
      <c r="AG196" s="26">
        <f t="shared" si="17"/>
        <v>0</v>
      </c>
    </row>
    <row r="197" spans="1:33" x14ac:dyDescent="0.2">
      <c r="A197" s="89"/>
      <c r="B197" s="89"/>
      <c r="C197" s="89"/>
      <c r="D197" s="89"/>
      <c r="E197" s="89"/>
      <c r="F197" s="89"/>
      <c r="G197" s="89"/>
      <c r="H197" s="89"/>
      <c r="I197" s="9"/>
      <c r="J197" s="9"/>
      <c r="K197" s="9"/>
      <c r="AB197" s="26">
        <f t="shared" si="12"/>
        <v>0</v>
      </c>
      <c r="AC197" s="26">
        <f t="shared" si="13"/>
        <v>0</v>
      </c>
      <c r="AD197" s="26">
        <f t="shared" si="14"/>
        <v>0</v>
      </c>
      <c r="AE197" s="26">
        <f t="shared" si="15"/>
        <v>0</v>
      </c>
      <c r="AF197" s="26">
        <f t="shared" si="16"/>
        <v>0</v>
      </c>
      <c r="AG197" s="26">
        <f t="shared" si="17"/>
        <v>0</v>
      </c>
    </row>
    <row r="198" spans="1:33" x14ac:dyDescent="0.2">
      <c r="A198" s="89"/>
      <c r="B198" s="89"/>
      <c r="C198" s="89"/>
      <c r="D198" s="89"/>
      <c r="E198" s="89"/>
      <c r="F198" s="89"/>
      <c r="G198" s="89"/>
      <c r="H198" s="89"/>
      <c r="I198" s="9"/>
      <c r="J198" s="9"/>
      <c r="K198" s="9"/>
      <c r="AB198" s="26">
        <f t="shared" si="12"/>
        <v>0</v>
      </c>
      <c r="AC198" s="26">
        <f t="shared" si="13"/>
        <v>0</v>
      </c>
      <c r="AD198" s="26">
        <f t="shared" si="14"/>
        <v>0</v>
      </c>
      <c r="AE198" s="26">
        <f t="shared" si="15"/>
        <v>0</v>
      </c>
      <c r="AF198" s="26">
        <f t="shared" si="16"/>
        <v>0</v>
      </c>
      <c r="AG198" s="26">
        <f t="shared" si="17"/>
        <v>0</v>
      </c>
    </row>
    <row r="199" spans="1:33" x14ac:dyDescent="0.2">
      <c r="A199" s="89"/>
      <c r="B199" s="89"/>
      <c r="C199" s="89"/>
      <c r="D199" s="89"/>
      <c r="E199" s="89"/>
      <c r="F199" s="89"/>
      <c r="G199" s="89"/>
      <c r="H199" s="89"/>
      <c r="I199" s="9"/>
      <c r="J199" s="9"/>
      <c r="K199" s="9"/>
      <c r="AB199" s="26">
        <f t="shared" si="12"/>
        <v>0</v>
      </c>
      <c r="AC199" s="26">
        <f t="shared" si="13"/>
        <v>0</v>
      </c>
      <c r="AD199" s="26">
        <f t="shared" si="14"/>
        <v>0</v>
      </c>
      <c r="AE199" s="26">
        <f t="shared" si="15"/>
        <v>0</v>
      </c>
      <c r="AF199" s="26">
        <f t="shared" si="16"/>
        <v>0</v>
      </c>
      <c r="AG199" s="26">
        <f t="shared" si="17"/>
        <v>0</v>
      </c>
    </row>
    <row r="200" spans="1:33" x14ac:dyDescent="0.2">
      <c r="A200" s="89"/>
      <c r="B200" s="89"/>
      <c r="C200" s="89"/>
      <c r="D200" s="89"/>
      <c r="E200" s="89"/>
      <c r="F200" s="89"/>
      <c r="G200" s="89"/>
      <c r="H200" s="89"/>
      <c r="I200" s="9"/>
      <c r="J200" s="9"/>
      <c r="K200" s="9"/>
      <c r="AB200" s="26">
        <f t="shared" si="12"/>
        <v>0</v>
      </c>
      <c r="AC200" s="26">
        <f t="shared" si="13"/>
        <v>0</v>
      </c>
      <c r="AD200" s="26">
        <f t="shared" si="14"/>
        <v>0</v>
      </c>
      <c r="AE200" s="26">
        <f t="shared" si="15"/>
        <v>0</v>
      </c>
      <c r="AF200" s="26">
        <f t="shared" si="16"/>
        <v>0</v>
      </c>
      <c r="AG200" s="26">
        <f t="shared" si="17"/>
        <v>0</v>
      </c>
    </row>
    <row r="201" spans="1:33" x14ac:dyDescent="0.2">
      <c r="A201" s="89"/>
      <c r="B201" s="89"/>
      <c r="C201" s="89"/>
      <c r="D201" s="89"/>
      <c r="E201" s="89"/>
      <c r="F201" s="89"/>
      <c r="G201" s="89"/>
      <c r="H201" s="89"/>
      <c r="I201" s="9"/>
      <c r="J201" s="9"/>
      <c r="K201" s="9"/>
      <c r="AB201" s="26">
        <f t="shared" si="12"/>
        <v>0</v>
      </c>
      <c r="AC201" s="26">
        <f t="shared" si="13"/>
        <v>0</v>
      </c>
      <c r="AD201" s="26">
        <f t="shared" si="14"/>
        <v>0</v>
      </c>
      <c r="AE201" s="26">
        <f t="shared" si="15"/>
        <v>0</v>
      </c>
      <c r="AF201" s="26">
        <f t="shared" si="16"/>
        <v>0</v>
      </c>
      <c r="AG201" s="26">
        <f t="shared" si="17"/>
        <v>0</v>
      </c>
    </row>
    <row r="202" spans="1:33" x14ac:dyDescent="0.2">
      <c r="A202" s="89"/>
      <c r="B202" s="89"/>
      <c r="C202" s="89"/>
      <c r="D202" s="89"/>
      <c r="E202" s="89"/>
      <c r="F202" s="89"/>
      <c r="G202" s="89"/>
      <c r="H202" s="89"/>
      <c r="I202" s="9"/>
      <c r="J202" s="9"/>
      <c r="K202" s="9"/>
      <c r="AB202" s="26">
        <f t="shared" si="12"/>
        <v>0</v>
      </c>
      <c r="AC202" s="26">
        <f t="shared" si="13"/>
        <v>0</v>
      </c>
      <c r="AD202" s="26">
        <f t="shared" si="14"/>
        <v>0</v>
      </c>
      <c r="AE202" s="26">
        <f t="shared" si="15"/>
        <v>0</v>
      </c>
      <c r="AF202" s="26">
        <f t="shared" si="16"/>
        <v>0</v>
      </c>
      <c r="AG202" s="26">
        <f t="shared" si="17"/>
        <v>0</v>
      </c>
    </row>
    <row r="203" spans="1:33" x14ac:dyDescent="0.2">
      <c r="A203" s="89"/>
      <c r="B203" s="89"/>
      <c r="C203" s="89"/>
      <c r="D203" s="89"/>
      <c r="E203" s="89"/>
      <c r="F203" s="89"/>
      <c r="G203" s="89"/>
      <c r="H203" s="89"/>
      <c r="I203" s="9"/>
      <c r="J203" s="9"/>
      <c r="K203" s="9"/>
      <c r="AB203" s="26">
        <f t="shared" si="12"/>
        <v>0</v>
      </c>
      <c r="AC203" s="26">
        <f t="shared" si="13"/>
        <v>0</v>
      </c>
      <c r="AD203" s="26">
        <f t="shared" si="14"/>
        <v>0</v>
      </c>
      <c r="AE203" s="26">
        <f t="shared" si="15"/>
        <v>0</v>
      </c>
      <c r="AF203" s="26">
        <f t="shared" si="16"/>
        <v>0</v>
      </c>
      <c r="AG203" s="26">
        <f t="shared" si="17"/>
        <v>0</v>
      </c>
    </row>
    <row r="204" spans="1:33" x14ac:dyDescent="0.2">
      <c r="A204" s="89"/>
      <c r="B204" s="89"/>
      <c r="C204" s="89"/>
      <c r="D204" s="89"/>
      <c r="E204" s="89"/>
      <c r="F204" s="89"/>
      <c r="G204" s="89"/>
      <c r="H204" s="89"/>
      <c r="I204" s="9"/>
      <c r="J204" s="9"/>
      <c r="K204" s="9"/>
      <c r="AB204" s="26">
        <f t="shared" si="12"/>
        <v>0</v>
      </c>
      <c r="AC204" s="26">
        <f t="shared" si="13"/>
        <v>0</v>
      </c>
      <c r="AD204" s="26">
        <f t="shared" si="14"/>
        <v>0</v>
      </c>
      <c r="AE204" s="26">
        <f t="shared" si="15"/>
        <v>0</v>
      </c>
      <c r="AF204" s="26">
        <f t="shared" si="16"/>
        <v>0</v>
      </c>
      <c r="AG204" s="26">
        <f t="shared" si="17"/>
        <v>0</v>
      </c>
    </row>
    <row r="205" spans="1:33" x14ac:dyDescent="0.2">
      <c r="A205" s="89"/>
      <c r="B205" s="89"/>
      <c r="C205" s="89"/>
      <c r="D205" s="89"/>
      <c r="E205" s="89"/>
      <c r="F205" s="89"/>
      <c r="G205" s="89"/>
      <c r="H205" s="89"/>
      <c r="I205" s="9"/>
      <c r="J205" s="9"/>
      <c r="K205" s="9"/>
      <c r="AB205" s="26">
        <f t="shared" si="12"/>
        <v>0</v>
      </c>
      <c r="AC205" s="26">
        <f t="shared" si="13"/>
        <v>0</v>
      </c>
      <c r="AD205" s="26">
        <f t="shared" si="14"/>
        <v>0</v>
      </c>
      <c r="AE205" s="26">
        <f t="shared" si="15"/>
        <v>0</v>
      </c>
      <c r="AF205" s="26">
        <f t="shared" si="16"/>
        <v>0</v>
      </c>
      <c r="AG205" s="26">
        <f t="shared" si="17"/>
        <v>0</v>
      </c>
    </row>
    <row r="206" spans="1:33" x14ac:dyDescent="0.2">
      <c r="A206" s="89"/>
      <c r="B206" s="89"/>
      <c r="C206" s="89"/>
      <c r="D206" s="89"/>
      <c r="E206" s="89"/>
      <c r="F206" s="89"/>
      <c r="G206" s="89"/>
      <c r="H206" s="89"/>
      <c r="I206" s="9"/>
      <c r="J206" s="9"/>
      <c r="K206" s="9"/>
      <c r="AB206" s="26">
        <f t="shared" si="12"/>
        <v>0</v>
      </c>
      <c r="AC206" s="26">
        <f t="shared" si="13"/>
        <v>0</v>
      </c>
      <c r="AD206" s="26">
        <f t="shared" si="14"/>
        <v>0</v>
      </c>
      <c r="AE206" s="26">
        <f t="shared" si="15"/>
        <v>0</v>
      </c>
      <c r="AF206" s="26">
        <f t="shared" si="16"/>
        <v>0</v>
      </c>
      <c r="AG206" s="26">
        <f t="shared" si="17"/>
        <v>0</v>
      </c>
    </row>
    <row r="207" spans="1:33" x14ac:dyDescent="0.2">
      <c r="A207" s="89"/>
      <c r="B207" s="89"/>
      <c r="C207" s="89"/>
      <c r="D207" s="89"/>
      <c r="E207" s="89"/>
      <c r="F207" s="89"/>
      <c r="G207" s="89"/>
      <c r="H207" s="89"/>
      <c r="I207" s="9"/>
      <c r="J207" s="9"/>
      <c r="K207" s="9"/>
      <c r="AB207" s="26">
        <f t="shared" ref="AB207:AB270" si="18">IF(AND($D207="Question",$H207="OK"),1,0)</f>
        <v>0</v>
      </c>
      <c r="AC207" s="26">
        <f t="shared" ref="AC207:AC270" si="19">IF(AND($D207="Question",$H207="OK with hints"),1,0)</f>
        <v>0</v>
      </c>
      <c r="AD207" s="26">
        <f t="shared" ref="AD207:AD270" si="20">IF(AND($D207="Question",$H207="Minor non-conformity"),1,0)</f>
        <v>0</v>
      </c>
      <c r="AE207" s="26">
        <f t="shared" ref="AE207:AE270" si="21">IF(AND($D207="Question",$H207="Major non-conformity"),1,0)</f>
        <v>0</v>
      </c>
      <c r="AF207" s="26">
        <f t="shared" ref="AF207:AF270" si="22">IF(AND($D207="Question",$H207="Not applicable"),1,0)</f>
        <v>0</v>
      </c>
      <c r="AG207" s="26">
        <f t="shared" ref="AG207:AG270" si="23">IF(AND($D207="Question",$H207=""),1,0)</f>
        <v>0</v>
      </c>
    </row>
    <row r="208" spans="1:33" x14ac:dyDescent="0.2">
      <c r="A208" s="89"/>
      <c r="B208" s="89"/>
      <c r="C208" s="89"/>
      <c r="D208" s="89"/>
      <c r="E208" s="89"/>
      <c r="F208" s="89"/>
      <c r="G208" s="89"/>
      <c r="H208" s="89"/>
      <c r="I208" s="9"/>
      <c r="J208" s="9"/>
      <c r="K208" s="9"/>
      <c r="AB208" s="26">
        <f t="shared" si="18"/>
        <v>0</v>
      </c>
      <c r="AC208" s="26">
        <f t="shared" si="19"/>
        <v>0</v>
      </c>
      <c r="AD208" s="26">
        <f t="shared" si="20"/>
        <v>0</v>
      </c>
      <c r="AE208" s="26">
        <f t="shared" si="21"/>
        <v>0</v>
      </c>
      <c r="AF208" s="26">
        <f t="shared" si="22"/>
        <v>0</v>
      </c>
      <c r="AG208" s="26">
        <f t="shared" si="23"/>
        <v>0</v>
      </c>
    </row>
    <row r="209" spans="1:33" x14ac:dyDescent="0.2">
      <c r="A209" s="89"/>
      <c r="B209" s="89"/>
      <c r="C209" s="89"/>
      <c r="D209" s="89"/>
      <c r="E209" s="89"/>
      <c r="F209" s="89"/>
      <c r="G209" s="89"/>
      <c r="H209" s="89"/>
      <c r="I209" s="9"/>
      <c r="J209" s="9"/>
      <c r="K209" s="9"/>
      <c r="AB209" s="26">
        <f t="shared" si="18"/>
        <v>0</v>
      </c>
      <c r="AC209" s="26">
        <f t="shared" si="19"/>
        <v>0</v>
      </c>
      <c r="AD209" s="26">
        <f t="shared" si="20"/>
        <v>0</v>
      </c>
      <c r="AE209" s="26">
        <f t="shared" si="21"/>
        <v>0</v>
      </c>
      <c r="AF209" s="26">
        <f t="shared" si="22"/>
        <v>0</v>
      </c>
      <c r="AG209" s="26">
        <f t="shared" si="23"/>
        <v>0</v>
      </c>
    </row>
    <row r="210" spans="1:33" x14ac:dyDescent="0.2">
      <c r="A210" s="89"/>
      <c r="B210" s="89"/>
      <c r="C210" s="89"/>
      <c r="D210" s="89"/>
      <c r="E210" s="89"/>
      <c r="F210" s="89"/>
      <c r="G210" s="89"/>
      <c r="H210" s="89"/>
      <c r="I210" s="9"/>
      <c r="J210" s="9"/>
      <c r="K210" s="9"/>
      <c r="AB210" s="26">
        <f t="shared" si="18"/>
        <v>0</v>
      </c>
      <c r="AC210" s="26">
        <f t="shared" si="19"/>
        <v>0</v>
      </c>
      <c r="AD210" s="26">
        <f t="shared" si="20"/>
        <v>0</v>
      </c>
      <c r="AE210" s="26">
        <f t="shared" si="21"/>
        <v>0</v>
      </c>
      <c r="AF210" s="26">
        <f t="shared" si="22"/>
        <v>0</v>
      </c>
      <c r="AG210" s="26">
        <f t="shared" si="23"/>
        <v>0</v>
      </c>
    </row>
    <row r="211" spans="1:33" x14ac:dyDescent="0.2">
      <c r="A211" s="89"/>
      <c r="B211" s="89"/>
      <c r="C211" s="89"/>
      <c r="D211" s="89"/>
      <c r="E211" s="89"/>
      <c r="F211" s="89"/>
      <c r="G211" s="89"/>
      <c r="H211" s="89"/>
      <c r="I211" s="9"/>
      <c r="J211" s="9"/>
      <c r="K211" s="9"/>
      <c r="AB211" s="26">
        <f t="shared" si="18"/>
        <v>0</v>
      </c>
      <c r="AC211" s="26">
        <f t="shared" si="19"/>
        <v>0</v>
      </c>
      <c r="AD211" s="26">
        <f t="shared" si="20"/>
        <v>0</v>
      </c>
      <c r="AE211" s="26">
        <f t="shared" si="21"/>
        <v>0</v>
      </c>
      <c r="AF211" s="26">
        <f t="shared" si="22"/>
        <v>0</v>
      </c>
      <c r="AG211" s="26">
        <f t="shared" si="23"/>
        <v>0</v>
      </c>
    </row>
    <row r="212" spans="1:33" x14ac:dyDescent="0.2">
      <c r="A212" s="89"/>
      <c r="B212" s="89"/>
      <c r="C212" s="89"/>
      <c r="D212" s="89"/>
      <c r="E212" s="89"/>
      <c r="F212" s="89"/>
      <c r="G212" s="89"/>
      <c r="H212" s="89"/>
      <c r="I212" s="9"/>
      <c r="J212" s="9"/>
      <c r="K212" s="9"/>
      <c r="AB212" s="26">
        <f t="shared" si="18"/>
        <v>0</v>
      </c>
      <c r="AC212" s="26">
        <f t="shared" si="19"/>
        <v>0</v>
      </c>
      <c r="AD212" s="26">
        <f t="shared" si="20"/>
        <v>0</v>
      </c>
      <c r="AE212" s="26">
        <f t="shared" si="21"/>
        <v>0</v>
      </c>
      <c r="AF212" s="26">
        <f t="shared" si="22"/>
        <v>0</v>
      </c>
      <c r="AG212" s="26">
        <f t="shared" si="23"/>
        <v>0</v>
      </c>
    </row>
    <row r="213" spans="1:33" x14ac:dyDescent="0.2">
      <c r="A213" s="89"/>
      <c r="B213" s="89"/>
      <c r="C213" s="89"/>
      <c r="D213" s="89"/>
      <c r="E213" s="89"/>
      <c r="F213" s="89"/>
      <c r="G213" s="89"/>
      <c r="H213" s="89"/>
      <c r="I213" s="9"/>
      <c r="J213" s="9"/>
      <c r="K213" s="9"/>
      <c r="AB213" s="26">
        <f t="shared" si="18"/>
        <v>0</v>
      </c>
      <c r="AC213" s="26">
        <f t="shared" si="19"/>
        <v>0</v>
      </c>
      <c r="AD213" s="26">
        <f t="shared" si="20"/>
        <v>0</v>
      </c>
      <c r="AE213" s="26">
        <f t="shared" si="21"/>
        <v>0</v>
      </c>
      <c r="AF213" s="26">
        <f t="shared" si="22"/>
        <v>0</v>
      </c>
      <c r="AG213" s="26">
        <f t="shared" si="23"/>
        <v>0</v>
      </c>
    </row>
    <row r="214" spans="1:33" x14ac:dyDescent="0.2">
      <c r="A214" s="89"/>
      <c r="B214" s="89"/>
      <c r="C214" s="89"/>
      <c r="D214" s="89"/>
      <c r="E214" s="89"/>
      <c r="F214" s="89"/>
      <c r="G214" s="89"/>
      <c r="H214" s="89"/>
      <c r="I214" s="9"/>
      <c r="J214" s="9"/>
      <c r="K214" s="9"/>
      <c r="AB214" s="26">
        <f t="shared" si="18"/>
        <v>0</v>
      </c>
      <c r="AC214" s="26">
        <f t="shared" si="19"/>
        <v>0</v>
      </c>
      <c r="AD214" s="26">
        <f t="shared" si="20"/>
        <v>0</v>
      </c>
      <c r="AE214" s="26">
        <f t="shared" si="21"/>
        <v>0</v>
      </c>
      <c r="AF214" s="26">
        <f t="shared" si="22"/>
        <v>0</v>
      </c>
      <c r="AG214" s="26">
        <f t="shared" si="23"/>
        <v>0</v>
      </c>
    </row>
    <row r="215" spans="1:33" x14ac:dyDescent="0.2">
      <c r="A215" s="89"/>
      <c r="B215" s="89"/>
      <c r="C215" s="89"/>
      <c r="D215" s="89"/>
      <c r="E215" s="89"/>
      <c r="F215" s="89"/>
      <c r="G215" s="89"/>
      <c r="H215" s="89"/>
      <c r="I215" s="9"/>
      <c r="J215" s="9"/>
      <c r="K215" s="9"/>
      <c r="AB215" s="26">
        <f t="shared" si="18"/>
        <v>0</v>
      </c>
      <c r="AC215" s="26">
        <f t="shared" si="19"/>
        <v>0</v>
      </c>
      <c r="AD215" s="26">
        <f t="shared" si="20"/>
        <v>0</v>
      </c>
      <c r="AE215" s="26">
        <f t="shared" si="21"/>
        <v>0</v>
      </c>
      <c r="AF215" s="26">
        <f t="shared" si="22"/>
        <v>0</v>
      </c>
      <c r="AG215" s="26">
        <f t="shared" si="23"/>
        <v>0</v>
      </c>
    </row>
    <row r="216" spans="1:33" x14ac:dyDescent="0.2">
      <c r="A216" s="89"/>
      <c r="B216" s="89"/>
      <c r="C216" s="89"/>
      <c r="D216" s="89"/>
      <c r="E216" s="89"/>
      <c r="F216" s="89"/>
      <c r="G216" s="89"/>
      <c r="H216" s="89"/>
      <c r="I216" s="9"/>
      <c r="J216" s="9"/>
      <c r="K216" s="9"/>
      <c r="AB216" s="26">
        <f t="shared" si="18"/>
        <v>0</v>
      </c>
      <c r="AC216" s="26">
        <f t="shared" si="19"/>
        <v>0</v>
      </c>
      <c r="AD216" s="26">
        <f t="shared" si="20"/>
        <v>0</v>
      </c>
      <c r="AE216" s="26">
        <f t="shared" si="21"/>
        <v>0</v>
      </c>
      <c r="AF216" s="26">
        <f t="shared" si="22"/>
        <v>0</v>
      </c>
      <c r="AG216" s="26">
        <f t="shared" si="23"/>
        <v>0</v>
      </c>
    </row>
    <row r="217" spans="1:33" x14ac:dyDescent="0.2">
      <c r="A217" s="89"/>
      <c r="B217" s="89"/>
      <c r="C217" s="89"/>
      <c r="D217" s="89"/>
      <c r="E217" s="89"/>
      <c r="F217" s="89"/>
      <c r="G217" s="89"/>
      <c r="H217" s="89"/>
      <c r="I217" s="9"/>
      <c r="J217" s="9"/>
      <c r="K217" s="9"/>
      <c r="AB217" s="26">
        <f t="shared" si="18"/>
        <v>0</v>
      </c>
      <c r="AC217" s="26">
        <f t="shared" si="19"/>
        <v>0</v>
      </c>
      <c r="AD217" s="26">
        <f t="shared" si="20"/>
        <v>0</v>
      </c>
      <c r="AE217" s="26">
        <f t="shared" si="21"/>
        <v>0</v>
      </c>
      <c r="AF217" s="26">
        <f t="shared" si="22"/>
        <v>0</v>
      </c>
      <c r="AG217" s="26">
        <f t="shared" si="23"/>
        <v>0</v>
      </c>
    </row>
    <row r="218" spans="1:33" x14ac:dyDescent="0.2">
      <c r="A218" s="89"/>
      <c r="B218" s="89"/>
      <c r="C218" s="89"/>
      <c r="D218" s="89"/>
      <c r="E218" s="89"/>
      <c r="F218" s="89"/>
      <c r="G218" s="89"/>
      <c r="H218" s="89"/>
      <c r="I218" s="9"/>
      <c r="J218" s="9"/>
      <c r="K218" s="9"/>
      <c r="AB218" s="26">
        <f t="shared" si="18"/>
        <v>0</v>
      </c>
      <c r="AC218" s="26">
        <f t="shared" si="19"/>
        <v>0</v>
      </c>
      <c r="AD218" s="26">
        <f t="shared" si="20"/>
        <v>0</v>
      </c>
      <c r="AE218" s="26">
        <f t="shared" si="21"/>
        <v>0</v>
      </c>
      <c r="AF218" s="26">
        <f t="shared" si="22"/>
        <v>0</v>
      </c>
      <c r="AG218" s="26">
        <f t="shared" si="23"/>
        <v>0</v>
      </c>
    </row>
    <row r="219" spans="1:33" x14ac:dyDescent="0.2">
      <c r="A219" s="89"/>
      <c r="B219" s="89"/>
      <c r="C219" s="89"/>
      <c r="D219" s="89"/>
      <c r="E219" s="89"/>
      <c r="F219" s="89"/>
      <c r="G219" s="89"/>
      <c r="H219" s="89"/>
      <c r="I219" s="9"/>
      <c r="J219" s="9"/>
      <c r="K219" s="9"/>
      <c r="AB219" s="26">
        <f t="shared" si="18"/>
        <v>0</v>
      </c>
      <c r="AC219" s="26">
        <f t="shared" si="19"/>
        <v>0</v>
      </c>
      <c r="AD219" s="26">
        <f t="shared" si="20"/>
        <v>0</v>
      </c>
      <c r="AE219" s="26">
        <f t="shared" si="21"/>
        <v>0</v>
      </c>
      <c r="AF219" s="26">
        <f t="shared" si="22"/>
        <v>0</v>
      </c>
      <c r="AG219" s="26">
        <f t="shared" si="23"/>
        <v>0</v>
      </c>
    </row>
    <row r="220" spans="1:33" x14ac:dyDescent="0.2">
      <c r="A220" s="89"/>
      <c r="B220" s="89"/>
      <c r="C220" s="89"/>
      <c r="D220" s="89"/>
      <c r="E220" s="89"/>
      <c r="F220" s="89"/>
      <c r="G220" s="89"/>
      <c r="H220" s="89"/>
      <c r="I220" s="9"/>
      <c r="J220" s="9"/>
      <c r="K220" s="9"/>
      <c r="AB220" s="26">
        <f t="shared" si="18"/>
        <v>0</v>
      </c>
      <c r="AC220" s="26">
        <f t="shared" si="19"/>
        <v>0</v>
      </c>
      <c r="AD220" s="26">
        <f t="shared" si="20"/>
        <v>0</v>
      </c>
      <c r="AE220" s="26">
        <f t="shared" si="21"/>
        <v>0</v>
      </c>
      <c r="AF220" s="26">
        <f t="shared" si="22"/>
        <v>0</v>
      </c>
      <c r="AG220" s="26">
        <f t="shared" si="23"/>
        <v>0</v>
      </c>
    </row>
    <row r="221" spans="1:33" x14ac:dyDescent="0.2">
      <c r="A221" s="89"/>
      <c r="B221" s="89"/>
      <c r="C221" s="89"/>
      <c r="D221" s="89"/>
      <c r="E221" s="89"/>
      <c r="F221" s="89"/>
      <c r="G221" s="89"/>
      <c r="H221" s="89"/>
      <c r="I221" s="9"/>
      <c r="J221" s="9"/>
      <c r="K221" s="9"/>
      <c r="AB221" s="26">
        <f t="shared" si="18"/>
        <v>0</v>
      </c>
      <c r="AC221" s="26">
        <f t="shared" si="19"/>
        <v>0</v>
      </c>
      <c r="AD221" s="26">
        <f t="shared" si="20"/>
        <v>0</v>
      </c>
      <c r="AE221" s="26">
        <f t="shared" si="21"/>
        <v>0</v>
      </c>
      <c r="AF221" s="26">
        <f t="shared" si="22"/>
        <v>0</v>
      </c>
      <c r="AG221" s="26">
        <f t="shared" si="23"/>
        <v>0</v>
      </c>
    </row>
    <row r="222" spans="1:33" x14ac:dyDescent="0.2">
      <c r="A222" s="89"/>
      <c r="B222" s="89"/>
      <c r="C222" s="89"/>
      <c r="D222" s="89"/>
      <c r="E222" s="89"/>
      <c r="F222" s="89"/>
      <c r="G222" s="89"/>
      <c r="H222" s="89"/>
      <c r="I222" s="9"/>
      <c r="J222" s="9"/>
      <c r="K222" s="9"/>
      <c r="AB222" s="26">
        <f t="shared" si="18"/>
        <v>0</v>
      </c>
      <c r="AC222" s="26">
        <f t="shared" si="19"/>
        <v>0</v>
      </c>
      <c r="AD222" s="26">
        <f t="shared" si="20"/>
        <v>0</v>
      </c>
      <c r="AE222" s="26">
        <f t="shared" si="21"/>
        <v>0</v>
      </c>
      <c r="AF222" s="26">
        <f t="shared" si="22"/>
        <v>0</v>
      </c>
      <c r="AG222" s="26">
        <f t="shared" si="23"/>
        <v>0</v>
      </c>
    </row>
    <row r="223" spans="1:33" x14ac:dyDescent="0.2">
      <c r="A223" s="89"/>
      <c r="B223" s="89"/>
      <c r="C223" s="89"/>
      <c r="D223" s="89"/>
      <c r="E223" s="89"/>
      <c r="F223" s="89"/>
      <c r="G223" s="89"/>
      <c r="H223" s="89"/>
      <c r="I223" s="9"/>
      <c r="J223" s="9"/>
      <c r="K223" s="9"/>
      <c r="AB223" s="26">
        <f t="shared" si="18"/>
        <v>0</v>
      </c>
      <c r="AC223" s="26">
        <f t="shared" si="19"/>
        <v>0</v>
      </c>
      <c r="AD223" s="26">
        <f t="shared" si="20"/>
        <v>0</v>
      </c>
      <c r="AE223" s="26">
        <f t="shared" si="21"/>
        <v>0</v>
      </c>
      <c r="AF223" s="26">
        <f t="shared" si="22"/>
        <v>0</v>
      </c>
      <c r="AG223" s="26">
        <f t="shared" si="23"/>
        <v>0</v>
      </c>
    </row>
    <row r="224" spans="1:33" x14ac:dyDescent="0.2">
      <c r="A224" s="89"/>
      <c r="B224" s="89"/>
      <c r="C224" s="89"/>
      <c r="D224" s="89"/>
      <c r="E224" s="89"/>
      <c r="F224" s="89"/>
      <c r="G224" s="89"/>
      <c r="H224" s="89"/>
      <c r="I224" s="9"/>
      <c r="J224" s="9"/>
      <c r="K224" s="9"/>
      <c r="AB224" s="26">
        <f t="shared" si="18"/>
        <v>0</v>
      </c>
      <c r="AC224" s="26">
        <f t="shared" si="19"/>
        <v>0</v>
      </c>
      <c r="AD224" s="26">
        <f t="shared" si="20"/>
        <v>0</v>
      </c>
      <c r="AE224" s="26">
        <f t="shared" si="21"/>
        <v>0</v>
      </c>
      <c r="AF224" s="26">
        <f t="shared" si="22"/>
        <v>0</v>
      </c>
      <c r="AG224" s="26">
        <f t="shared" si="23"/>
        <v>0</v>
      </c>
    </row>
    <row r="225" spans="1:33" x14ac:dyDescent="0.2">
      <c r="A225" s="89"/>
      <c r="B225" s="89"/>
      <c r="C225" s="89"/>
      <c r="D225" s="89"/>
      <c r="E225" s="89"/>
      <c r="F225" s="89"/>
      <c r="G225" s="89"/>
      <c r="H225" s="89"/>
      <c r="I225" s="9"/>
      <c r="J225" s="9"/>
      <c r="K225" s="9"/>
      <c r="AB225" s="26">
        <f t="shared" si="18"/>
        <v>0</v>
      </c>
      <c r="AC225" s="26">
        <f t="shared" si="19"/>
        <v>0</v>
      </c>
      <c r="AD225" s="26">
        <f t="shared" si="20"/>
        <v>0</v>
      </c>
      <c r="AE225" s="26">
        <f t="shared" si="21"/>
        <v>0</v>
      </c>
      <c r="AF225" s="26">
        <f t="shared" si="22"/>
        <v>0</v>
      </c>
      <c r="AG225" s="26">
        <f t="shared" si="23"/>
        <v>0</v>
      </c>
    </row>
    <row r="226" spans="1:33" x14ac:dyDescent="0.2">
      <c r="A226" s="89"/>
      <c r="B226" s="89"/>
      <c r="C226" s="89"/>
      <c r="D226" s="89"/>
      <c r="E226" s="89"/>
      <c r="F226" s="89"/>
      <c r="G226" s="89"/>
      <c r="H226" s="89"/>
      <c r="I226" s="9"/>
      <c r="J226" s="9"/>
      <c r="K226" s="9"/>
      <c r="AB226" s="26">
        <f t="shared" si="18"/>
        <v>0</v>
      </c>
      <c r="AC226" s="26">
        <f t="shared" si="19"/>
        <v>0</v>
      </c>
      <c r="AD226" s="26">
        <f t="shared" si="20"/>
        <v>0</v>
      </c>
      <c r="AE226" s="26">
        <f t="shared" si="21"/>
        <v>0</v>
      </c>
      <c r="AF226" s="26">
        <f t="shared" si="22"/>
        <v>0</v>
      </c>
      <c r="AG226" s="26">
        <f t="shared" si="23"/>
        <v>0</v>
      </c>
    </row>
    <row r="227" spans="1:33" x14ac:dyDescent="0.2">
      <c r="A227" s="89"/>
      <c r="B227" s="89"/>
      <c r="C227" s="89"/>
      <c r="D227" s="89"/>
      <c r="E227" s="89"/>
      <c r="F227" s="89"/>
      <c r="G227" s="89"/>
      <c r="H227" s="89"/>
      <c r="I227" s="9"/>
      <c r="J227" s="9"/>
      <c r="K227" s="9"/>
      <c r="AB227" s="26">
        <f t="shared" si="18"/>
        <v>0</v>
      </c>
      <c r="AC227" s="26">
        <f t="shared" si="19"/>
        <v>0</v>
      </c>
      <c r="AD227" s="26">
        <f t="shared" si="20"/>
        <v>0</v>
      </c>
      <c r="AE227" s="26">
        <f t="shared" si="21"/>
        <v>0</v>
      </c>
      <c r="AF227" s="26">
        <f t="shared" si="22"/>
        <v>0</v>
      </c>
      <c r="AG227" s="26">
        <f t="shared" si="23"/>
        <v>0</v>
      </c>
    </row>
    <row r="228" spans="1:33" x14ac:dyDescent="0.2">
      <c r="A228" s="89"/>
      <c r="B228" s="89"/>
      <c r="C228" s="89"/>
      <c r="D228" s="89"/>
      <c r="E228" s="89"/>
      <c r="F228" s="89"/>
      <c r="G228" s="89"/>
      <c r="H228" s="89"/>
      <c r="I228" s="9"/>
      <c r="J228" s="9"/>
      <c r="K228" s="9"/>
      <c r="AB228" s="26">
        <f t="shared" si="18"/>
        <v>0</v>
      </c>
      <c r="AC228" s="26">
        <f t="shared" si="19"/>
        <v>0</v>
      </c>
      <c r="AD228" s="26">
        <f t="shared" si="20"/>
        <v>0</v>
      </c>
      <c r="AE228" s="26">
        <f t="shared" si="21"/>
        <v>0</v>
      </c>
      <c r="AF228" s="26">
        <f t="shared" si="22"/>
        <v>0</v>
      </c>
      <c r="AG228" s="26">
        <f t="shared" si="23"/>
        <v>0</v>
      </c>
    </row>
    <row r="229" spans="1:33" x14ac:dyDescent="0.2">
      <c r="A229" s="89"/>
      <c r="B229" s="89"/>
      <c r="C229" s="89"/>
      <c r="D229" s="89"/>
      <c r="E229" s="89"/>
      <c r="F229" s="89"/>
      <c r="G229" s="89"/>
      <c r="H229" s="89"/>
      <c r="I229" s="9"/>
      <c r="J229" s="9"/>
      <c r="K229" s="9"/>
      <c r="AB229" s="26">
        <f t="shared" si="18"/>
        <v>0</v>
      </c>
      <c r="AC229" s="26">
        <f t="shared" si="19"/>
        <v>0</v>
      </c>
      <c r="AD229" s="26">
        <f t="shared" si="20"/>
        <v>0</v>
      </c>
      <c r="AE229" s="26">
        <f t="shared" si="21"/>
        <v>0</v>
      </c>
      <c r="AF229" s="26">
        <f t="shared" si="22"/>
        <v>0</v>
      </c>
      <c r="AG229" s="26">
        <f t="shared" si="23"/>
        <v>0</v>
      </c>
    </row>
    <row r="230" spans="1:33" x14ac:dyDescent="0.2">
      <c r="A230" s="89"/>
      <c r="B230" s="89"/>
      <c r="C230" s="89"/>
      <c r="D230" s="89"/>
      <c r="E230" s="89"/>
      <c r="F230" s="89"/>
      <c r="G230" s="89"/>
      <c r="H230" s="89"/>
      <c r="I230" s="9"/>
      <c r="J230" s="9"/>
      <c r="K230" s="9"/>
      <c r="AB230" s="26">
        <f t="shared" si="18"/>
        <v>0</v>
      </c>
      <c r="AC230" s="26">
        <f t="shared" si="19"/>
        <v>0</v>
      </c>
      <c r="AD230" s="26">
        <f t="shared" si="20"/>
        <v>0</v>
      </c>
      <c r="AE230" s="26">
        <f t="shared" si="21"/>
        <v>0</v>
      </c>
      <c r="AF230" s="26">
        <f t="shared" si="22"/>
        <v>0</v>
      </c>
      <c r="AG230" s="26">
        <f t="shared" si="23"/>
        <v>0</v>
      </c>
    </row>
    <row r="231" spans="1:33" x14ac:dyDescent="0.2">
      <c r="A231" s="89"/>
      <c r="B231" s="89"/>
      <c r="C231" s="89"/>
      <c r="D231" s="89"/>
      <c r="E231" s="89"/>
      <c r="F231" s="89"/>
      <c r="G231" s="89"/>
      <c r="H231" s="89"/>
      <c r="I231" s="9"/>
      <c r="J231" s="9"/>
      <c r="K231" s="9"/>
      <c r="AB231" s="26">
        <f t="shared" si="18"/>
        <v>0</v>
      </c>
      <c r="AC231" s="26">
        <f t="shared" si="19"/>
        <v>0</v>
      </c>
      <c r="AD231" s="26">
        <f t="shared" si="20"/>
        <v>0</v>
      </c>
      <c r="AE231" s="26">
        <f t="shared" si="21"/>
        <v>0</v>
      </c>
      <c r="AF231" s="26">
        <f t="shared" si="22"/>
        <v>0</v>
      </c>
      <c r="AG231" s="26">
        <f t="shared" si="23"/>
        <v>0</v>
      </c>
    </row>
    <row r="232" spans="1:33" x14ac:dyDescent="0.2">
      <c r="A232" s="89"/>
      <c r="B232" s="89"/>
      <c r="C232" s="89"/>
      <c r="D232" s="89"/>
      <c r="E232" s="89"/>
      <c r="F232" s="89"/>
      <c r="G232" s="89"/>
      <c r="H232" s="89"/>
      <c r="I232" s="9"/>
      <c r="J232" s="9"/>
      <c r="K232" s="9"/>
      <c r="AB232" s="26">
        <f t="shared" si="18"/>
        <v>0</v>
      </c>
      <c r="AC232" s="26">
        <f t="shared" si="19"/>
        <v>0</v>
      </c>
      <c r="AD232" s="26">
        <f t="shared" si="20"/>
        <v>0</v>
      </c>
      <c r="AE232" s="26">
        <f t="shared" si="21"/>
        <v>0</v>
      </c>
      <c r="AF232" s="26">
        <f t="shared" si="22"/>
        <v>0</v>
      </c>
      <c r="AG232" s="26">
        <f t="shared" si="23"/>
        <v>0</v>
      </c>
    </row>
    <row r="233" spans="1:33" x14ac:dyDescent="0.2">
      <c r="A233" s="89"/>
      <c r="B233" s="89"/>
      <c r="C233" s="89"/>
      <c r="D233" s="89"/>
      <c r="E233" s="89"/>
      <c r="F233" s="89"/>
      <c r="G233" s="89"/>
      <c r="H233" s="89"/>
      <c r="I233" s="9"/>
      <c r="J233" s="9"/>
      <c r="K233" s="9"/>
      <c r="AB233" s="26">
        <f t="shared" si="18"/>
        <v>0</v>
      </c>
      <c r="AC233" s="26">
        <f t="shared" si="19"/>
        <v>0</v>
      </c>
      <c r="AD233" s="26">
        <f t="shared" si="20"/>
        <v>0</v>
      </c>
      <c r="AE233" s="26">
        <f t="shared" si="21"/>
        <v>0</v>
      </c>
      <c r="AF233" s="26">
        <f t="shared" si="22"/>
        <v>0</v>
      </c>
      <c r="AG233" s="26">
        <f t="shared" si="23"/>
        <v>0</v>
      </c>
    </row>
    <row r="234" spans="1:33" x14ac:dyDescent="0.2">
      <c r="A234" s="89"/>
      <c r="B234" s="89"/>
      <c r="C234" s="89"/>
      <c r="D234" s="89"/>
      <c r="E234" s="89"/>
      <c r="F234" s="89"/>
      <c r="G234" s="89"/>
      <c r="H234" s="89"/>
      <c r="I234" s="9"/>
      <c r="J234" s="9"/>
      <c r="K234" s="9"/>
      <c r="AB234" s="26">
        <f t="shared" si="18"/>
        <v>0</v>
      </c>
      <c r="AC234" s="26">
        <f t="shared" si="19"/>
        <v>0</v>
      </c>
      <c r="AD234" s="26">
        <f t="shared" si="20"/>
        <v>0</v>
      </c>
      <c r="AE234" s="26">
        <f t="shared" si="21"/>
        <v>0</v>
      </c>
      <c r="AF234" s="26">
        <f t="shared" si="22"/>
        <v>0</v>
      </c>
      <c r="AG234" s="26">
        <f t="shared" si="23"/>
        <v>0</v>
      </c>
    </row>
    <row r="235" spans="1:33" x14ac:dyDescent="0.2">
      <c r="A235" s="89"/>
      <c r="B235" s="89"/>
      <c r="C235" s="89"/>
      <c r="D235" s="89"/>
      <c r="E235" s="89"/>
      <c r="F235" s="89"/>
      <c r="G235" s="89"/>
      <c r="H235" s="89"/>
      <c r="I235" s="9"/>
      <c r="J235" s="9"/>
      <c r="K235" s="9"/>
      <c r="AB235" s="26">
        <f t="shared" si="18"/>
        <v>0</v>
      </c>
      <c r="AC235" s="26">
        <f t="shared" si="19"/>
        <v>0</v>
      </c>
      <c r="AD235" s="26">
        <f t="shared" si="20"/>
        <v>0</v>
      </c>
      <c r="AE235" s="26">
        <f t="shared" si="21"/>
        <v>0</v>
      </c>
      <c r="AF235" s="26">
        <f t="shared" si="22"/>
        <v>0</v>
      </c>
      <c r="AG235" s="26">
        <f t="shared" si="23"/>
        <v>0</v>
      </c>
    </row>
    <row r="236" spans="1:33" x14ac:dyDescent="0.2">
      <c r="A236" s="89"/>
      <c r="B236" s="89"/>
      <c r="C236" s="89"/>
      <c r="D236" s="89"/>
      <c r="E236" s="89"/>
      <c r="F236" s="89"/>
      <c r="G236" s="89"/>
      <c r="H236" s="89"/>
      <c r="I236" s="9"/>
      <c r="J236" s="9"/>
      <c r="K236" s="9"/>
      <c r="AB236" s="26">
        <f t="shared" si="18"/>
        <v>0</v>
      </c>
      <c r="AC236" s="26">
        <f t="shared" si="19"/>
        <v>0</v>
      </c>
      <c r="AD236" s="26">
        <f t="shared" si="20"/>
        <v>0</v>
      </c>
      <c r="AE236" s="26">
        <f t="shared" si="21"/>
        <v>0</v>
      </c>
      <c r="AF236" s="26">
        <f t="shared" si="22"/>
        <v>0</v>
      </c>
      <c r="AG236" s="26">
        <f t="shared" si="23"/>
        <v>0</v>
      </c>
    </row>
    <row r="237" spans="1:33" x14ac:dyDescent="0.2">
      <c r="A237" s="89"/>
      <c r="B237" s="89"/>
      <c r="C237" s="89"/>
      <c r="D237" s="89"/>
      <c r="E237" s="89"/>
      <c r="F237" s="89"/>
      <c r="G237" s="89"/>
      <c r="H237" s="89"/>
      <c r="I237" s="9"/>
      <c r="J237" s="9"/>
      <c r="K237" s="9"/>
      <c r="AB237" s="26">
        <f t="shared" si="18"/>
        <v>0</v>
      </c>
      <c r="AC237" s="26">
        <f t="shared" si="19"/>
        <v>0</v>
      </c>
      <c r="AD237" s="26">
        <f t="shared" si="20"/>
        <v>0</v>
      </c>
      <c r="AE237" s="26">
        <f t="shared" si="21"/>
        <v>0</v>
      </c>
      <c r="AF237" s="26">
        <f t="shared" si="22"/>
        <v>0</v>
      </c>
      <c r="AG237" s="26">
        <f t="shared" si="23"/>
        <v>0</v>
      </c>
    </row>
    <row r="238" spans="1:33" x14ac:dyDescent="0.2">
      <c r="A238" s="89"/>
      <c r="B238" s="89"/>
      <c r="C238" s="89"/>
      <c r="D238" s="89"/>
      <c r="E238" s="89"/>
      <c r="F238" s="89"/>
      <c r="G238" s="89"/>
      <c r="H238" s="89"/>
      <c r="I238" s="9"/>
      <c r="J238" s="9"/>
      <c r="K238" s="9"/>
      <c r="AB238" s="26">
        <f t="shared" si="18"/>
        <v>0</v>
      </c>
      <c r="AC238" s="26">
        <f t="shared" si="19"/>
        <v>0</v>
      </c>
      <c r="AD238" s="26">
        <f t="shared" si="20"/>
        <v>0</v>
      </c>
      <c r="AE238" s="26">
        <f t="shared" si="21"/>
        <v>0</v>
      </c>
      <c r="AF238" s="26">
        <f t="shared" si="22"/>
        <v>0</v>
      </c>
      <c r="AG238" s="26">
        <f t="shared" si="23"/>
        <v>0</v>
      </c>
    </row>
    <row r="239" spans="1:33" x14ac:dyDescent="0.2">
      <c r="A239" s="89"/>
      <c r="B239" s="89"/>
      <c r="C239" s="89"/>
      <c r="D239" s="89"/>
      <c r="E239" s="89"/>
      <c r="F239" s="89"/>
      <c r="G239" s="89"/>
      <c r="H239" s="89"/>
      <c r="I239" s="9"/>
      <c r="J239" s="9"/>
      <c r="K239" s="9"/>
      <c r="AB239" s="26">
        <f t="shared" si="18"/>
        <v>0</v>
      </c>
      <c r="AC239" s="26">
        <f t="shared" si="19"/>
        <v>0</v>
      </c>
      <c r="AD239" s="26">
        <f t="shared" si="20"/>
        <v>0</v>
      </c>
      <c r="AE239" s="26">
        <f t="shared" si="21"/>
        <v>0</v>
      </c>
      <c r="AF239" s="26">
        <f t="shared" si="22"/>
        <v>0</v>
      </c>
      <c r="AG239" s="26">
        <f t="shared" si="23"/>
        <v>0</v>
      </c>
    </row>
    <row r="240" spans="1:33" x14ac:dyDescent="0.2">
      <c r="A240" s="89"/>
      <c r="B240" s="89"/>
      <c r="C240" s="89"/>
      <c r="D240" s="89"/>
      <c r="E240" s="89"/>
      <c r="F240" s="89"/>
      <c r="G240" s="89"/>
      <c r="H240" s="89"/>
      <c r="I240" s="9"/>
      <c r="J240" s="9"/>
      <c r="K240" s="9"/>
      <c r="AB240" s="26">
        <f t="shared" si="18"/>
        <v>0</v>
      </c>
      <c r="AC240" s="26">
        <f t="shared" si="19"/>
        <v>0</v>
      </c>
      <c r="AD240" s="26">
        <f t="shared" si="20"/>
        <v>0</v>
      </c>
      <c r="AE240" s="26">
        <f t="shared" si="21"/>
        <v>0</v>
      </c>
      <c r="AF240" s="26">
        <f t="shared" si="22"/>
        <v>0</v>
      </c>
      <c r="AG240" s="26">
        <f t="shared" si="23"/>
        <v>0</v>
      </c>
    </row>
    <row r="241" spans="1:33" x14ac:dyDescent="0.2">
      <c r="A241" s="89"/>
      <c r="B241" s="89"/>
      <c r="C241" s="89"/>
      <c r="D241" s="89"/>
      <c r="E241" s="89"/>
      <c r="F241" s="89"/>
      <c r="G241" s="89"/>
      <c r="H241" s="89"/>
      <c r="I241" s="9"/>
      <c r="J241" s="9"/>
      <c r="K241" s="9"/>
      <c r="AB241" s="26">
        <f t="shared" si="18"/>
        <v>0</v>
      </c>
      <c r="AC241" s="26">
        <f t="shared" si="19"/>
        <v>0</v>
      </c>
      <c r="AD241" s="26">
        <f t="shared" si="20"/>
        <v>0</v>
      </c>
      <c r="AE241" s="26">
        <f t="shared" si="21"/>
        <v>0</v>
      </c>
      <c r="AF241" s="26">
        <f t="shared" si="22"/>
        <v>0</v>
      </c>
      <c r="AG241" s="26">
        <f t="shared" si="23"/>
        <v>0</v>
      </c>
    </row>
    <row r="242" spans="1:33" x14ac:dyDescent="0.2">
      <c r="A242" s="89"/>
      <c r="B242" s="89"/>
      <c r="C242" s="89"/>
      <c r="D242" s="89"/>
      <c r="E242" s="89"/>
      <c r="F242" s="89"/>
      <c r="G242" s="89"/>
      <c r="H242" s="89"/>
      <c r="I242" s="9"/>
      <c r="J242" s="9"/>
      <c r="K242" s="9"/>
      <c r="AB242" s="26">
        <f t="shared" si="18"/>
        <v>0</v>
      </c>
      <c r="AC242" s="26">
        <f t="shared" si="19"/>
        <v>0</v>
      </c>
      <c r="AD242" s="26">
        <f t="shared" si="20"/>
        <v>0</v>
      </c>
      <c r="AE242" s="26">
        <f t="shared" si="21"/>
        <v>0</v>
      </c>
      <c r="AF242" s="26">
        <f t="shared" si="22"/>
        <v>0</v>
      </c>
      <c r="AG242" s="26">
        <f t="shared" si="23"/>
        <v>0</v>
      </c>
    </row>
    <row r="243" spans="1:33" x14ac:dyDescent="0.2">
      <c r="A243" s="89"/>
      <c r="B243" s="89"/>
      <c r="C243" s="89"/>
      <c r="D243" s="89"/>
      <c r="E243" s="89"/>
      <c r="F243" s="89"/>
      <c r="G243" s="89"/>
      <c r="H243" s="89"/>
      <c r="I243" s="9"/>
      <c r="J243" s="9"/>
      <c r="K243" s="9"/>
      <c r="AB243" s="26">
        <f t="shared" si="18"/>
        <v>0</v>
      </c>
      <c r="AC243" s="26">
        <f t="shared" si="19"/>
        <v>0</v>
      </c>
      <c r="AD243" s="26">
        <f t="shared" si="20"/>
        <v>0</v>
      </c>
      <c r="AE243" s="26">
        <f t="shared" si="21"/>
        <v>0</v>
      </c>
      <c r="AF243" s="26">
        <f t="shared" si="22"/>
        <v>0</v>
      </c>
      <c r="AG243" s="26">
        <f t="shared" si="23"/>
        <v>0</v>
      </c>
    </row>
    <row r="244" spans="1:33" x14ac:dyDescent="0.2">
      <c r="A244" s="89"/>
      <c r="B244" s="89"/>
      <c r="C244" s="89"/>
      <c r="D244" s="89"/>
      <c r="E244" s="89"/>
      <c r="F244" s="89"/>
      <c r="G244" s="89"/>
      <c r="H244" s="89"/>
      <c r="I244" s="9"/>
      <c r="J244" s="9"/>
      <c r="K244" s="9"/>
      <c r="AB244" s="26">
        <f t="shared" si="18"/>
        <v>0</v>
      </c>
      <c r="AC244" s="26">
        <f t="shared" si="19"/>
        <v>0</v>
      </c>
      <c r="AD244" s="26">
        <f t="shared" si="20"/>
        <v>0</v>
      </c>
      <c r="AE244" s="26">
        <f t="shared" si="21"/>
        <v>0</v>
      </c>
      <c r="AF244" s="26">
        <f t="shared" si="22"/>
        <v>0</v>
      </c>
      <c r="AG244" s="26">
        <f t="shared" si="23"/>
        <v>0</v>
      </c>
    </row>
    <row r="245" spans="1:33" x14ac:dyDescent="0.2">
      <c r="A245" s="89"/>
      <c r="B245" s="89"/>
      <c r="C245" s="89"/>
      <c r="D245" s="89"/>
      <c r="E245" s="89"/>
      <c r="F245" s="89"/>
      <c r="G245" s="89"/>
      <c r="H245" s="89"/>
      <c r="I245" s="9"/>
      <c r="J245" s="9"/>
      <c r="K245" s="9"/>
      <c r="AB245" s="26">
        <f t="shared" si="18"/>
        <v>0</v>
      </c>
      <c r="AC245" s="26">
        <f t="shared" si="19"/>
        <v>0</v>
      </c>
      <c r="AD245" s="26">
        <f t="shared" si="20"/>
        <v>0</v>
      </c>
      <c r="AE245" s="26">
        <f t="shared" si="21"/>
        <v>0</v>
      </c>
      <c r="AF245" s="26">
        <f t="shared" si="22"/>
        <v>0</v>
      </c>
      <c r="AG245" s="26">
        <f t="shared" si="23"/>
        <v>0</v>
      </c>
    </row>
    <row r="246" spans="1:33" x14ac:dyDescent="0.2">
      <c r="A246" s="89"/>
      <c r="B246" s="89"/>
      <c r="C246" s="89"/>
      <c r="D246" s="89"/>
      <c r="E246" s="89"/>
      <c r="F246" s="89"/>
      <c r="G246" s="89"/>
      <c r="H246" s="89"/>
      <c r="I246" s="9"/>
      <c r="J246" s="9"/>
      <c r="K246" s="9"/>
      <c r="AB246" s="26">
        <f t="shared" si="18"/>
        <v>0</v>
      </c>
      <c r="AC246" s="26">
        <f t="shared" si="19"/>
        <v>0</v>
      </c>
      <c r="AD246" s="26">
        <f t="shared" si="20"/>
        <v>0</v>
      </c>
      <c r="AE246" s="26">
        <f t="shared" si="21"/>
        <v>0</v>
      </c>
      <c r="AF246" s="26">
        <f t="shared" si="22"/>
        <v>0</v>
      </c>
      <c r="AG246" s="26">
        <f t="shared" si="23"/>
        <v>0</v>
      </c>
    </row>
    <row r="247" spans="1:33" x14ac:dyDescent="0.2">
      <c r="A247" s="89"/>
      <c r="B247" s="89"/>
      <c r="C247" s="89"/>
      <c r="D247" s="89"/>
      <c r="E247" s="89"/>
      <c r="F247" s="89"/>
      <c r="G247" s="89"/>
      <c r="H247" s="89"/>
      <c r="I247" s="9"/>
      <c r="J247" s="9"/>
      <c r="K247" s="9"/>
      <c r="AB247" s="26">
        <f t="shared" si="18"/>
        <v>0</v>
      </c>
      <c r="AC247" s="26">
        <f t="shared" si="19"/>
        <v>0</v>
      </c>
      <c r="AD247" s="26">
        <f t="shared" si="20"/>
        <v>0</v>
      </c>
      <c r="AE247" s="26">
        <f t="shared" si="21"/>
        <v>0</v>
      </c>
      <c r="AF247" s="26">
        <f t="shared" si="22"/>
        <v>0</v>
      </c>
      <c r="AG247" s="26">
        <f t="shared" si="23"/>
        <v>0</v>
      </c>
    </row>
    <row r="248" spans="1:33" x14ac:dyDescent="0.2">
      <c r="A248" s="89"/>
      <c r="B248" s="89"/>
      <c r="C248" s="89"/>
      <c r="D248" s="89"/>
      <c r="E248" s="89"/>
      <c r="F248" s="89"/>
      <c r="G248" s="89"/>
      <c r="H248" s="89"/>
      <c r="I248" s="9"/>
      <c r="J248" s="9"/>
      <c r="K248" s="9"/>
      <c r="AB248" s="26">
        <f t="shared" si="18"/>
        <v>0</v>
      </c>
      <c r="AC248" s="26">
        <f t="shared" si="19"/>
        <v>0</v>
      </c>
      <c r="AD248" s="26">
        <f t="shared" si="20"/>
        <v>0</v>
      </c>
      <c r="AE248" s="26">
        <f t="shared" si="21"/>
        <v>0</v>
      </c>
      <c r="AF248" s="26">
        <f t="shared" si="22"/>
        <v>0</v>
      </c>
      <c r="AG248" s="26">
        <f t="shared" si="23"/>
        <v>0</v>
      </c>
    </row>
    <row r="249" spans="1:33" x14ac:dyDescent="0.2">
      <c r="A249" s="89"/>
      <c r="B249" s="89"/>
      <c r="C249" s="89"/>
      <c r="D249" s="89"/>
      <c r="E249" s="89"/>
      <c r="F249" s="89"/>
      <c r="G249" s="89"/>
      <c r="H249" s="89"/>
      <c r="I249" s="9"/>
      <c r="J249" s="9"/>
      <c r="K249" s="9"/>
      <c r="AB249" s="26">
        <f t="shared" si="18"/>
        <v>0</v>
      </c>
      <c r="AC249" s="26">
        <f t="shared" si="19"/>
        <v>0</v>
      </c>
      <c r="AD249" s="26">
        <f t="shared" si="20"/>
        <v>0</v>
      </c>
      <c r="AE249" s="26">
        <f t="shared" si="21"/>
        <v>0</v>
      </c>
      <c r="AF249" s="26">
        <f t="shared" si="22"/>
        <v>0</v>
      </c>
      <c r="AG249" s="26">
        <f t="shared" si="23"/>
        <v>0</v>
      </c>
    </row>
    <row r="250" spans="1:33" x14ac:dyDescent="0.2">
      <c r="A250" s="89"/>
      <c r="B250" s="89"/>
      <c r="C250" s="89"/>
      <c r="D250" s="89"/>
      <c r="E250" s="89"/>
      <c r="F250" s="89"/>
      <c r="G250" s="89"/>
      <c r="H250" s="89"/>
      <c r="I250" s="9"/>
      <c r="J250" s="9"/>
      <c r="K250" s="9"/>
      <c r="AB250" s="26">
        <f t="shared" si="18"/>
        <v>0</v>
      </c>
      <c r="AC250" s="26">
        <f t="shared" si="19"/>
        <v>0</v>
      </c>
      <c r="AD250" s="26">
        <f t="shared" si="20"/>
        <v>0</v>
      </c>
      <c r="AE250" s="26">
        <f t="shared" si="21"/>
        <v>0</v>
      </c>
      <c r="AF250" s="26">
        <f t="shared" si="22"/>
        <v>0</v>
      </c>
      <c r="AG250" s="26">
        <f t="shared" si="23"/>
        <v>0</v>
      </c>
    </row>
    <row r="251" spans="1:33" x14ac:dyDescent="0.2">
      <c r="A251" s="89"/>
      <c r="B251" s="89"/>
      <c r="C251" s="89"/>
      <c r="D251" s="89"/>
      <c r="E251" s="89"/>
      <c r="F251" s="89"/>
      <c r="G251" s="89"/>
      <c r="H251" s="89"/>
      <c r="I251" s="9"/>
      <c r="J251" s="9"/>
      <c r="K251" s="9"/>
      <c r="AB251" s="26">
        <f t="shared" si="18"/>
        <v>0</v>
      </c>
      <c r="AC251" s="26">
        <f t="shared" si="19"/>
        <v>0</v>
      </c>
      <c r="AD251" s="26">
        <f t="shared" si="20"/>
        <v>0</v>
      </c>
      <c r="AE251" s="26">
        <f t="shared" si="21"/>
        <v>0</v>
      </c>
      <c r="AF251" s="26">
        <f t="shared" si="22"/>
        <v>0</v>
      </c>
      <c r="AG251" s="26">
        <f t="shared" si="23"/>
        <v>0</v>
      </c>
    </row>
    <row r="252" spans="1:33" x14ac:dyDescent="0.2">
      <c r="A252" s="89"/>
      <c r="B252" s="89"/>
      <c r="C252" s="89"/>
      <c r="D252" s="89"/>
      <c r="E252" s="89"/>
      <c r="F252" s="89"/>
      <c r="G252" s="89"/>
      <c r="H252" s="89"/>
      <c r="I252" s="9"/>
      <c r="J252" s="9"/>
      <c r="K252" s="9"/>
      <c r="AB252" s="26">
        <f t="shared" si="18"/>
        <v>0</v>
      </c>
      <c r="AC252" s="26">
        <f t="shared" si="19"/>
        <v>0</v>
      </c>
      <c r="AD252" s="26">
        <f t="shared" si="20"/>
        <v>0</v>
      </c>
      <c r="AE252" s="26">
        <f t="shared" si="21"/>
        <v>0</v>
      </c>
      <c r="AF252" s="26">
        <f t="shared" si="22"/>
        <v>0</v>
      </c>
      <c r="AG252" s="26">
        <f t="shared" si="23"/>
        <v>0</v>
      </c>
    </row>
    <row r="253" spans="1:33" x14ac:dyDescent="0.2">
      <c r="A253" s="89"/>
      <c r="B253" s="89"/>
      <c r="C253" s="89"/>
      <c r="D253" s="89"/>
      <c r="E253" s="89"/>
      <c r="F253" s="89"/>
      <c r="G253" s="89"/>
      <c r="H253" s="89"/>
      <c r="I253" s="9"/>
      <c r="J253" s="9"/>
      <c r="K253" s="9"/>
      <c r="AB253" s="26">
        <f t="shared" si="18"/>
        <v>0</v>
      </c>
      <c r="AC253" s="26">
        <f t="shared" si="19"/>
        <v>0</v>
      </c>
      <c r="AD253" s="26">
        <f t="shared" si="20"/>
        <v>0</v>
      </c>
      <c r="AE253" s="26">
        <f t="shared" si="21"/>
        <v>0</v>
      </c>
      <c r="AF253" s="26">
        <f t="shared" si="22"/>
        <v>0</v>
      </c>
      <c r="AG253" s="26">
        <f t="shared" si="23"/>
        <v>0</v>
      </c>
    </row>
    <row r="254" spans="1:33" x14ac:dyDescent="0.2">
      <c r="A254" s="89"/>
      <c r="B254" s="89"/>
      <c r="C254" s="89"/>
      <c r="D254" s="89"/>
      <c r="E254" s="89"/>
      <c r="F254" s="89"/>
      <c r="G254" s="89"/>
      <c r="H254" s="89"/>
      <c r="I254" s="9"/>
      <c r="J254" s="9"/>
      <c r="K254" s="9"/>
      <c r="AB254" s="26">
        <f t="shared" si="18"/>
        <v>0</v>
      </c>
      <c r="AC254" s="26">
        <f t="shared" si="19"/>
        <v>0</v>
      </c>
      <c r="AD254" s="26">
        <f t="shared" si="20"/>
        <v>0</v>
      </c>
      <c r="AE254" s="26">
        <f t="shared" si="21"/>
        <v>0</v>
      </c>
      <c r="AF254" s="26">
        <f t="shared" si="22"/>
        <v>0</v>
      </c>
      <c r="AG254" s="26">
        <f t="shared" si="23"/>
        <v>0</v>
      </c>
    </row>
    <row r="255" spans="1:33" x14ac:dyDescent="0.2">
      <c r="A255" s="89"/>
      <c r="B255" s="89"/>
      <c r="C255" s="89"/>
      <c r="D255" s="89"/>
      <c r="E255" s="89"/>
      <c r="F255" s="89"/>
      <c r="G255" s="89"/>
      <c r="H255" s="89"/>
      <c r="I255" s="9"/>
      <c r="J255" s="9"/>
      <c r="K255" s="9"/>
      <c r="AB255" s="26">
        <f t="shared" si="18"/>
        <v>0</v>
      </c>
      <c r="AC255" s="26">
        <f t="shared" si="19"/>
        <v>0</v>
      </c>
      <c r="AD255" s="26">
        <f t="shared" si="20"/>
        <v>0</v>
      </c>
      <c r="AE255" s="26">
        <f t="shared" si="21"/>
        <v>0</v>
      </c>
      <c r="AF255" s="26">
        <f t="shared" si="22"/>
        <v>0</v>
      </c>
      <c r="AG255" s="26">
        <f t="shared" si="23"/>
        <v>0</v>
      </c>
    </row>
    <row r="256" spans="1:33" x14ac:dyDescent="0.2">
      <c r="A256" s="89"/>
      <c r="B256" s="89"/>
      <c r="C256" s="89"/>
      <c r="D256" s="89"/>
      <c r="E256" s="89"/>
      <c r="F256" s="89"/>
      <c r="G256" s="89"/>
      <c r="H256" s="89"/>
      <c r="I256" s="9"/>
      <c r="J256" s="9"/>
      <c r="K256" s="9"/>
      <c r="AB256" s="26">
        <f t="shared" si="18"/>
        <v>0</v>
      </c>
      <c r="AC256" s="26">
        <f t="shared" si="19"/>
        <v>0</v>
      </c>
      <c r="AD256" s="26">
        <f t="shared" si="20"/>
        <v>0</v>
      </c>
      <c r="AE256" s="26">
        <f t="shared" si="21"/>
        <v>0</v>
      </c>
      <c r="AF256" s="26">
        <f t="shared" si="22"/>
        <v>0</v>
      </c>
      <c r="AG256" s="26">
        <f t="shared" si="23"/>
        <v>0</v>
      </c>
    </row>
    <row r="257" spans="1:33" x14ac:dyDescent="0.2">
      <c r="A257" s="89"/>
      <c r="B257" s="89"/>
      <c r="C257" s="89"/>
      <c r="D257" s="89"/>
      <c r="E257" s="89"/>
      <c r="F257" s="89"/>
      <c r="G257" s="89"/>
      <c r="H257" s="89"/>
      <c r="I257" s="9"/>
      <c r="J257" s="9"/>
      <c r="K257" s="9"/>
      <c r="AB257" s="26">
        <f t="shared" si="18"/>
        <v>0</v>
      </c>
      <c r="AC257" s="26">
        <f t="shared" si="19"/>
        <v>0</v>
      </c>
      <c r="AD257" s="26">
        <f t="shared" si="20"/>
        <v>0</v>
      </c>
      <c r="AE257" s="26">
        <f t="shared" si="21"/>
        <v>0</v>
      </c>
      <c r="AF257" s="26">
        <f t="shared" si="22"/>
        <v>0</v>
      </c>
      <c r="AG257" s="26">
        <f t="shared" si="23"/>
        <v>0</v>
      </c>
    </row>
    <row r="258" spans="1:33" x14ac:dyDescent="0.2">
      <c r="A258" s="89"/>
      <c r="B258" s="89"/>
      <c r="C258" s="89"/>
      <c r="D258" s="89"/>
      <c r="E258" s="89"/>
      <c r="F258" s="89"/>
      <c r="G258" s="89"/>
      <c r="H258" s="89"/>
      <c r="I258" s="9"/>
      <c r="J258" s="9"/>
      <c r="K258" s="9"/>
      <c r="AB258" s="26">
        <f t="shared" si="18"/>
        <v>0</v>
      </c>
      <c r="AC258" s="26">
        <f t="shared" si="19"/>
        <v>0</v>
      </c>
      <c r="AD258" s="26">
        <f t="shared" si="20"/>
        <v>0</v>
      </c>
      <c r="AE258" s="26">
        <f t="shared" si="21"/>
        <v>0</v>
      </c>
      <c r="AF258" s="26">
        <f t="shared" si="22"/>
        <v>0</v>
      </c>
      <c r="AG258" s="26">
        <f t="shared" si="23"/>
        <v>0</v>
      </c>
    </row>
    <row r="259" spans="1:33" x14ac:dyDescent="0.2">
      <c r="A259" s="89"/>
      <c r="B259" s="89"/>
      <c r="C259" s="89"/>
      <c r="D259" s="89"/>
      <c r="E259" s="89"/>
      <c r="F259" s="89"/>
      <c r="G259" s="89"/>
      <c r="H259" s="89"/>
      <c r="I259" s="9"/>
      <c r="J259" s="9"/>
      <c r="K259" s="9"/>
      <c r="AB259" s="26">
        <f t="shared" si="18"/>
        <v>0</v>
      </c>
      <c r="AC259" s="26">
        <f t="shared" si="19"/>
        <v>0</v>
      </c>
      <c r="AD259" s="26">
        <f t="shared" si="20"/>
        <v>0</v>
      </c>
      <c r="AE259" s="26">
        <f t="shared" si="21"/>
        <v>0</v>
      </c>
      <c r="AF259" s="26">
        <f t="shared" si="22"/>
        <v>0</v>
      </c>
      <c r="AG259" s="26">
        <f t="shared" si="23"/>
        <v>0</v>
      </c>
    </row>
    <row r="260" spans="1:33" x14ac:dyDescent="0.2">
      <c r="A260" s="89"/>
      <c r="B260" s="89"/>
      <c r="C260" s="89"/>
      <c r="D260" s="89"/>
      <c r="E260" s="89"/>
      <c r="F260" s="89"/>
      <c r="G260" s="89"/>
      <c r="H260" s="89"/>
      <c r="I260" s="9"/>
      <c r="J260" s="9"/>
      <c r="K260" s="9"/>
      <c r="AB260" s="26">
        <f t="shared" si="18"/>
        <v>0</v>
      </c>
      <c r="AC260" s="26">
        <f t="shared" si="19"/>
        <v>0</v>
      </c>
      <c r="AD260" s="26">
        <f t="shared" si="20"/>
        <v>0</v>
      </c>
      <c r="AE260" s="26">
        <f t="shared" si="21"/>
        <v>0</v>
      </c>
      <c r="AF260" s="26">
        <f t="shared" si="22"/>
        <v>0</v>
      </c>
      <c r="AG260" s="26">
        <f t="shared" si="23"/>
        <v>0</v>
      </c>
    </row>
    <row r="261" spans="1:33" x14ac:dyDescent="0.2">
      <c r="A261" s="89"/>
      <c r="B261" s="89"/>
      <c r="C261" s="89"/>
      <c r="D261" s="89"/>
      <c r="E261" s="89"/>
      <c r="F261" s="89"/>
      <c r="G261" s="89"/>
      <c r="H261" s="89"/>
      <c r="I261" s="9"/>
      <c r="J261" s="9"/>
      <c r="K261" s="9"/>
      <c r="AB261" s="26">
        <f t="shared" si="18"/>
        <v>0</v>
      </c>
      <c r="AC261" s="26">
        <f t="shared" si="19"/>
        <v>0</v>
      </c>
      <c r="AD261" s="26">
        <f t="shared" si="20"/>
        <v>0</v>
      </c>
      <c r="AE261" s="26">
        <f t="shared" si="21"/>
        <v>0</v>
      </c>
      <c r="AF261" s="26">
        <f t="shared" si="22"/>
        <v>0</v>
      </c>
      <c r="AG261" s="26">
        <f t="shared" si="23"/>
        <v>0</v>
      </c>
    </row>
    <row r="262" spans="1:33" x14ac:dyDescent="0.2">
      <c r="A262" s="89"/>
      <c r="B262" s="89"/>
      <c r="C262" s="89"/>
      <c r="D262" s="89"/>
      <c r="E262" s="89"/>
      <c r="F262" s="89"/>
      <c r="G262" s="89"/>
      <c r="H262" s="89"/>
      <c r="I262" s="9"/>
      <c r="J262" s="9"/>
      <c r="K262" s="9"/>
      <c r="AB262" s="26">
        <f t="shared" si="18"/>
        <v>0</v>
      </c>
      <c r="AC262" s="26">
        <f t="shared" si="19"/>
        <v>0</v>
      </c>
      <c r="AD262" s="26">
        <f t="shared" si="20"/>
        <v>0</v>
      </c>
      <c r="AE262" s="26">
        <f t="shared" si="21"/>
        <v>0</v>
      </c>
      <c r="AF262" s="26">
        <f t="shared" si="22"/>
        <v>0</v>
      </c>
      <c r="AG262" s="26">
        <f t="shared" si="23"/>
        <v>0</v>
      </c>
    </row>
    <row r="263" spans="1:33" x14ac:dyDescent="0.2">
      <c r="A263" s="89"/>
      <c r="B263" s="89"/>
      <c r="C263" s="89"/>
      <c r="D263" s="89"/>
      <c r="E263" s="89"/>
      <c r="F263" s="89"/>
      <c r="G263" s="89"/>
      <c r="H263" s="89"/>
      <c r="I263" s="9"/>
      <c r="J263" s="9"/>
      <c r="K263" s="9"/>
      <c r="AB263" s="26">
        <f t="shared" si="18"/>
        <v>0</v>
      </c>
      <c r="AC263" s="26">
        <f t="shared" si="19"/>
        <v>0</v>
      </c>
      <c r="AD263" s="26">
        <f t="shared" si="20"/>
        <v>0</v>
      </c>
      <c r="AE263" s="26">
        <f t="shared" si="21"/>
        <v>0</v>
      </c>
      <c r="AF263" s="26">
        <f t="shared" si="22"/>
        <v>0</v>
      </c>
      <c r="AG263" s="26">
        <f t="shared" si="23"/>
        <v>0</v>
      </c>
    </row>
    <row r="264" spans="1:33" x14ac:dyDescent="0.2">
      <c r="A264" s="89"/>
      <c r="B264" s="89"/>
      <c r="C264" s="89"/>
      <c r="D264" s="89"/>
      <c r="E264" s="89"/>
      <c r="F264" s="89"/>
      <c r="G264" s="89"/>
      <c r="H264" s="89"/>
      <c r="I264" s="9"/>
      <c r="J264" s="9"/>
      <c r="K264" s="9"/>
      <c r="AB264" s="26">
        <f t="shared" si="18"/>
        <v>0</v>
      </c>
      <c r="AC264" s="26">
        <f t="shared" si="19"/>
        <v>0</v>
      </c>
      <c r="AD264" s="26">
        <f t="shared" si="20"/>
        <v>0</v>
      </c>
      <c r="AE264" s="26">
        <f t="shared" si="21"/>
        <v>0</v>
      </c>
      <c r="AF264" s="26">
        <f t="shared" si="22"/>
        <v>0</v>
      </c>
      <c r="AG264" s="26">
        <f t="shared" si="23"/>
        <v>0</v>
      </c>
    </row>
    <row r="265" spans="1:33" x14ac:dyDescent="0.2">
      <c r="A265" s="89"/>
      <c r="B265" s="89"/>
      <c r="C265" s="89"/>
      <c r="D265" s="89"/>
      <c r="E265" s="89"/>
      <c r="F265" s="89"/>
      <c r="G265" s="89"/>
      <c r="H265" s="89"/>
      <c r="I265" s="9"/>
      <c r="J265" s="9"/>
      <c r="K265" s="9"/>
      <c r="AB265" s="26">
        <f t="shared" si="18"/>
        <v>0</v>
      </c>
      <c r="AC265" s="26">
        <f t="shared" si="19"/>
        <v>0</v>
      </c>
      <c r="AD265" s="26">
        <f t="shared" si="20"/>
        <v>0</v>
      </c>
      <c r="AE265" s="26">
        <f t="shared" si="21"/>
        <v>0</v>
      </c>
      <c r="AF265" s="26">
        <f t="shared" si="22"/>
        <v>0</v>
      </c>
      <c r="AG265" s="26">
        <f t="shared" si="23"/>
        <v>0</v>
      </c>
    </row>
    <row r="266" spans="1:33" x14ac:dyDescent="0.2">
      <c r="A266" s="89"/>
      <c r="B266" s="89"/>
      <c r="C266" s="89"/>
      <c r="D266" s="89"/>
      <c r="E266" s="89"/>
      <c r="F266" s="89"/>
      <c r="G266" s="89"/>
      <c r="H266" s="89"/>
      <c r="I266" s="9"/>
      <c r="J266" s="9"/>
      <c r="K266" s="9"/>
      <c r="AB266" s="26">
        <f t="shared" si="18"/>
        <v>0</v>
      </c>
      <c r="AC266" s="26">
        <f t="shared" si="19"/>
        <v>0</v>
      </c>
      <c r="AD266" s="26">
        <f t="shared" si="20"/>
        <v>0</v>
      </c>
      <c r="AE266" s="26">
        <f t="shared" si="21"/>
        <v>0</v>
      </c>
      <c r="AF266" s="26">
        <f t="shared" si="22"/>
        <v>0</v>
      </c>
      <c r="AG266" s="26">
        <f t="shared" si="23"/>
        <v>0</v>
      </c>
    </row>
    <row r="267" spans="1:33" x14ac:dyDescent="0.2">
      <c r="A267" s="89"/>
      <c r="B267" s="89"/>
      <c r="C267" s="89"/>
      <c r="D267" s="89"/>
      <c r="E267" s="89"/>
      <c r="F267" s="89"/>
      <c r="G267" s="89"/>
      <c r="H267" s="89"/>
      <c r="I267" s="9"/>
      <c r="J267" s="9"/>
      <c r="K267" s="9"/>
      <c r="AB267" s="26">
        <f t="shared" si="18"/>
        <v>0</v>
      </c>
      <c r="AC267" s="26">
        <f t="shared" si="19"/>
        <v>0</v>
      </c>
      <c r="AD267" s="26">
        <f t="shared" si="20"/>
        <v>0</v>
      </c>
      <c r="AE267" s="26">
        <f t="shared" si="21"/>
        <v>0</v>
      </c>
      <c r="AF267" s="26">
        <f t="shared" si="22"/>
        <v>0</v>
      </c>
      <c r="AG267" s="26">
        <f t="shared" si="23"/>
        <v>0</v>
      </c>
    </row>
    <row r="268" spans="1:33" x14ac:dyDescent="0.2">
      <c r="A268" s="89"/>
      <c r="B268" s="89"/>
      <c r="C268" s="89"/>
      <c r="D268" s="89"/>
      <c r="E268" s="89"/>
      <c r="F268" s="89"/>
      <c r="G268" s="89"/>
      <c r="H268" s="89"/>
      <c r="I268" s="9"/>
      <c r="J268" s="9"/>
      <c r="K268" s="9"/>
      <c r="AB268" s="26">
        <f t="shared" si="18"/>
        <v>0</v>
      </c>
      <c r="AC268" s="26">
        <f t="shared" si="19"/>
        <v>0</v>
      </c>
      <c r="AD268" s="26">
        <f t="shared" si="20"/>
        <v>0</v>
      </c>
      <c r="AE268" s="26">
        <f t="shared" si="21"/>
        <v>0</v>
      </c>
      <c r="AF268" s="26">
        <f t="shared" si="22"/>
        <v>0</v>
      </c>
      <c r="AG268" s="26">
        <f t="shared" si="23"/>
        <v>0</v>
      </c>
    </row>
    <row r="269" spans="1:33" x14ac:dyDescent="0.2">
      <c r="A269" s="89"/>
      <c r="B269" s="89"/>
      <c r="C269" s="89"/>
      <c r="D269" s="89"/>
      <c r="E269" s="89"/>
      <c r="F269" s="89"/>
      <c r="G269" s="89"/>
      <c r="H269" s="89"/>
      <c r="I269" s="9"/>
      <c r="J269" s="9"/>
      <c r="K269" s="9"/>
      <c r="AB269" s="26">
        <f t="shared" si="18"/>
        <v>0</v>
      </c>
      <c r="AC269" s="26">
        <f t="shared" si="19"/>
        <v>0</v>
      </c>
      <c r="AD269" s="26">
        <f t="shared" si="20"/>
        <v>0</v>
      </c>
      <c r="AE269" s="26">
        <f t="shared" si="21"/>
        <v>0</v>
      </c>
      <c r="AF269" s="26">
        <f t="shared" si="22"/>
        <v>0</v>
      </c>
      <c r="AG269" s="26">
        <f t="shared" si="23"/>
        <v>0</v>
      </c>
    </row>
    <row r="270" spans="1:33" x14ac:dyDescent="0.2">
      <c r="A270" s="89"/>
      <c r="B270" s="89"/>
      <c r="C270" s="89"/>
      <c r="D270" s="89"/>
      <c r="E270" s="89"/>
      <c r="F270" s="89"/>
      <c r="G270" s="89"/>
      <c r="H270" s="89"/>
      <c r="I270" s="9"/>
      <c r="J270" s="9"/>
      <c r="K270" s="9"/>
      <c r="AB270" s="26">
        <f t="shared" si="18"/>
        <v>0</v>
      </c>
      <c r="AC270" s="26">
        <f t="shared" si="19"/>
        <v>0</v>
      </c>
      <c r="AD270" s="26">
        <f t="shared" si="20"/>
        <v>0</v>
      </c>
      <c r="AE270" s="26">
        <f t="shared" si="21"/>
        <v>0</v>
      </c>
      <c r="AF270" s="26">
        <f t="shared" si="22"/>
        <v>0</v>
      </c>
      <c r="AG270" s="26">
        <f t="shared" si="23"/>
        <v>0</v>
      </c>
    </row>
    <row r="271" spans="1:33" x14ac:dyDescent="0.2">
      <c r="A271" s="89"/>
      <c r="B271" s="89"/>
      <c r="C271" s="89"/>
      <c r="D271" s="89"/>
      <c r="E271" s="89"/>
      <c r="F271" s="89"/>
      <c r="G271" s="89"/>
      <c r="H271" s="89"/>
      <c r="I271" s="9"/>
      <c r="J271" s="9"/>
      <c r="K271" s="9"/>
      <c r="AB271" s="26">
        <f t="shared" ref="AB271:AB334" si="24">IF(AND($D271="Question",$H271="OK"),1,0)</f>
        <v>0</v>
      </c>
      <c r="AC271" s="26">
        <f t="shared" ref="AC271:AC334" si="25">IF(AND($D271="Question",$H271="OK with hints"),1,0)</f>
        <v>0</v>
      </c>
      <c r="AD271" s="26">
        <f t="shared" ref="AD271:AD334" si="26">IF(AND($D271="Question",$H271="Minor non-conformity"),1,0)</f>
        <v>0</v>
      </c>
      <c r="AE271" s="26">
        <f t="shared" ref="AE271:AE334" si="27">IF(AND($D271="Question",$H271="Major non-conformity"),1,0)</f>
        <v>0</v>
      </c>
      <c r="AF271" s="26">
        <f t="shared" ref="AF271:AF334" si="28">IF(AND($D271="Question",$H271="Not applicable"),1,0)</f>
        <v>0</v>
      </c>
      <c r="AG271" s="26">
        <f t="shared" ref="AG271:AG334" si="29">IF(AND($D271="Question",$H271=""),1,0)</f>
        <v>0</v>
      </c>
    </row>
    <row r="272" spans="1:33" x14ac:dyDescent="0.2">
      <c r="A272" s="89"/>
      <c r="B272" s="89"/>
      <c r="C272" s="89"/>
      <c r="D272" s="89"/>
      <c r="E272" s="89"/>
      <c r="F272" s="89"/>
      <c r="G272" s="89"/>
      <c r="H272" s="89"/>
      <c r="I272" s="9"/>
      <c r="J272" s="9"/>
      <c r="K272" s="9"/>
      <c r="AB272" s="26">
        <f t="shared" si="24"/>
        <v>0</v>
      </c>
      <c r="AC272" s="26">
        <f t="shared" si="25"/>
        <v>0</v>
      </c>
      <c r="AD272" s="26">
        <f t="shared" si="26"/>
        <v>0</v>
      </c>
      <c r="AE272" s="26">
        <f t="shared" si="27"/>
        <v>0</v>
      </c>
      <c r="AF272" s="26">
        <f t="shared" si="28"/>
        <v>0</v>
      </c>
      <c r="AG272" s="26">
        <f t="shared" si="29"/>
        <v>0</v>
      </c>
    </row>
    <row r="273" spans="1:33" x14ac:dyDescent="0.2">
      <c r="A273" s="89"/>
      <c r="B273" s="89"/>
      <c r="C273" s="89"/>
      <c r="D273" s="89"/>
      <c r="E273" s="89"/>
      <c r="F273" s="89"/>
      <c r="G273" s="89"/>
      <c r="H273" s="89"/>
      <c r="I273" s="9"/>
      <c r="J273" s="9"/>
      <c r="K273" s="9"/>
      <c r="AB273" s="26">
        <f t="shared" si="24"/>
        <v>0</v>
      </c>
      <c r="AC273" s="26">
        <f t="shared" si="25"/>
        <v>0</v>
      </c>
      <c r="AD273" s="26">
        <f t="shared" si="26"/>
        <v>0</v>
      </c>
      <c r="AE273" s="26">
        <f t="shared" si="27"/>
        <v>0</v>
      </c>
      <c r="AF273" s="26">
        <f t="shared" si="28"/>
        <v>0</v>
      </c>
      <c r="AG273" s="26">
        <f t="shared" si="29"/>
        <v>0</v>
      </c>
    </row>
    <row r="274" spans="1:33" x14ac:dyDescent="0.2">
      <c r="A274" s="89"/>
      <c r="B274" s="89"/>
      <c r="C274" s="89"/>
      <c r="D274" s="89"/>
      <c r="E274" s="89"/>
      <c r="F274" s="89"/>
      <c r="G274" s="89"/>
      <c r="H274" s="89"/>
      <c r="I274" s="9"/>
      <c r="J274" s="9"/>
      <c r="K274" s="9"/>
      <c r="AB274" s="26">
        <f t="shared" si="24"/>
        <v>0</v>
      </c>
      <c r="AC274" s="26">
        <f t="shared" si="25"/>
        <v>0</v>
      </c>
      <c r="AD274" s="26">
        <f t="shared" si="26"/>
        <v>0</v>
      </c>
      <c r="AE274" s="26">
        <f t="shared" si="27"/>
        <v>0</v>
      </c>
      <c r="AF274" s="26">
        <f t="shared" si="28"/>
        <v>0</v>
      </c>
      <c r="AG274" s="26">
        <f t="shared" si="29"/>
        <v>0</v>
      </c>
    </row>
    <row r="275" spans="1:33" x14ac:dyDescent="0.2">
      <c r="A275" s="89"/>
      <c r="B275" s="89"/>
      <c r="C275" s="89"/>
      <c r="D275" s="89"/>
      <c r="E275" s="89"/>
      <c r="F275" s="89"/>
      <c r="G275" s="89"/>
      <c r="H275" s="89"/>
      <c r="I275" s="9"/>
      <c r="J275" s="9"/>
      <c r="K275" s="9"/>
      <c r="AB275" s="26">
        <f t="shared" si="24"/>
        <v>0</v>
      </c>
      <c r="AC275" s="26">
        <f t="shared" si="25"/>
        <v>0</v>
      </c>
      <c r="AD275" s="26">
        <f t="shared" si="26"/>
        <v>0</v>
      </c>
      <c r="AE275" s="26">
        <f t="shared" si="27"/>
        <v>0</v>
      </c>
      <c r="AF275" s="26">
        <f t="shared" si="28"/>
        <v>0</v>
      </c>
      <c r="AG275" s="26">
        <f t="shared" si="29"/>
        <v>0</v>
      </c>
    </row>
    <row r="276" spans="1:33" x14ac:dyDescent="0.2">
      <c r="A276" s="89"/>
      <c r="B276" s="89"/>
      <c r="C276" s="89"/>
      <c r="D276" s="89"/>
      <c r="E276" s="89"/>
      <c r="F276" s="89"/>
      <c r="G276" s="89"/>
      <c r="H276" s="89"/>
      <c r="I276" s="9"/>
      <c r="J276" s="9"/>
      <c r="K276" s="9"/>
      <c r="AB276" s="26">
        <f t="shared" si="24"/>
        <v>0</v>
      </c>
      <c r="AC276" s="26">
        <f t="shared" si="25"/>
        <v>0</v>
      </c>
      <c r="AD276" s="26">
        <f t="shared" si="26"/>
        <v>0</v>
      </c>
      <c r="AE276" s="26">
        <f t="shared" si="27"/>
        <v>0</v>
      </c>
      <c r="AF276" s="26">
        <f t="shared" si="28"/>
        <v>0</v>
      </c>
      <c r="AG276" s="26">
        <f t="shared" si="29"/>
        <v>0</v>
      </c>
    </row>
    <row r="277" spans="1:33" x14ac:dyDescent="0.2">
      <c r="A277" s="89"/>
      <c r="B277" s="89"/>
      <c r="C277" s="89"/>
      <c r="D277" s="89"/>
      <c r="E277" s="89"/>
      <c r="F277" s="89"/>
      <c r="G277" s="89"/>
      <c r="H277" s="89"/>
      <c r="I277" s="9"/>
      <c r="J277" s="9"/>
      <c r="K277" s="9"/>
      <c r="AB277" s="26">
        <f t="shared" si="24"/>
        <v>0</v>
      </c>
      <c r="AC277" s="26">
        <f t="shared" si="25"/>
        <v>0</v>
      </c>
      <c r="AD277" s="26">
        <f t="shared" si="26"/>
        <v>0</v>
      </c>
      <c r="AE277" s="26">
        <f t="shared" si="27"/>
        <v>0</v>
      </c>
      <c r="AF277" s="26">
        <f t="shared" si="28"/>
        <v>0</v>
      </c>
      <c r="AG277" s="26">
        <f t="shared" si="29"/>
        <v>0</v>
      </c>
    </row>
    <row r="278" spans="1:33" x14ac:dyDescent="0.2">
      <c r="A278" s="89"/>
      <c r="B278" s="89"/>
      <c r="C278" s="89"/>
      <c r="D278" s="89"/>
      <c r="E278" s="89"/>
      <c r="F278" s="89"/>
      <c r="G278" s="89"/>
      <c r="H278" s="89"/>
      <c r="I278" s="9"/>
      <c r="J278" s="9"/>
      <c r="K278" s="9"/>
      <c r="AB278" s="26">
        <f t="shared" si="24"/>
        <v>0</v>
      </c>
      <c r="AC278" s="26">
        <f t="shared" si="25"/>
        <v>0</v>
      </c>
      <c r="AD278" s="26">
        <f t="shared" si="26"/>
        <v>0</v>
      </c>
      <c r="AE278" s="26">
        <f t="shared" si="27"/>
        <v>0</v>
      </c>
      <c r="AF278" s="26">
        <f t="shared" si="28"/>
        <v>0</v>
      </c>
      <c r="AG278" s="26">
        <f t="shared" si="29"/>
        <v>0</v>
      </c>
    </row>
    <row r="279" spans="1:33" x14ac:dyDescent="0.2">
      <c r="A279" s="89"/>
      <c r="B279" s="89"/>
      <c r="C279" s="89"/>
      <c r="D279" s="89"/>
      <c r="E279" s="89"/>
      <c r="F279" s="89"/>
      <c r="G279" s="89"/>
      <c r="H279" s="89"/>
      <c r="I279" s="9"/>
      <c r="J279" s="9"/>
      <c r="K279" s="9"/>
      <c r="AB279" s="26">
        <f t="shared" si="24"/>
        <v>0</v>
      </c>
      <c r="AC279" s="26">
        <f t="shared" si="25"/>
        <v>0</v>
      </c>
      <c r="AD279" s="26">
        <f t="shared" si="26"/>
        <v>0</v>
      </c>
      <c r="AE279" s="26">
        <f t="shared" si="27"/>
        <v>0</v>
      </c>
      <c r="AF279" s="26">
        <f t="shared" si="28"/>
        <v>0</v>
      </c>
      <c r="AG279" s="26">
        <f t="shared" si="29"/>
        <v>0</v>
      </c>
    </row>
    <row r="280" spans="1:33" x14ac:dyDescent="0.2">
      <c r="A280" s="89"/>
      <c r="B280" s="89"/>
      <c r="C280" s="89"/>
      <c r="D280" s="89"/>
      <c r="E280" s="89"/>
      <c r="F280" s="89"/>
      <c r="G280" s="89"/>
      <c r="H280" s="89"/>
      <c r="I280" s="9"/>
      <c r="J280" s="9"/>
      <c r="K280" s="9"/>
      <c r="AB280" s="26">
        <f t="shared" si="24"/>
        <v>0</v>
      </c>
      <c r="AC280" s="26">
        <f t="shared" si="25"/>
        <v>0</v>
      </c>
      <c r="AD280" s="26">
        <f t="shared" si="26"/>
        <v>0</v>
      </c>
      <c r="AE280" s="26">
        <f t="shared" si="27"/>
        <v>0</v>
      </c>
      <c r="AF280" s="26">
        <f t="shared" si="28"/>
        <v>0</v>
      </c>
      <c r="AG280" s="26">
        <f t="shared" si="29"/>
        <v>0</v>
      </c>
    </row>
    <row r="281" spans="1:33" x14ac:dyDescent="0.2">
      <c r="A281" s="89"/>
      <c r="B281" s="89"/>
      <c r="C281" s="89"/>
      <c r="D281" s="89"/>
      <c r="E281" s="89"/>
      <c r="F281" s="89"/>
      <c r="G281" s="89"/>
      <c r="H281" s="89"/>
      <c r="I281" s="9"/>
      <c r="J281" s="9"/>
      <c r="K281" s="9"/>
      <c r="AB281" s="26">
        <f t="shared" si="24"/>
        <v>0</v>
      </c>
      <c r="AC281" s="26">
        <f t="shared" si="25"/>
        <v>0</v>
      </c>
      <c r="AD281" s="26">
        <f t="shared" si="26"/>
        <v>0</v>
      </c>
      <c r="AE281" s="26">
        <f t="shared" si="27"/>
        <v>0</v>
      </c>
      <c r="AF281" s="26">
        <f t="shared" si="28"/>
        <v>0</v>
      </c>
      <c r="AG281" s="26">
        <f t="shared" si="29"/>
        <v>0</v>
      </c>
    </row>
    <row r="282" spans="1:33" x14ac:dyDescent="0.2">
      <c r="A282" s="89"/>
      <c r="B282" s="89"/>
      <c r="C282" s="89"/>
      <c r="D282" s="89"/>
      <c r="E282" s="89"/>
      <c r="F282" s="89"/>
      <c r="G282" s="89"/>
      <c r="H282" s="89"/>
      <c r="I282" s="9"/>
      <c r="J282" s="9"/>
      <c r="K282" s="9"/>
      <c r="AB282" s="26">
        <f t="shared" si="24"/>
        <v>0</v>
      </c>
      <c r="AC282" s="26">
        <f t="shared" si="25"/>
        <v>0</v>
      </c>
      <c r="AD282" s="26">
        <f t="shared" si="26"/>
        <v>0</v>
      </c>
      <c r="AE282" s="26">
        <f t="shared" si="27"/>
        <v>0</v>
      </c>
      <c r="AF282" s="26">
        <f t="shared" si="28"/>
        <v>0</v>
      </c>
      <c r="AG282" s="26">
        <f t="shared" si="29"/>
        <v>0</v>
      </c>
    </row>
    <row r="283" spans="1:33" x14ac:dyDescent="0.2">
      <c r="A283" s="89"/>
      <c r="B283" s="89"/>
      <c r="C283" s="89"/>
      <c r="D283" s="89"/>
      <c r="E283" s="89"/>
      <c r="F283" s="89"/>
      <c r="G283" s="89"/>
      <c r="H283" s="89"/>
      <c r="I283" s="9"/>
      <c r="J283" s="9"/>
      <c r="K283" s="9"/>
      <c r="AB283" s="26">
        <f t="shared" si="24"/>
        <v>0</v>
      </c>
      <c r="AC283" s="26">
        <f t="shared" si="25"/>
        <v>0</v>
      </c>
      <c r="AD283" s="26">
        <f t="shared" si="26"/>
        <v>0</v>
      </c>
      <c r="AE283" s="26">
        <f t="shared" si="27"/>
        <v>0</v>
      </c>
      <c r="AF283" s="26">
        <f t="shared" si="28"/>
        <v>0</v>
      </c>
      <c r="AG283" s="26">
        <f t="shared" si="29"/>
        <v>0</v>
      </c>
    </row>
    <row r="284" spans="1:33" x14ac:dyDescent="0.2">
      <c r="A284" s="89"/>
      <c r="B284" s="89"/>
      <c r="C284" s="89"/>
      <c r="D284" s="89"/>
      <c r="E284" s="89"/>
      <c r="F284" s="89"/>
      <c r="G284" s="89"/>
      <c r="H284" s="89"/>
      <c r="I284" s="9"/>
      <c r="J284" s="9"/>
      <c r="K284" s="9"/>
      <c r="AB284" s="26">
        <f t="shared" si="24"/>
        <v>0</v>
      </c>
      <c r="AC284" s="26">
        <f t="shared" si="25"/>
        <v>0</v>
      </c>
      <c r="AD284" s="26">
        <f t="shared" si="26"/>
        <v>0</v>
      </c>
      <c r="AE284" s="26">
        <f t="shared" si="27"/>
        <v>0</v>
      </c>
      <c r="AF284" s="26">
        <f t="shared" si="28"/>
        <v>0</v>
      </c>
      <c r="AG284" s="26">
        <f t="shared" si="29"/>
        <v>0</v>
      </c>
    </row>
    <row r="285" spans="1:33" x14ac:dyDescent="0.2">
      <c r="A285" s="89"/>
      <c r="B285" s="89"/>
      <c r="C285" s="89"/>
      <c r="D285" s="89"/>
      <c r="E285" s="89"/>
      <c r="F285" s="89"/>
      <c r="G285" s="89"/>
      <c r="H285" s="89"/>
      <c r="I285" s="9"/>
      <c r="J285" s="9"/>
      <c r="K285" s="9"/>
      <c r="AB285" s="26">
        <f t="shared" si="24"/>
        <v>0</v>
      </c>
      <c r="AC285" s="26">
        <f t="shared" si="25"/>
        <v>0</v>
      </c>
      <c r="AD285" s="26">
        <f t="shared" si="26"/>
        <v>0</v>
      </c>
      <c r="AE285" s="26">
        <f t="shared" si="27"/>
        <v>0</v>
      </c>
      <c r="AF285" s="26">
        <f t="shared" si="28"/>
        <v>0</v>
      </c>
      <c r="AG285" s="26">
        <f t="shared" si="29"/>
        <v>0</v>
      </c>
    </row>
    <row r="286" spans="1:33" x14ac:dyDescent="0.2">
      <c r="A286" s="89"/>
      <c r="B286" s="89"/>
      <c r="C286" s="89"/>
      <c r="D286" s="89"/>
      <c r="E286" s="89"/>
      <c r="F286" s="89"/>
      <c r="G286" s="89"/>
      <c r="H286" s="89"/>
      <c r="I286" s="9"/>
      <c r="J286" s="9"/>
      <c r="K286" s="9"/>
      <c r="AB286" s="26">
        <f t="shared" si="24"/>
        <v>0</v>
      </c>
      <c r="AC286" s="26">
        <f t="shared" si="25"/>
        <v>0</v>
      </c>
      <c r="AD286" s="26">
        <f t="shared" si="26"/>
        <v>0</v>
      </c>
      <c r="AE286" s="26">
        <f t="shared" si="27"/>
        <v>0</v>
      </c>
      <c r="AF286" s="26">
        <f t="shared" si="28"/>
        <v>0</v>
      </c>
      <c r="AG286" s="26">
        <f t="shared" si="29"/>
        <v>0</v>
      </c>
    </row>
    <row r="287" spans="1:33" x14ac:dyDescent="0.2">
      <c r="A287" s="89"/>
      <c r="B287" s="89"/>
      <c r="C287" s="89"/>
      <c r="D287" s="89"/>
      <c r="E287" s="89"/>
      <c r="F287" s="89"/>
      <c r="G287" s="89"/>
      <c r="H287" s="89"/>
      <c r="I287" s="9"/>
      <c r="J287" s="9"/>
      <c r="K287" s="9"/>
      <c r="AB287" s="26">
        <f t="shared" si="24"/>
        <v>0</v>
      </c>
      <c r="AC287" s="26">
        <f t="shared" si="25"/>
        <v>0</v>
      </c>
      <c r="AD287" s="26">
        <f t="shared" si="26"/>
        <v>0</v>
      </c>
      <c r="AE287" s="26">
        <f t="shared" si="27"/>
        <v>0</v>
      </c>
      <c r="AF287" s="26">
        <f t="shared" si="28"/>
        <v>0</v>
      </c>
      <c r="AG287" s="26">
        <f t="shared" si="29"/>
        <v>0</v>
      </c>
    </row>
    <row r="288" spans="1:33" x14ac:dyDescent="0.2">
      <c r="A288" s="89"/>
      <c r="B288" s="89"/>
      <c r="C288" s="89"/>
      <c r="D288" s="89"/>
      <c r="E288" s="89"/>
      <c r="F288" s="89"/>
      <c r="G288" s="89"/>
      <c r="H288" s="89"/>
      <c r="I288" s="9"/>
      <c r="J288" s="9"/>
      <c r="K288" s="9"/>
      <c r="AB288" s="26">
        <f t="shared" si="24"/>
        <v>0</v>
      </c>
      <c r="AC288" s="26">
        <f t="shared" si="25"/>
        <v>0</v>
      </c>
      <c r="AD288" s="26">
        <f t="shared" si="26"/>
        <v>0</v>
      </c>
      <c r="AE288" s="26">
        <f t="shared" si="27"/>
        <v>0</v>
      </c>
      <c r="AF288" s="26">
        <f t="shared" si="28"/>
        <v>0</v>
      </c>
      <c r="AG288" s="26">
        <f t="shared" si="29"/>
        <v>0</v>
      </c>
    </row>
    <row r="289" spans="1:33" x14ac:dyDescent="0.2">
      <c r="A289" s="89"/>
      <c r="B289" s="89"/>
      <c r="C289" s="89"/>
      <c r="D289" s="89"/>
      <c r="E289" s="89"/>
      <c r="F289" s="89"/>
      <c r="G289" s="89"/>
      <c r="H289" s="89"/>
      <c r="I289" s="9"/>
      <c r="J289" s="9"/>
      <c r="K289" s="9"/>
      <c r="AB289" s="26">
        <f t="shared" si="24"/>
        <v>0</v>
      </c>
      <c r="AC289" s="26">
        <f t="shared" si="25"/>
        <v>0</v>
      </c>
      <c r="AD289" s="26">
        <f t="shared" si="26"/>
        <v>0</v>
      </c>
      <c r="AE289" s="26">
        <f t="shared" si="27"/>
        <v>0</v>
      </c>
      <c r="AF289" s="26">
        <f t="shared" si="28"/>
        <v>0</v>
      </c>
      <c r="AG289" s="26">
        <f t="shared" si="29"/>
        <v>0</v>
      </c>
    </row>
    <row r="290" spans="1:33" x14ac:dyDescent="0.2">
      <c r="A290" s="89"/>
      <c r="B290" s="89"/>
      <c r="C290" s="89"/>
      <c r="D290" s="89"/>
      <c r="E290" s="89"/>
      <c r="F290" s="89"/>
      <c r="G290" s="89"/>
      <c r="H290" s="89"/>
      <c r="I290" s="9"/>
      <c r="J290" s="9"/>
      <c r="K290" s="9"/>
      <c r="AB290" s="26">
        <f t="shared" si="24"/>
        <v>0</v>
      </c>
      <c r="AC290" s="26">
        <f t="shared" si="25"/>
        <v>0</v>
      </c>
      <c r="AD290" s="26">
        <f t="shared" si="26"/>
        <v>0</v>
      </c>
      <c r="AE290" s="26">
        <f t="shared" si="27"/>
        <v>0</v>
      </c>
      <c r="AF290" s="26">
        <f t="shared" si="28"/>
        <v>0</v>
      </c>
      <c r="AG290" s="26">
        <f t="shared" si="29"/>
        <v>0</v>
      </c>
    </row>
    <row r="291" spans="1:33" x14ac:dyDescent="0.2">
      <c r="A291" s="89"/>
      <c r="B291" s="89"/>
      <c r="C291" s="89"/>
      <c r="D291" s="89"/>
      <c r="E291" s="89"/>
      <c r="F291" s="89"/>
      <c r="G291" s="89"/>
      <c r="H291" s="89"/>
      <c r="I291" s="9"/>
      <c r="J291" s="9"/>
      <c r="K291" s="9"/>
      <c r="AB291" s="26">
        <f t="shared" si="24"/>
        <v>0</v>
      </c>
      <c r="AC291" s="26">
        <f t="shared" si="25"/>
        <v>0</v>
      </c>
      <c r="AD291" s="26">
        <f t="shared" si="26"/>
        <v>0</v>
      </c>
      <c r="AE291" s="26">
        <f t="shared" si="27"/>
        <v>0</v>
      </c>
      <c r="AF291" s="26">
        <f t="shared" si="28"/>
        <v>0</v>
      </c>
      <c r="AG291" s="26">
        <f t="shared" si="29"/>
        <v>0</v>
      </c>
    </row>
    <row r="292" spans="1:33" x14ac:dyDescent="0.2">
      <c r="A292" s="89"/>
      <c r="B292" s="89"/>
      <c r="C292" s="89"/>
      <c r="D292" s="89"/>
      <c r="E292" s="89"/>
      <c r="F292" s="89"/>
      <c r="G292" s="89"/>
      <c r="H292" s="89"/>
      <c r="I292" s="9"/>
      <c r="J292" s="9"/>
      <c r="K292" s="9"/>
      <c r="AB292" s="26">
        <f t="shared" si="24"/>
        <v>0</v>
      </c>
      <c r="AC292" s="26">
        <f t="shared" si="25"/>
        <v>0</v>
      </c>
      <c r="AD292" s="26">
        <f t="shared" si="26"/>
        <v>0</v>
      </c>
      <c r="AE292" s="26">
        <f t="shared" si="27"/>
        <v>0</v>
      </c>
      <c r="AF292" s="26">
        <f t="shared" si="28"/>
        <v>0</v>
      </c>
      <c r="AG292" s="26">
        <f t="shared" si="29"/>
        <v>0</v>
      </c>
    </row>
    <row r="293" spans="1:33" x14ac:dyDescent="0.2">
      <c r="A293" s="89"/>
      <c r="B293" s="89"/>
      <c r="C293" s="89"/>
      <c r="D293" s="89"/>
      <c r="E293" s="89"/>
      <c r="F293" s="89"/>
      <c r="G293" s="89"/>
      <c r="H293" s="89"/>
      <c r="I293" s="9"/>
      <c r="J293" s="9"/>
      <c r="K293" s="9"/>
      <c r="AB293" s="26">
        <f t="shared" si="24"/>
        <v>0</v>
      </c>
      <c r="AC293" s="26">
        <f t="shared" si="25"/>
        <v>0</v>
      </c>
      <c r="AD293" s="26">
        <f t="shared" si="26"/>
        <v>0</v>
      </c>
      <c r="AE293" s="26">
        <f t="shared" si="27"/>
        <v>0</v>
      </c>
      <c r="AF293" s="26">
        <f t="shared" si="28"/>
        <v>0</v>
      </c>
      <c r="AG293" s="26">
        <f t="shared" si="29"/>
        <v>0</v>
      </c>
    </row>
    <row r="294" spans="1:33" x14ac:dyDescent="0.2">
      <c r="A294" s="89"/>
      <c r="B294" s="89"/>
      <c r="C294" s="89"/>
      <c r="D294" s="89"/>
      <c r="E294" s="89"/>
      <c r="F294" s="89"/>
      <c r="G294" s="89"/>
      <c r="H294" s="89"/>
      <c r="I294" s="9"/>
      <c r="J294" s="9"/>
      <c r="K294" s="9"/>
      <c r="AB294" s="26">
        <f t="shared" si="24"/>
        <v>0</v>
      </c>
      <c r="AC294" s="26">
        <f t="shared" si="25"/>
        <v>0</v>
      </c>
      <c r="AD294" s="26">
        <f t="shared" si="26"/>
        <v>0</v>
      </c>
      <c r="AE294" s="26">
        <f t="shared" si="27"/>
        <v>0</v>
      </c>
      <c r="AF294" s="26">
        <f t="shared" si="28"/>
        <v>0</v>
      </c>
      <c r="AG294" s="26">
        <f t="shared" si="29"/>
        <v>0</v>
      </c>
    </row>
    <row r="295" spans="1:33" x14ac:dyDescent="0.2">
      <c r="A295" s="89"/>
      <c r="B295" s="89"/>
      <c r="C295" s="89"/>
      <c r="D295" s="89"/>
      <c r="E295" s="89"/>
      <c r="F295" s="89"/>
      <c r="G295" s="89"/>
      <c r="H295" s="89"/>
      <c r="I295" s="9"/>
      <c r="J295" s="9"/>
      <c r="K295" s="9"/>
      <c r="AB295" s="26">
        <f t="shared" si="24"/>
        <v>0</v>
      </c>
      <c r="AC295" s="26">
        <f t="shared" si="25"/>
        <v>0</v>
      </c>
      <c r="AD295" s="26">
        <f t="shared" si="26"/>
        <v>0</v>
      </c>
      <c r="AE295" s="26">
        <f t="shared" si="27"/>
        <v>0</v>
      </c>
      <c r="AF295" s="26">
        <f t="shared" si="28"/>
        <v>0</v>
      </c>
      <c r="AG295" s="26">
        <f t="shared" si="29"/>
        <v>0</v>
      </c>
    </row>
    <row r="296" spans="1:33" x14ac:dyDescent="0.2">
      <c r="A296" s="89"/>
      <c r="B296" s="89"/>
      <c r="C296" s="89"/>
      <c r="D296" s="89"/>
      <c r="E296" s="89"/>
      <c r="F296" s="89"/>
      <c r="G296" s="89"/>
      <c r="H296" s="89"/>
      <c r="I296" s="9"/>
      <c r="J296" s="9"/>
      <c r="K296" s="9"/>
      <c r="AB296" s="26">
        <f t="shared" si="24"/>
        <v>0</v>
      </c>
      <c r="AC296" s="26">
        <f t="shared" si="25"/>
        <v>0</v>
      </c>
      <c r="AD296" s="26">
        <f t="shared" si="26"/>
        <v>0</v>
      </c>
      <c r="AE296" s="26">
        <f t="shared" si="27"/>
        <v>0</v>
      </c>
      <c r="AF296" s="26">
        <f t="shared" si="28"/>
        <v>0</v>
      </c>
      <c r="AG296" s="26">
        <f t="shared" si="29"/>
        <v>0</v>
      </c>
    </row>
    <row r="297" spans="1:33" x14ac:dyDescent="0.2">
      <c r="A297" s="89"/>
      <c r="B297" s="89"/>
      <c r="C297" s="89"/>
      <c r="D297" s="89"/>
      <c r="E297" s="89"/>
      <c r="F297" s="89"/>
      <c r="G297" s="89"/>
      <c r="H297" s="89"/>
      <c r="I297" s="9"/>
      <c r="J297" s="9"/>
      <c r="K297" s="9"/>
      <c r="AB297" s="26">
        <f t="shared" si="24"/>
        <v>0</v>
      </c>
      <c r="AC297" s="26">
        <f t="shared" si="25"/>
        <v>0</v>
      </c>
      <c r="AD297" s="26">
        <f t="shared" si="26"/>
        <v>0</v>
      </c>
      <c r="AE297" s="26">
        <f t="shared" si="27"/>
        <v>0</v>
      </c>
      <c r="AF297" s="26">
        <f t="shared" si="28"/>
        <v>0</v>
      </c>
      <c r="AG297" s="26">
        <f t="shared" si="29"/>
        <v>0</v>
      </c>
    </row>
    <row r="298" spans="1:33" x14ac:dyDescent="0.2">
      <c r="A298" s="89"/>
      <c r="B298" s="89"/>
      <c r="C298" s="89"/>
      <c r="D298" s="89"/>
      <c r="E298" s="89"/>
      <c r="F298" s="89"/>
      <c r="G298" s="89"/>
      <c r="H298" s="89"/>
      <c r="I298" s="9"/>
      <c r="J298" s="9"/>
      <c r="K298" s="9"/>
      <c r="AB298" s="26">
        <f t="shared" si="24"/>
        <v>0</v>
      </c>
      <c r="AC298" s="26">
        <f t="shared" si="25"/>
        <v>0</v>
      </c>
      <c r="AD298" s="26">
        <f t="shared" si="26"/>
        <v>0</v>
      </c>
      <c r="AE298" s="26">
        <f t="shared" si="27"/>
        <v>0</v>
      </c>
      <c r="AF298" s="26">
        <f t="shared" si="28"/>
        <v>0</v>
      </c>
      <c r="AG298" s="26">
        <f t="shared" si="29"/>
        <v>0</v>
      </c>
    </row>
    <row r="299" spans="1:33" x14ac:dyDescent="0.2">
      <c r="A299" s="89"/>
      <c r="B299" s="89"/>
      <c r="C299" s="89"/>
      <c r="D299" s="89"/>
      <c r="E299" s="89"/>
      <c r="F299" s="89"/>
      <c r="G299" s="89"/>
      <c r="H299" s="89"/>
      <c r="I299" s="9"/>
      <c r="J299" s="9"/>
      <c r="K299" s="9"/>
      <c r="AB299" s="26">
        <f t="shared" si="24"/>
        <v>0</v>
      </c>
      <c r="AC299" s="26">
        <f t="shared" si="25"/>
        <v>0</v>
      </c>
      <c r="AD299" s="26">
        <f t="shared" si="26"/>
        <v>0</v>
      </c>
      <c r="AE299" s="26">
        <f t="shared" si="27"/>
        <v>0</v>
      </c>
      <c r="AF299" s="26">
        <f t="shared" si="28"/>
        <v>0</v>
      </c>
      <c r="AG299" s="26">
        <f t="shared" si="29"/>
        <v>0</v>
      </c>
    </row>
    <row r="300" spans="1:33" x14ac:dyDescent="0.2">
      <c r="A300" s="89"/>
      <c r="B300" s="89"/>
      <c r="C300" s="89"/>
      <c r="D300" s="89"/>
      <c r="E300" s="89"/>
      <c r="F300" s="89"/>
      <c r="G300" s="89"/>
      <c r="H300" s="89"/>
      <c r="I300" s="9"/>
      <c r="J300" s="9"/>
      <c r="K300" s="9"/>
      <c r="AB300" s="26">
        <f t="shared" si="24"/>
        <v>0</v>
      </c>
      <c r="AC300" s="26">
        <f t="shared" si="25"/>
        <v>0</v>
      </c>
      <c r="AD300" s="26">
        <f t="shared" si="26"/>
        <v>0</v>
      </c>
      <c r="AE300" s="26">
        <f t="shared" si="27"/>
        <v>0</v>
      </c>
      <c r="AF300" s="26">
        <f t="shared" si="28"/>
        <v>0</v>
      </c>
      <c r="AG300" s="26">
        <f t="shared" si="29"/>
        <v>0</v>
      </c>
    </row>
    <row r="301" spans="1:33" x14ac:dyDescent="0.2">
      <c r="A301" s="89"/>
      <c r="B301" s="89"/>
      <c r="C301" s="89"/>
      <c r="D301" s="89"/>
      <c r="E301" s="89"/>
      <c r="F301" s="89"/>
      <c r="G301" s="89"/>
      <c r="H301" s="89"/>
      <c r="I301" s="9"/>
      <c r="J301" s="9"/>
      <c r="K301" s="9"/>
      <c r="AB301" s="26">
        <f t="shared" si="24"/>
        <v>0</v>
      </c>
      <c r="AC301" s="26">
        <f t="shared" si="25"/>
        <v>0</v>
      </c>
      <c r="AD301" s="26">
        <f t="shared" si="26"/>
        <v>0</v>
      </c>
      <c r="AE301" s="26">
        <f t="shared" si="27"/>
        <v>0</v>
      </c>
      <c r="AF301" s="26">
        <f t="shared" si="28"/>
        <v>0</v>
      </c>
      <c r="AG301" s="26">
        <f t="shared" si="29"/>
        <v>0</v>
      </c>
    </row>
    <row r="302" spans="1:33" x14ac:dyDescent="0.2">
      <c r="A302" s="89"/>
      <c r="B302" s="89"/>
      <c r="C302" s="89"/>
      <c r="D302" s="89"/>
      <c r="E302" s="89"/>
      <c r="F302" s="89"/>
      <c r="G302" s="89"/>
      <c r="H302" s="89"/>
      <c r="I302" s="9"/>
      <c r="J302" s="9"/>
      <c r="K302" s="9"/>
      <c r="AB302" s="26">
        <f t="shared" si="24"/>
        <v>0</v>
      </c>
      <c r="AC302" s="26">
        <f t="shared" si="25"/>
        <v>0</v>
      </c>
      <c r="AD302" s="26">
        <f t="shared" si="26"/>
        <v>0</v>
      </c>
      <c r="AE302" s="26">
        <f t="shared" si="27"/>
        <v>0</v>
      </c>
      <c r="AF302" s="26">
        <f t="shared" si="28"/>
        <v>0</v>
      </c>
      <c r="AG302" s="26">
        <f t="shared" si="29"/>
        <v>0</v>
      </c>
    </row>
    <row r="303" spans="1:33" x14ac:dyDescent="0.2">
      <c r="A303" s="89"/>
      <c r="B303" s="89"/>
      <c r="C303" s="89"/>
      <c r="D303" s="89"/>
      <c r="E303" s="89"/>
      <c r="F303" s="89"/>
      <c r="G303" s="89"/>
      <c r="H303" s="89"/>
      <c r="I303" s="9"/>
      <c r="J303" s="9"/>
      <c r="K303" s="9"/>
      <c r="AB303" s="26">
        <f t="shared" si="24"/>
        <v>0</v>
      </c>
      <c r="AC303" s="26">
        <f t="shared" si="25"/>
        <v>0</v>
      </c>
      <c r="AD303" s="26">
        <f t="shared" si="26"/>
        <v>0</v>
      </c>
      <c r="AE303" s="26">
        <f t="shared" si="27"/>
        <v>0</v>
      </c>
      <c r="AF303" s="26">
        <f t="shared" si="28"/>
        <v>0</v>
      </c>
      <c r="AG303" s="26">
        <f t="shared" si="29"/>
        <v>0</v>
      </c>
    </row>
    <row r="304" spans="1:33" x14ac:dyDescent="0.2">
      <c r="A304" s="89"/>
      <c r="B304" s="89"/>
      <c r="C304" s="89"/>
      <c r="D304" s="89"/>
      <c r="E304" s="89"/>
      <c r="F304" s="89"/>
      <c r="G304" s="89"/>
      <c r="H304" s="89"/>
      <c r="I304" s="9"/>
      <c r="J304" s="9"/>
      <c r="K304" s="9"/>
      <c r="AB304" s="26">
        <f t="shared" si="24"/>
        <v>0</v>
      </c>
      <c r="AC304" s="26">
        <f t="shared" si="25"/>
        <v>0</v>
      </c>
      <c r="AD304" s="26">
        <f t="shared" si="26"/>
        <v>0</v>
      </c>
      <c r="AE304" s="26">
        <f t="shared" si="27"/>
        <v>0</v>
      </c>
      <c r="AF304" s="26">
        <f t="shared" si="28"/>
        <v>0</v>
      </c>
      <c r="AG304" s="26">
        <f t="shared" si="29"/>
        <v>0</v>
      </c>
    </row>
    <row r="305" spans="1:33" x14ac:dyDescent="0.2">
      <c r="A305" s="89"/>
      <c r="B305" s="89"/>
      <c r="C305" s="89"/>
      <c r="D305" s="89"/>
      <c r="E305" s="89"/>
      <c r="F305" s="89"/>
      <c r="G305" s="89"/>
      <c r="H305" s="89"/>
      <c r="I305" s="9"/>
      <c r="J305" s="9"/>
      <c r="K305" s="9"/>
      <c r="AB305" s="26">
        <f t="shared" si="24"/>
        <v>0</v>
      </c>
      <c r="AC305" s="26">
        <f t="shared" si="25"/>
        <v>0</v>
      </c>
      <c r="AD305" s="26">
        <f t="shared" si="26"/>
        <v>0</v>
      </c>
      <c r="AE305" s="26">
        <f t="shared" si="27"/>
        <v>0</v>
      </c>
      <c r="AF305" s="26">
        <f t="shared" si="28"/>
        <v>0</v>
      </c>
      <c r="AG305" s="26">
        <f t="shared" si="29"/>
        <v>0</v>
      </c>
    </row>
    <row r="306" spans="1:33" x14ac:dyDescent="0.2">
      <c r="A306" s="89"/>
      <c r="B306" s="89"/>
      <c r="C306" s="89"/>
      <c r="D306" s="89"/>
      <c r="E306" s="89"/>
      <c r="F306" s="89"/>
      <c r="G306" s="89"/>
      <c r="H306" s="89"/>
      <c r="I306" s="9"/>
      <c r="J306" s="9"/>
      <c r="K306" s="9"/>
      <c r="AB306" s="26">
        <f t="shared" si="24"/>
        <v>0</v>
      </c>
      <c r="AC306" s="26">
        <f t="shared" si="25"/>
        <v>0</v>
      </c>
      <c r="AD306" s="26">
        <f t="shared" si="26"/>
        <v>0</v>
      </c>
      <c r="AE306" s="26">
        <f t="shared" si="27"/>
        <v>0</v>
      </c>
      <c r="AF306" s="26">
        <f t="shared" si="28"/>
        <v>0</v>
      </c>
      <c r="AG306" s="26">
        <f t="shared" si="29"/>
        <v>0</v>
      </c>
    </row>
    <row r="307" spans="1:33" x14ac:dyDescent="0.2">
      <c r="A307" s="89"/>
      <c r="B307" s="89"/>
      <c r="C307" s="89"/>
      <c r="D307" s="89"/>
      <c r="E307" s="89"/>
      <c r="F307" s="89"/>
      <c r="G307" s="89"/>
      <c r="H307" s="89"/>
      <c r="I307" s="9"/>
      <c r="J307" s="9"/>
      <c r="K307" s="9"/>
      <c r="AB307" s="26">
        <f t="shared" si="24"/>
        <v>0</v>
      </c>
      <c r="AC307" s="26">
        <f t="shared" si="25"/>
        <v>0</v>
      </c>
      <c r="AD307" s="26">
        <f t="shared" si="26"/>
        <v>0</v>
      </c>
      <c r="AE307" s="26">
        <f t="shared" si="27"/>
        <v>0</v>
      </c>
      <c r="AF307" s="26">
        <f t="shared" si="28"/>
        <v>0</v>
      </c>
      <c r="AG307" s="26">
        <f t="shared" si="29"/>
        <v>0</v>
      </c>
    </row>
    <row r="308" spans="1:33" x14ac:dyDescent="0.2">
      <c r="A308" s="89"/>
      <c r="B308" s="89"/>
      <c r="C308" s="89"/>
      <c r="D308" s="89"/>
      <c r="E308" s="89"/>
      <c r="F308" s="89"/>
      <c r="G308" s="89"/>
      <c r="H308" s="89"/>
      <c r="I308" s="9"/>
      <c r="J308" s="9"/>
      <c r="K308" s="9"/>
      <c r="AB308" s="26">
        <f t="shared" si="24"/>
        <v>0</v>
      </c>
      <c r="AC308" s="26">
        <f t="shared" si="25"/>
        <v>0</v>
      </c>
      <c r="AD308" s="26">
        <f t="shared" si="26"/>
        <v>0</v>
      </c>
      <c r="AE308" s="26">
        <f t="shared" si="27"/>
        <v>0</v>
      </c>
      <c r="AF308" s="26">
        <f t="shared" si="28"/>
        <v>0</v>
      </c>
      <c r="AG308" s="26">
        <f t="shared" si="29"/>
        <v>0</v>
      </c>
    </row>
    <row r="309" spans="1:33" x14ac:dyDescent="0.2">
      <c r="A309" s="89"/>
      <c r="B309" s="89"/>
      <c r="C309" s="89"/>
      <c r="D309" s="89"/>
      <c r="E309" s="89"/>
      <c r="F309" s="89"/>
      <c r="G309" s="89"/>
      <c r="H309" s="89"/>
      <c r="I309" s="9"/>
      <c r="J309" s="9"/>
      <c r="K309" s="9"/>
      <c r="AB309" s="26">
        <f t="shared" si="24"/>
        <v>0</v>
      </c>
      <c r="AC309" s="26">
        <f t="shared" si="25"/>
        <v>0</v>
      </c>
      <c r="AD309" s="26">
        <f t="shared" si="26"/>
        <v>0</v>
      </c>
      <c r="AE309" s="26">
        <f t="shared" si="27"/>
        <v>0</v>
      </c>
      <c r="AF309" s="26">
        <f t="shared" si="28"/>
        <v>0</v>
      </c>
      <c r="AG309" s="26">
        <f t="shared" si="29"/>
        <v>0</v>
      </c>
    </row>
    <row r="310" spans="1:33" x14ac:dyDescent="0.2">
      <c r="A310" s="89"/>
      <c r="B310" s="89"/>
      <c r="C310" s="89"/>
      <c r="D310" s="89"/>
      <c r="E310" s="89"/>
      <c r="F310" s="89"/>
      <c r="G310" s="89"/>
      <c r="H310" s="89"/>
      <c r="I310" s="9"/>
      <c r="J310" s="9"/>
      <c r="K310" s="9"/>
      <c r="AB310" s="26">
        <f t="shared" si="24"/>
        <v>0</v>
      </c>
      <c r="AC310" s="26">
        <f t="shared" si="25"/>
        <v>0</v>
      </c>
      <c r="AD310" s="26">
        <f t="shared" si="26"/>
        <v>0</v>
      </c>
      <c r="AE310" s="26">
        <f t="shared" si="27"/>
        <v>0</v>
      </c>
      <c r="AF310" s="26">
        <f t="shared" si="28"/>
        <v>0</v>
      </c>
      <c r="AG310" s="26">
        <f t="shared" si="29"/>
        <v>0</v>
      </c>
    </row>
    <row r="311" spans="1:33" x14ac:dyDescent="0.2">
      <c r="A311" s="89"/>
      <c r="B311" s="89"/>
      <c r="C311" s="89"/>
      <c r="D311" s="89"/>
      <c r="E311" s="89"/>
      <c r="F311" s="89"/>
      <c r="G311" s="89"/>
      <c r="H311" s="89"/>
      <c r="I311" s="9"/>
      <c r="J311" s="9"/>
      <c r="K311" s="9"/>
      <c r="AB311" s="26">
        <f t="shared" si="24"/>
        <v>0</v>
      </c>
      <c r="AC311" s="26">
        <f t="shared" si="25"/>
        <v>0</v>
      </c>
      <c r="AD311" s="26">
        <f t="shared" si="26"/>
        <v>0</v>
      </c>
      <c r="AE311" s="26">
        <f t="shared" si="27"/>
        <v>0</v>
      </c>
      <c r="AF311" s="26">
        <f t="shared" si="28"/>
        <v>0</v>
      </c>
      <c r="AG311" s="26">
        <f t="shared" si="29"/>
        <v>0</v>
      </c>
    </row>
    <row r="312" spans="1:33" x14ac:dyDescent="0.2">
      <c r="A312" s="89"/>
      <c r="B312" s="89"/>
      <c r="C312" s="89"/>
      <c r="D312" s="89"/>
      <c r="E312" s="89"/>
      <c r="F312" s="89"/>
      <c r="G312" s="89"/>
      <c r="H312" s="89"/>
      <c r="I312" s="9"/>
      <c r="J312" s="9"/>
      <c r="K312" s="9"/>
      <c r="AB312" s="26">
        <f t="shared" si="24"/>
        <v>0</v>
      </c>
      <c r="AC312" s="26">
        <f t="shared" si="25"/>
        <v>0</v>
      </c>
      <c r="AD312" s="26">
        <f t="shared" si="26"/>
        <v>0</v>
      </c>
      <c r="AE312" s="26">
        <f t="shared" si="27"/>
        <v>0</v>
      </c>
      <c r="AF312" s="26">
        <f t="shared" si="28"/>
        <v>0</v>
      </c>
      <c r="AG312" s="26">
        <f t="shared" si="29"/>
        <v>0</v>
      </c>
    </row>
    <row r="313" spans="1:33" x14ac:dyDescent="0.2">
      <c r="A313" s="89"/>
      <c r="B313" s="89"/>
      <c r="C313" s="89"/>
      <c r="D313" s="89"/>
      <c r="E313" s="89"/>
      <c r="F313" s="89"/>
      <c r="G313" s="89"/>
      <c r="H313" s="89"/>
      <c r="I313" s="9"/>
      <c r="J313" s="9"/>
      <c r="K313" s="9"/>
      <c r="AB313" s="26">
        <f t="shared" si="24"/>
        <v>0</v>
      </c>
      <c r="AC313" s="26">
        <f t="shared" si="25"/>
        <v>0</v>
      </c>
      <c r="AD313" s="26">
        <f t="shared" si="26"/>
        <v>0</v>
      </c>
      <c r="AE313" s="26">
        <f t="shared" si="27"/>
        <v>0</v>
      </c>
      <c r="AF313" s="26">
        <f t="shared" si="28"/>
        <v>0</v>
      </c>
      <c r="AG313" s="26">
        <f t="shared" si="29"/>
        <v>0</v>
      </c>
    </row>
    <row r="314" spans="1:33" x14ac:dyDescent="0.2">
      <c r="A314" s="89"/>
      <c r="B314" s="89"/>
      <c r="C314" s="89"/>
      <c r="D314" s="89"/>
      <c r="E314" s="89"/>
      <c r="F314" s="89"/>
      <c r="G314" s="89"/>
      <c r="H314" s="89"/>
      <c r="I314" s="9"/>
      <c r="J314" s="9"/>
      <c r="K314" s="9"/>
      <c r="AB314" s="26">
        <f t="shared" si="24"/>
        <v>0</v>
      </c>
      <c r="AC314" s="26">
        <f t="shared" si="25"/>
        <v>0</v>
      </c>
      <c r="AD314" s="26">
        <f t="shared" si="26"/>
        <v>0</v>
      </c>
      <c r="AE314" s="26">
        <f t="shared" si="27"/>
        <v>0</v>
      </c>
      <c r="AF314" s="26">
        <f t="shared" si="28"/>
        <v>0</v>
      </c>
      <c r="AG314" s="26">
        <f t="shared" si="29"/>
        <v>0</v>
      </c>
    </row>
    <row r="315" spans="1:33" x14ac:dyDescent="0.2">
      <c r="A315" s="89"/>
      <c r="B315" s="89"/>
      <c r="C315" s="89"/>
      <c r="D315" s="89"/>
      <c r="E315" s="89"/>
      <c r="F315" s="89"/>
      <c r="G315" s="89"/>
      <c r="H315" s="89"/>
      <c r="I315" s="9"/>
      <c r="J315" s="9"/>
      <c r="K315" s="9"/>
      <c r="AB315" s="26">
        <f t="shared" si="24"/>
        <v>0</v>
      </c>
      <c r="AC315" s="26">
        <f t="shared" si="25"/>
        <v>0</v>
      </c>
      <c r="AD315" s="26">
        <f t="shared" si="26"/>
        <v>0</v>
      </c>
      <c r="AE315" s="26">
        <f t="shared" si="27"/>
        <v>0</v>
      </c>
      <c r="AF315" s="26">
        <f t="shared" si="28"/>
        <v>0</v>
      </c>
      <c r="AG315" s="26">
        <f t="shared" si="29"/>
        <v>0</v>
      </c>
    </row>
    <row r="316" spans="1:33" x14ac:dyDescent="0.2">
      <c r="A316" s="89"/>
      <c r="B316" s="89"/>
      <c r="C316" s="89"/>
      <c r="D316" s="89"/>
      <c r="E316" s="89"/>
      <c r="F316" s="89"/>
      <c r="G316" s="89"/>
      <c r="H316" s="89"/>
      <c r="I316" s="9"/>
      <c r="J316" s="9"/>
      <c r="K316" s="9"/>
      <c r="AB316" s="26">
        <f t="shared" si="24"/>
        <v>0</v>
      </c>
      <c r="AC316" s="26">
        <f t="shared" si="25"/>
        <v>0</v>
      </c>
      <c r="AD316" s="26">
        <f t="shared" si="26"/>
        <v>0</v>
      </c>
      <c r="AE316" s="26">
        <f t="shared" si="27"/>
        <v>0</v>
      </c>
      <c r="AF316" s="26">
        <f t="shared" si="28"/>
        <v>0</v>
      </c>
      <c r="AG316" s="26">
        <f t="shared" si="29"/>
        <v>0</v>
      </c>
    </row>
    <row r="317" spans="1:33" x14ac:dyDescent="0.2">
      <c r="A317" s="89"/>
      <c r="B317" s="89"/>
      <c r="C317" s="89"/>
      <c r="D317" s="89"/>
      <c r="E317" s="89"/>
      <c r="F317" s="89"/>
      <c r="G317" s="89"/>
      <c r="H317" s="89"/>
      <c r="I317" s="9"/>
      <c r="J317" s="9"/>
      <c r="K317" s="9"/>
      <c r="AB317" s="26">
        <f t="shared" si="24"/>
        <v>0</v>
      </c>
      <c r="AC317" s="26">
        <f t="shared" si="25"/>
        <v>0</v>
      </c>
      <c r="AD317" s="26">
        <f t="shared" si="26"/>
        <v>0</v>
      </c>
      <c r="AE317" s="26">
        <f t="shared" si="27"/>
        <v>0</v>
      </c>
      <c r="AF317" s="26">
        <f t="shared" si="28"/>
        <v>0</v>
      </c>
      <c r="AG317" s="26">
        <f t="shared" si="29"/>
        <v>0</v>
      </c>
    </row>
    <row r="318" spans="1:33" x14ac:dyDescent="0.2">
      <c r="A318" s="89"/>
      <c r="B318" s="89"/>
      <c r="C318" s="89"/>
      <c r="D318" s="89"/>
      <c r="E318" s="89"/>
      <c r="F318" s="89"/>
      <c r="G318" s="89"/>
      <c r="H318" s="89"/>
      <c r="I318" s="9"/>
      <c r="J318" s="9"/>
      <c r="K318" s="9"/>
      <c r="AB318" s="26">
        <f t="shared" si="24"/>
        <v>0</v>
      </c>
      <c r="AC318" s="26">
        <f t="shared" si="25"/>
        <v>0</v>
      </c>
      <c r="AD318" s="26">
        <f t="shared" si="26"/>
        <v>0</v>
      </c>
      <c r="AE318" s="26">
        <f t="shared" si="27"/>
        <v>0</v>
      </c>
      <c r="AF318" s="26">
        <f t="shared" si="28"/>
        <v>0</v>
      </c>
      <c r="AG318" s="26">
        <f t="shared" si="29"/>
        <v>0</v>
      </c>
    </row>
    <row r="319" spans="1:33" x14ac:dyDescent="0.2">
      <c r="A319" s="89"/>
      <c r="B319" s="89"/>
      <c r="C319" s="89"/>
      <c r="D319" s="89"/>
      <c r="E319" s="89"/>
      <c r="F319" s="89"/>
      <c r="G319" s="89"/>
      <c r="H319" s="89"/>
      <c r="I319" s="9"/>
      <c r="J319" s="9"/>
      <c r="K319" s="9"/>
      <c r="AB319" s="26">
        <f t="shared" si="24"/>
        <v>0</v>
      </c>
      <c r="AC319" s="26">
        <f t="shared" si="25"/>
        <v>0</v>
      </c>
      <c r="AD319" s="26">
        <f t="shared" si="26"/>
        <v>0</v>
      </c>
      <c r="AE319" s="26">
        <f t="shared" si="27"/>
        <v>0</v>
      </c>
      <c r="AF319" s="26">
        <f t="shared" si="28"/>
        <v>0</v>
      </c>
      <c r="AG319" s="26">
        <f t="shared" si="29"/>
        <v>0</v>
      </c>
    </row>
    <row r="320" spans="1:33" x14ac:dyDescent="0.2">
      <c r="A320" s="89"/>
      <c r="B320" s="89"/>
      <c r="C320" s="89"/>
      <c r="D320" s="89"/>
      <c r="E320" s="89"/>
      <c r="F320" s="89"/>
      <c r="G320" s="89"/>
      <c r="H320" s="89"/>
      <c r="I320" s="9"/>
      <c r="J320" s="9"/>
      <c r="K320" s="9"/>
      <c r="AB320" s="26">
        <f t="shared" si="24"/>
        <v>0</v>
      </c>
      <c r="AC320" s="26">
        <f t="shared" si="25"/>
        <v>0</v>
      </c>
      <c r="AD320" s="26">
        <f t="shared" si="26"/>
        <v>0</v>
      </c>
      <c r="AE320" s="26">
        <f t="shared" si="27"/>
        <v>0</v>
      </c>
      <c r="AF320" s="26">
        <f t="shared" si="28"/>
        <v>0</v>
      </c>
      <c r="AG320" s="26">
        <f t="shared" si="29"/>
        <v>0</v>
      </c>
    </row>
    <row r="321" spans="1:33" x14ac:dyDescent="0.2">
      <c r="A321" s="89"/>
      <c r="B321" s="89"/>
      <c r="C321" s="89"/>
      <c r="D321" s="89"/>
      <c r="E321" s="89"/>
      <c r="F321" s="89"/>
      <c r="G321" s="89"/>
      <c r="H321" s="89"/>
      <c r="I321" s="9"/>
      <c r="J321" s="9"/>
      <c r="K321" s="9"/>
      <c r="AB321" s="26">
        <f t="shared" si="24"/>
        <v>0</v>
      </c>
      <c r="AC321" s="26">
        <f t="shared" si="25"/>
        <v>0</v>
      </c>
      <c r="AD321" s="26">
        <f t="shared" si="26"/>
        <v>0</v>
      </c>
      <c r="AE321" s="26">
        <f t="shared" si="27"/>
        <v>0</v>
      </c>
      <c r="AF321" s="26">
        <f t="shared" si="28"/>
        <v>0</v>
      </c>
      <c r="AG321" s="26">
        <f t="shared" si="29"/>
        <v>0</v>
      </c>
    </row>
    <row r="322" spans="1:33" x14ac:dyDescent="0.2">
      <c r="A322" s="89"/>
      <c r="B322" s="89"/>
      <c r="C322" s="89"/>
      <c r="D322" s="89"/>
      <c r="E322" s="89"/>
      <c r="F322" s="89"/>
      <c r="G322" s="89"/>
      <c r="H322" s="89"/>
      <c r="I322" s="9"/>
      <c r="J322" s="9"/>
      <c r="K322" s="9"/>
      <c r="AB322" s="26">
        <f t="shared" si="24"/>
        <v>0</v>
      </c>
      <c r="AC322" s="26">
        <f t="shared" si="25"/>
        <v>0</v>
      </c>
      <c r="AD322" s="26">
        <f t="shared" si="26"/>
        <v>0</v>
      </c>
      <c r="AE322" s="26">
        <f t="shared" si="27"/>
        <v>0</v>
      </c>
      <c r="AF322" s="26">
        <f t="shared" si="28"/>
        <v>0</v>
      </c>
      <c r="AG322" s="26">
        <f t="shared" si="29"/>
        <v>0</v>
      </c>
    </row>
    <row r="323" spans="1:33" x14ac:dyDescent="0.2">
      <c r="A323" s="89"/>
      <c r="B323" s="89"/>
      <c r="C323" s="89"/>
      <c r="D323" s="89"/>
      <c r="E323" s="89"/>
      <c r="F323" s="89"/>
      <c r="G323" s="89"/>
      <c r="H323" s="89"/>
      <c r="I323" s="9"/>
      <c r="J323" s="9"/>
      <c r="K323" s="9"/>
      <c r="AB323" s="26">
        <f t="shared" si="24"/>
        <v>0</v>
      </c>
      <c r="AC323" s="26">
        <f t="shared" si="25"/>
        <v>0</v>
      </c>
      <c r="AD323" s="26">
        <f t="shared" si="26"/>
        <v>0</v>
      </c>
      <c r="AE323" s="26">
        <f t="shared" si="27"/>
        <v>0</v>
      </c>
      <c r="AF323" s="26">
        <f t="shared" si="28"/>
        <v>0</v>
      </c>
      <c r="AG323" s="26">
        <f t="shared" si="29"/>
        <v>0</v>
      </c>
    </row>
    <row r="324" spans="1:33" x14ac:dyDescent="0.2">
      <c r="A324" s="89"/>
      <c r="B324" s="89"/>
      <c r="C324" s="89"/>
      <c r="D324" s="89"/>
      <c r="E324" s="89"/>
      <c r="F324" s="89"/>
      <c r="G324" s="89"/>
      <c r="H324" s="89"/>
      <c r="I324" s="9"/>
      <c r="J324" s="9"/>
      <c r="K324" s="9"/>
      <c r="AB324" s="26">
        <f t="shared" si="24"/>
        <v>0</v>
      </c>
      <c r="AC324" s="26">
        <f t="shared" si="25"/>
        <v>0</v>
      </c>
      <c r="AD324" s="26">
        <f t="shared" si="26"/>
        <v>0</v>
      </c>
      <c r="AE324" s="26">
        <f t="shared" si="27"/>
        <v>0</v>
      </c>
      <c r="AF324" s="26">
        <f t="shared" si="28"/>
        <v>0</v>
      </c>
      <c r="AG324" s="26">
        <f t="shared" si="29"/>
        <v>0</v>
      </c>
    </row>
    <row r="325" spans="1:33" x14ac:dyDescent="0.2">
      <c r="A325" s="89"/>
      <c r="B325" s="89"/>
      <c r="C325" s="89"/>
      <c r="D325" s="89"/>
      <c r="E325" s="89"/>
      <c r="F325" s="89"/>
      <c r="G325" s="89"/>
      <c r="H325" s="89"/>
      <c r="I325" s="9"/>
      <c r="J325" s="9"/>
      <c r="K325" s="9"/>
      <c r="AB325" s="26">
        <f t="shared" si="24"/>
        <v>0</v>
      </c>
      <c r="AC325" s="26">
        <f t="shared" si="25"/>
        <v>0</v>
      </c>
      <c r="AD325" s="26">
        <f t="shared" si="26"/>
        <v>0</v>
      </c>
      <c r="AE325" s="26">
        <f t="shared" si="27"/>
        <v>0</v>
      </c>
      <c r="AF325" s="26">
        <f t="shared" si="28"/>
        <v>0</v>
      </c>
      <c r="AG325" s="26">
        <f t="shared" si="29"/>
        <v>0</v>
      </c>
    </row>
    <row r="326" spans="1:33" x14ac:dyDescent="0.2">
      <c r="A326" s="89"/>
      <c r="B326" s="89"/>
      <c r="C326" s="89"/>
      <c r="D326" s="89"/>
      <c r="E326" s="89"/>
      <c r="F326" s="89"/>
      <c r="G326" s="89"/>
      <c r="H326" s="89"/>
      <c r="I326" s="9"/>
      <c r="J326" s="9"/>
      <c r="K326" s="9"/>
      <c r="AB326" s="26">
        <f t="shared" si="24"/>
        <v>0</v>
      </c>
      <c r="AC326" s="26">
        <f t="shared" si="25"/>
        <v>0</v>
      </c>
      <c r="AD326" s="26">
        <f t="shared" si="26"/>
        <v>0</v>
      </c>
      <c r="AE326" s="26">
        <f t="shared" si="27"/>
        <v>0</v>
      </c>
      <c r="AF326" s="26">
        <f t="shared" si="28"/>
        <v>0</v>
      </c>
      <c r="AG326" s="26">
        <f t="shared" si="29"/>
        <v>0</v>
      </c>
    </row>
    <row r="327" spans="1:33" x14ac:dyDescent="0.2">
      <c r="A327" s="89"/>
      <c r="B327" s="89"/>
      <c r="C327" s="89"/>
      <c r="D327" s="89"/>
      <c r="E327" s="89"/>
      <c r="F327" s="89"/>
      <c r="G327" s="89"/>
      <c r="H327" s="89"/>
      <c r="I327" s="9"/>
      <c r="J327" s="9"/>
      <c r="K327" s="9"/>
      <c r="AB327" s="26">
        <f t="shared" si="24"/>
        <v>0</v>
      </c>
      <c r="AC327" s="26">
        <f t="shared" si="25"/>
        <v>0</v>
      </c>
      <c r="AD327" s="26">
        <f t="shared" si="26"/>
        <v>0</v>
      </c>
      <c r="AE327" s="26">
        <f t="shared" si="27"/>
        <v>0</v>
      </c>
      <c r="AF327" s="26">
        <f t="shared" si="28"/>
        <v>0</v>
      </c>
      <c r="AG327" s="26">
        <f t="shared" si="29"/>
        <v>0</v>
      </c>
    </row>
    <row r="328" spans="1:33" x14ac:dyDescent="0.2">
      <c r="A328" s="89"/>
      <c r="B328" s="89"/>
      <c r="C328" s="89"/>
      <c r="D328" s="89"/>
      <c r="E328" s="89"/>
      <c r="F328" s="89"/>
      <c r="G328" s="89"/>
      <c r="H328" s="89"/>
      <c r="I328" s="9"/>
      <c r="J328" s="9"/>
      <c r="K328" s="9"/>
      <c r="AB328" s="26">
        <f t="shared" si="24"/>
        <v>0</v>
      </c>
      <c r="AC328" s="26">
        <f t="shared" si="25"/>
        <v>0</v>
      </c>
      <c r="AD328" s="26">
        <f t="shared" si="26"/>
        <v>0</v>
      </c>
      <c r="AE328" s="26">
        <f t="shared" si="27"/>
        <v>0</v>
      </c>
      <c r="AF328" s="26">
        <f t="shared" si="28"/>
        <v>0</v>
      </c>
      <c r="AG328" s="26">
        <f t="shared" si="29"/>
        <v>0</v>
      </c>
    </row>
    <row r="329" spans="1:33" x14ac:dyDescent="0.2">
      <c r="A329" s="89"/>
      <c r="B329" s="89"/>
      <c r="C329" s="89"/>
      <c r="D329" s="89"/>
      <c r="E329" s="89"/>
      <c r="F329" s="89"/>
      <c r="G329" s="89"/>
      <c r="H329" s="89"/>
      <c r="I329" s="9"/>
      <c r="J329" s="9"/>
      <c r="K329" s="9"/>
      <c r="AB329" s="26">
        <f t="shared" si="24"/>
        <v>0</v>
      </c>
      <c r="AC329" s="26">
        <f t="shared" si="25"/>
        <v>0</v>
      </c>
      <c r="AD329" s="26">
        <f t="shared" si="26"/>
        <v>0</v>
      </c>
      <c r="AE329" s="26">
        <f t="shared" si="27"/>
        <v>0</v>
      </c>
      <c r="AF329" s="26">
        <f t="shared" si="28"/>
        <v>0</v>
      </c>
      <c r="AG329" s="26">
        <f t="shared" si="29"/>
        <v>0</v>
      </c>
    </row>
    <row r="330" spans="1:33" x14ac:dyDescent="0.2">
      <c r="A330" s="89"/>
      <c r="B330" s="89"/>
      <c r="C330" s="89"/>
      <c r="D330" s="89"/>
      <c r="E330" s="89"/>
      <c r="F330" s="89"/>
      <c r="G330" s="89"/>
      <c r="H330" s="89"/>
      <c r="I330" s="9"/>
      <c r="J330" s="9"/>
      <c r="K330" s="9"/>
      <c r="AB330" s="26">
        <f t="shared" si="24"/>
        <v>0</v>
      </c>
      <c r="AC330" s="26">
        <f t="shared" si="25"/>
        <v>0</v>
      </c>
      <c r="AD330" s="26">
        <f t="shared" si="26"/>
        <v>0</v>
      </c>
      <c r="AE330" s="26">
        <f t="shared" si="27"/>
        <v>0</v>
      </c>
      <c r="AF330" s="26">
        <f t="shared" si="28"/>
        <v>0</v>
      </c>
      <c r="AG330" s="26">
        <f t="shared" si="29"/>
        <v>0</v>
      </c>
    </row>
    <row r="331" spans="1:33" x14ac:dyDescent="0.2">
      <c r="A331" s="89"/>
      <c r="B331" s="89"/>
      <c r="C331" s="89"/>
      <c r="D331" s="89"/>
      <c r="E331" s="89"/>
      <c r="F331" s="89"/>
      <c r="G331" s="89"/>
      <c r="H331" s="89"/>
      <c r="I331" s="9"/>
      <c r="J331" s="9"/>
      <c r="K331" s="9"/>
      <c r="AB331" s="26">
        <f t="shared" si="24"/>
        <v>0</v>
      </c>
      <c r="AC331" s="26">
        <f t="shared" si="25"/>
        <v>0</v>
      </c>
      <c r="AD331" s="26">
        <f t="shared" si="26"/>
        <v>0</v>
      </c>
      <c r="AE331" s="26">
        <f t="shared" si="27"/>
        <v>0</v>
      </c>
      <c r="AF331" s="26">
        <f t="shared" si="28"/>
        <v>0</v>
      </c>
      <c r="AG331" s="26">
        <f t="shared" si="29"/>
        <v>0</v>
      </c>
    </row>
    <row r="332" spans="1:33" x14ac:dyDescent="0.2">
      <c r="A332" s="89"/>
      <c r="B332" s="89"/>
      <c r="C332" s="89"/>
      <c r="D332" s="89"/>
      <c r="E332" s="89"/>
      <c r="F332" s="89"/>
      <c r="G332" s="89"/>
      <c r="H332" s="89"/>
      <c r="I332" s="9"/>
      <c r="J332" s="9"/>
      <c r="K332" s="9"/>
      <c r="AB332" s="26">
        <f t="shared" si="24"/>
        <v>0</v>
      </c>
      <c r="AC332" s="26">
        <f t="shared" si="25"/>
        <v>0</v>
      </c>
      <c r="AD332" s="26">
        <f t="shared" si="26"/>
        <v>0</v>
      </c>
      <c r="AE332" s="26">
        <f t="shared" si="27"/>
        <v>0</v>
      </c>
      <c r="AF332" s="26">
        <f t="shared" si="28"/>
        <v>0</v>
      </c>
      <c r="AG332" s="26">
        <f t="shared" si="29"/>
        <v>0</v>
      </c>
    </row>
    <row r="333" spans="1:33" x14ac:dyDescent="0.2">
      <c r="A333" s="89"/>
      <c r="B333" s="89"/>
      <c r="C333" s="89"/>
      <c r="D333" s="89"/>
      <c r="E333" s="89"/>
      <c r="F333" s="89"/>
      <c r="G333" s="89"/>
      <c r="H333" s="89"/>
      <c r="I333" s="9"/>
      <c r="J333" s="9"/>
      <c r="K333" s="9"/>
      <c r="AB333" s="26">
        <f t="shared" si="24"/>
        <v>0</v>
      </c>
      <c r="AC333" s="26">
        <f t="shared" si="25"/>
        <v>0</v>
      </c>
      <c r="AD333" s="26">
        <f t="shared" si="26"/>
        <v>0</v>
      </c>
      <c r="AE333" s="26">
        <f t="shared" si="27"/>
        <v>0</v>
      </c>
      <c r="AF333" s="26">
        <f t="shared" si="28"/>
        <v>0</v>
      </c>
      <c r="AG333" s="26">
        <f t="shared" si="29"/>
        <v>0</v>
      </c>
    </row>
    <row r="334" spans="1:33" x14ac:dyDescent="0.2">
      <c r="A334" s="89"/>
      <c r="B334" s="89"/>
      <c r="C334" s="89"/>
      <c r="D334" s="89"/>
      <c r="E334" s="89"/>
      <c r="F334" s="89"/>
      <c r="G334" s="89"/>
      <c r="H334" s="89"/>
      <c r="I334" s="9"/>
      <c r="J334" s="9"/>
      <c r="K334" s="9"/>
      <c r="AB334" s="26">
        <f t="shared" si="24"/>
        <v>0</v>
      </c>
      <c r="AC334" s="26">
        <f t="shared" si="25"/>
        <v>0</v>
      </c>
      <c r="AD334" s="26">
        <f t="shared" si="26"/>
        <v>0</v>
      </c>
      <c r="AE334" s="26">
        <f t="shared" si="27"/>
        <v>0</v>
      </c>
      <c r="AF334" s="26">
        <f t="shared" si="28"/>
        <v>0</v>
      </c>
      <c r="AG334" s="26">
        <f t="shared" si="29"/>
        <v>0</v>
      </c>
    </row>
    <row r="335" spans="1:33" x14ac:dyDescent="0.2">
      <c r="A335" s="89"/>
      <c r="B335" s="89"/>
      <c r="C335" s="89"/>
      <c r="D335" s="89"/>
      <c r="E335" s="89"/>
      <c r="F335" s="89"/>
      <c r="G335" s="89"/>
      <c r="H335" s="89"/>
      <c r="I335" s="9"/>
      <c r="J335" s="9"/>
      <c r="K335" s="9"/>
      <c r="AB335" s="26">
        <f t="shared" ref="AB335:AB398" si="30">IF(AND($D335="Question",$H335="OK"),1,0)</f>
        <v>0</v>
      </c>
      <c r="AC335" s="26">
        <f t="shared" ref="AC335:AC398" si="31">IF(AND($D335="Question",$H335="OK with hints"),1,0)</f>
        <v>0</v>
      </c>
      <c r="AD335" s="26">
        <f t="shared" ref="AD335:AD398" si="32">IF(AND($D335="Question",$H335="Minor non-conformity"),1,0)</f>
        <v>0</v>
      </c>
      <c r="AE335" s="26">
        <f t="shared" ref="AE335:AE398" si="33">IF(AND($D335="Question",$H335="Major non-conformity"),1,0)</f>
        <v>0</v>
      </c>
      <c r="AF335" s="26">
        <f t="shared" ref="AF335:AF398" si="34">IF(AND($D335="Question",$H335="Not applicable"),1,0)</f>
        <v>0</v>
      </c>
      <c r="AG335" s="26">
        <f t="shared" ref="AG335:AG398" si="35">IF(AND($D335="Question",$H335=""),1,0)</f>
        <v>0</v>
      </c>
    </row>
    <row r="336" spans="1:33" x14ac:dyDescent="0.2">
      <c r="A336" s="89"/>
      <c r="B336" s="89"/>
      <c r="C336" s="89"/>
      <c r="D336" s="89"/>
      <c r="E336" s="89"/>
      <c r="F336" s="89"/>
      <c r="G336" s="89"/>
      <c r="H336" s="89"/>
      <c r="I336" s="9"/>
      <c r="J336" s="9"/>
      <c r="K336" s="9"/>
      <c r="AB336" s="26">
        <f t="shared" si="30"/>
        <v>0</v>
      </c>
      <c r="AC336" s="26">
        <f t="shared" si="31"/>
        <v>0</v>
      </c>
      <c r="AD336" s="26">
        <f t="shared" si="32"/>
        <v>0</v>
      </c>
      <c r="AE336" s="26">
        <f t="shared" si="33"/>
        <v>0</v>
      </c>
      <c r="AF336" s="26">
        <f t="shared" si="34"/>
        <v>0</v>
      </c>
      <c r="AG336" s="26">
        <f t="shared" si="35"/>
        <v>0</v>
      </c>
    </row>
    <row r="337" spans="1:33" x14ac:dyDescent="0.2">
      <c r="A337" s="89"/>
      <c r="B337" s="89"/>
      <c r="C337" s="89"/>
      <c r="D337" s="89"/>
      <c r="E337" s="89"/>
      <c r="F337" s="89"/>
      <c r="G337" s="89"/>
      <c r="H337" s="89"/>
      <c r="I337" s="9"/>
      <c r="J337" s="9"/>
      <c r="K337" s="9"/>
      <c r="AB337" s="26">
        <f t="shared" si="30"/>
        <v>0</v>
      </c>
      <c r="AC337" s="26">
        <f t="shared" si="31"/>
        <v>0</v>
      </c>
      <c r="AD337" s="26">
        <f t="shared" si="32"/>
        <v>0</v>
      </c>
      <c r="AE337" s="26">
        <f t="shared" si="33"/>
        <v>0</v>
      </c>
      <c r="AF337" s="26">
        <f t="shared" si="34"/>
        <v>0</v>
      </c>
      <c r="AG337" s="26">
        <f t="shared" si="35"/>
        <v>0</v>
      </c>
    </row>
    <row r="338" spans="1:33" x14ac:dyDescent="0.2">
      <c r="A338" s="89"/>
      <c r="B338" s="89"/>
      <c r="C338" s="89"/>
      <c r="D338" s="89"/>
      <c r="E338" s="89"/>
      <c r="F338" s="89"/>
      <c r="G338" s="89"/>
      <c r="H338" s="89"/>
      <c r="I338" s="9"/>
      <c r="J338" s="9"/>
      <c r="K338" s="9"/>
      <c r="AB338" s="26">
        <f t="shared" si="30"/>
        <v>0</v>
      </c>
      <c r="AC338" s="26">
        <f t="shared" si="31"/>
        <v>0</v>
      </c>
      <c r="AD338" s="26">
        <f t="shared" si="32"/>
        <v>0</v>
      </c>
      <c r="AE338" s="26">
        <f t="shared" si="33"/>
        <v>0</v>
      </c>
      <c r="AF338" s="26">
        <f t="shared" si="34"/>
        <v>0</v>
      </c>
      <c r="AG338" s="26">
        <f t="shared" si="35"/>
        <v>0</v>
      </c>
    </row>
    <row r="339" spans="1:33" x14ac:dyDescent="0.2">
      <c r="A339" s="89"/>
      <c r="B339" s="89"/>
      <c r="C339" s="89"/>
      <c r="D339" s="89"/>
      <c r="E339" s="89"/>
      <c r="F339" s="89"/>
      <c r="G339" s="89"/>
      <c r="H339" s="89"/>
      <c r="I339" s="9"/>
      <c r="J339" s="9"/>
      <c r="K339" s="9"/>
      <c r="AB339" s="26">
        <f t="shared" si="30"/>
        <v>0</v>
      </c>
      <c r="AC339" s="26">
        <f t="shared" si="31"/>
        <v>0</v>
      </c>
      <c r="AD339" s="26">
        <f t="shared" si="32"/>
        <v>0</v>
      </c>
      <c r="AE339" s="26">
        <f t="shared" si="33"/>
        <v>0</v>
      </c>
      <c r="AF339" s="26">
        <f t="shared" si="34"/>
        <v>0</v>
      </c>
      <c r="AG339" s="26">
        <f t="shared" si="35"/>
        <v>0</v>
      </c>
    </row>
    <row r="340" spans="1:33" x14ac:dyDescent="0.2">
      <c r="A340" s="89"/>
      <c r="B340" s="89"/>
      <c r="C340" s="89"/>
      <c r="D340" s="89"/>
      <c r="E340" s="89"/>
      <c r="F340" s="89"/>
      <c r="G340" s="89"/>
      <c r="H340" s="89"/>
      <c r="I340" s="9"/>
      <c r="J340" s="9"/>
      <c r="K340" s="9"/>
      <c r="AB340" s="26">
        <f t="shared" si="30"/>
        <v>0</v>
      </c>
      <c r="AC340" s="26">
        <f t="shared" si="31"/>
        <v>0</v>
      </c>
      <c r="AD340" s="26">
        <f t="shared" si="32"/>
        <v>0</v>
      </c>
      <c r="AE340" s="26">
        <f t="shared" si="33"/>
        <v>0</v>
      </c>
      <c r="AF340" s="26">
        <f t="shared" si="34"/>
        <v>0</v>
      </c>
      <c r="AG340" s="26">
        <f t="shared" si="35"/>
        <v>0</v>
      </c>
    </row>
    <row r="341" spans="1:33" x14ac:dyDescent="0.2">
      <c r="A341" s="89"/>
      <c r="B341" s="89"/>
      <c r="C341" s="89"/>
      <c r="D341" s="89"/>
      <c r="E341" s="89"/>
      <c r="F341" s="89"/>
      <c r="G341" s="89"/>
      <c r="H341" s="89"/>
      <c r="I341" s="9"/>
      <c r="J341" s="9"/>
      <c r="K341" s="9"/>
      <c r="AB341" s="26">
        <f t="shared" si="30"/>
        <v>0</v>
      </c>
      <c r="AC341" s="26">
        <f t="shared" si="31"/>
        <v>0</v>
      </c>
      <c r="AD341" s="26">
        <f t="shared" si="32"/>
        <v>0</v>
      </c>
      <c r="AE341" s="26">
        <f t="shared" si="33"/>
        <v>0</v>
      </c>
      <c r="AF341" s="26">
        <f t="shared" si="34"/>
        <v>0</v>
      </c>
      <c r="AG341" s="26">
        <f t="shared" si="35"/>
        <v>0</v>
      </c>
    </row>
    <row r="342" spans="1:33" x14ac:dyDescent="0.2">
      <c r="A342" s="89"/>
      <c r="B342" s="89"/>
      <c r="C342" s="89"/>
      <c r="D342" s="89"/>
      <c r="E342" s="89"/>
      <c r="F342" s="89"/>
      <c r="G342" s="89"/>
      <c r="H342" s="89"/>
      <c r="I342" s="9"/>
      <c r="J342" s="9"/>
      <c r="K342" s="9"/>
      <c r="AB342" s="26">
        <f t="shared" si="30"/>
        <v>0</v>
      </c>
      <c r="AC342" s="26">
        <f t="shared" si="31"/>
        <v>0</v>
      </c>
      <c r="AD342" s="26">
        <f t="shared" si="32"/>
        <v>0</v>
      </c>
      <c r="AE342" s="26">
        <f t="shared" si="33"/>
        <v>0</v>
      </c>
      <c r="AF342" s="26">
        <f t="shared" si="34"/>
        <v>0</v>
      </c>
      <c r="AG342" s="26">
        <f t="shared" si="35"/>
        <v>0</v>
      </c>
    </row>
    <row r="343" spans="1:33" x14ac:dyDescent="0.2">
      <c r="A343" s="89"/>
      <c r="B343" s="89"/>
      <c r="C343" s="89"/>
      <c r="D343" s="89"/>
      <c r="E343" s="89"/>
      <c r="F343" s="89"/>
      <c r="G343" s="89"/>
      <c r="H343" s="89"/>
      <c r="I343" s="9"/>
      <c r="J343" s="9"/>
      <c r="K343" s="9"/>
      <c r="AB343" s="26">
        <f t="shared" si="30"/>
        <v>0</v>
      </c>
      <c r="AC343" s="26">
        <f t="shared" si="31"/>
        <v>0</v>
      </c>
      <c r="AD343" s="26">
        <f t="shared" si="32"/>
        <v>0</v>
      </c>
      <c r="AE343" s="26">
        <f t="shared" si="33"/>
        <v>0</v>
      </c>
      <c r="AF343" s="26">
        <f t="shared" si="34"/>
        <v>0</v>
      </c>
      <c r="AG343" s="26">
        <f t="shared" si="35"/>
        <v>0</v>
      </c>
    </row>
    <row r="344" spans="1:33" x14ac:dyDescent="0.2">
      <c r="A344" s="89"/>
      <c r="B344" s="89"/>
      <c r="C344" s="89"/>
      <c r="D344" s="89"/>
      <c r="E344" s="89"/>
      <c r="F344" s="89"/>
      <c r="G344" s="89"/>
      <c r="H344" s="89"/>
      <c r="I344" s="9"/>
      <c r="J344" s="9"/>
      <c r="K344" s="9"/>
      <c r="AB344" s="26">
        <f t="shared" si="30"/>
        <v>0</v>
      </c>
      <c r="AC344" s="26">
        <f t="shared" si="31"/>
        <v>0</v>
      </c>
      <c r="AD344" s="26">
        <f t="shared" si="32"/>
        <v>0</v>
      </c>
      <c r="AE344" s="26">
        <f t="shared" si="33"/>
        <v>0</v>
      </c>
      <c r="AF344" s="26">
        <f t="shared" si="34"/>
        <v>0</v>
      </c>
      <c r="AG344" s="26">
        <f t="shared" si="35"/>
        <v>0</v>
      </c>
    </row>
    <row r="345" spans="1:33" x14ac:dyDescent="0.2">
      <c r="A345" s="89"/>
      <c r="B345" s="89"/>
      <c r="C345" s="89"/>
      <c r="D345" s="89"/>
      <c r="E345" s="89"/>
      <c r="F345" s="89"/>
      <c r="G345" s="89"/>
      <c r="H345" s="89"/>
      <c r="I345" s="9"/>
      <c r="J345" s="9"/>
      <c r="K345" s="9"/>
      <c r="AB345" s="26">
        <f t="shared" si="30"/>
        <v>0</v>
      </c>
      <c r="AC345" s="26">
        <f t="shared" si="31"/>
        <v>0</v>
      </c>
      <c r="AD345" s="26">
        <f t="shared" si="32"/>
        <v>0</v>
      </c>
      <c r="AE345" s="26">
        <f t="shared" si="33"/>
        <v>0</v>
      </c>
      <c r="AF345" s="26">
        <f t="shared" si="34"/>
        <v>0</v>
      </c>
      <c r="AG345" s="26">
        <f t="shared" si="35"/>
        <v>0</v>
      </c>
    </row>
    <row r="346" spans="1:33" x14ac:dyDescent="0.2">
      <c r="A346" s="89"/>
      <c r="B346" s="89"/>
      <c r="C346" s="89"/>
      <c r="D346" s="89"/>
      <c r="E346" s="89"/>
      <c r="F346" s="89"/>
      <c r="G346" s="89"/>
      <c r="H346" s="89"/>
      <c r="I346" s="33"/>
      <c r="J346" s="9"/>
      <c r="K346" s="9"/>
      <c r="AB346" s="26">
        <f t="shared" si="30"/>
        <v>0</v>
      </c>
      <c r="AC346" s="26">
        <f t="shared" si="31"/>
        <v>0</v>
      </c>
      <c r="AD346" s="26">
        <f t="shared" si="32"/>
        <v>0</v>
      </c>
      <c r="AE346" s="26">
        <f t="shared" si="33"/>
        <v>0</v>
      </c>
      <c r="AF346" s="26">
        <f t="shared" si="34"/>
        <v>0</v>
      </c>
      <c r="AG346" s="26">
        <f t="shared" si="35"/>
        <v>0</v>
      </c>
    </row>
    <row r="347" spans="1:33" x14ac:dyDescent="0.2">
      <c r="A347" s="89"/>
      <c r="B347" s="89"/>
      <c r="C347" s="89"/>
      <c r="D347" s="89"/>
      <c r="E347" s="89"/>
      <c r="F347" s="89"/>
      <c r="G347" s="89"/>
      <c r="H347" s="89"/>
      <c r="I347" s="33"/>
      <c r="J347" s="9"/>
      <c r="K347" s="9"/>
      <c r="AB347" s="26">
        <f t="shared" si="30"/>
        <v>0</v>
      </c>
      <c r="AC347" s="26">
        <f t="shared" si="31"/>
        <v>0</v>
      </c>
      <c r="AD347" s="26">
        <f t="shared" si="32"/>
        <v>0</v>
      </c>
      <c r="AE347" s="26">
        <f t="shared" si="33"/>
        <v>0</v>
      </c>
      <c r="AF347" s="26">
        <f t="shared" si="34"/>
        <v>0</v>
      </c>
      <c r="AG347" s="26">
        <f t="shared" si="35"/>
        <v>0</v>
      </c>
    </row>
    <row r="348" spans="1:33" x14ac:dyDescent="0.2">
      <c r="A348" s="89"/>
      <c r="B348" s="89"/>
      <c r="C348" s="89"/>
      <c r="D348" s="89"/>
      <c r="E348" s="89"/>
      <c r="F348" s="89"/>
      <c r="G348" s="89"/>
      <c r="H348" s="89"/>
      <c r="I348" s="33"/>
      <c r="J348" s="9"/>
      <c r="K348" s="9"/>
      <c r="AB348" s="26">
        <f t="shared" si="30"/>
        <v>0</v>
      </c>
      <c r="AC348" s="26">
        <f t="shared" si="31"/>
        <v>0</v>
      </c>
      <c r="AD348" s="26">
        <f t="shared" si="32"/>
        <v>0</v>
      </c>
      <c r="AE348" s="26">
        <f t="shared" si="33"/>
        <v>0</v>
      </c>
      <c r="AF348" s="26">
        <f t="shared" si="34"/>
        <v>0</v>
      </c>
      <c r="AG348" s="26">
        <f t="shared" si="35"/>
        <v>0</v>
      </c>
    </row>
    <row r="349" spans="1:33" x14ac:dyDescent="0.2">
      <c r="A349" s="89"/>
      <c r="B349" s="89"/>
      <c r="C349" s="89"/>
      <c r="D349" s="89"/>
      <c r="E349" s="89"/>
      <c r="F349" s="89"/>
      <c r="G349" s="89"/>
      <c r="H349" s="89"/>
      <c r="I349" s="33"/>
      <c r="J349" s="9"/>
      <c r="K349" s="9"/>
      <c r="AB349" s="26">
        <f t="shared" si="30"/>
        <v>0</v>
      </c>
      <c r="AC349" s="26">
        <f t="shared" si="31"/>
        <v>0</v>
      </c>
      <c r="AD349" s="26">
        <f t="shared" si="32"/>
        <v>0</v>
      </c>
      <c r="AE349" s="26">
        <f t="shared" si="33"/>
        <v>0</v>
      </c>
      <c r="AF349" s="26">
        <f t="shared" si="34"/>
        <v>0</v>
      </c>
      <c r="AG349" s="26">
        <f t="shared" si="35"/>
        <v>0</v>
      </c>
    </row>
    <row r="350" spans="1:33" x14ac:dyDescent="0.2">
      <c r="A350" s="89"/>
      <c r="B350" s="89"/>
      <c r="C350" s="89"/>
      <c r="D350" s="89"/>
      <c r="E350" s="89"/>
      <c r="F350" s="89"/>
      <c r="G350" s="89"/>
      <c r="H350" s="89"/>
      <c r="I350" s="33"/>
      <c r="J350" s="9"/>
      <c r="K350" s="9"/>
      <c r="AB350" s="26">
        <f t="shared" si="30"/>
        <v>0</v>
      </c>
      <c r="AC350" s="26">
        <f t="shared" si="31"/>
        <v>0</v>
      </c>
      <c r="AD350" s="26">
        <f t="shared" si="32"/>
        <v>0</v>
      </c>
      <c r="AE350" s="26">
        <f t="shared" si="33"/>
        <v>0</v>
      </c>
      <c r="AF350" s="26">
        <f t="shared" si="34"/>
        <v>0</v>
      </c>
      <c r="AG350" s="26">
        <f t="shared" si="35"/>
        <v>0</v>
      </c>
    </row>
    <row r="351" spans="1:33" x14ac:dyDescent="0.2">
      <c r="A351" s="89"/>
      <c r="B351" s="89"/>
      <c r="C351" s="89"/>
      <c r="D351" s="89"/>
      <c r="E351" s="89"/>
      <c r="F351" s="89"/>
      <c r="G351" s="89"/>
      <c r="H351" s="89"/>
      <c r="I351" s="33"/>
      <c r="J351" s="9"/>
      <c r="K351" s="9"/>
      <c r="AB351" s="26">
        <f t="shared" si="30"/>
        <v>0</v>
      </c>
      <c r="AC351" s="26">
        <f t="shared" si="31"/>
        <v>0</v>
      </c>
      <c r="AD351" s="26">
        <f t="shared" si="32"/>
        <v>0</v>
      </c>
      <c r="AE351" s="26">
        <f t="shared" si="33"/>
        <v>0</v>
      </c>
      <c r="AF351" s="26">
        <f t="shared" si="34"/>
        <v>0</v>
      </c>
      <c r="AG351" s="26">
        <f t="shared" si="35"/>
        <v>0</v>
      </c>
    </row>
    <row r="352" spans="1:33" x14ac:dyDescent="0.2">
      <c r="A352" s="89"/>
      <c r="B352" s="89"/>
      <c r="C352" s="89"/>
      <c r="D352" s="89"/>
      <c r="E352" s="89"/>
      <c r="F352" s="89"/>
      <c r="G352" s="89"/>
      <c r="H352" s="89"/>
      <c r="I352" s="33"/>
      <c r="J352" s="9"/>
      <c r="K352" s="9"/>
      <c r="AB352" s="26">
        <f t="shared" si="30"/>
        <v>0</v>
      </c>
      <c r="AC352" s="26">
        <f t="shared" si="31"/>
        <v>0</v>
      </c>
      <c r="AD352" s="26">
        <f t="shared" si="32"/>
        <v>0</v>
      </c>
      <c r="AE352" s="26">
        <f t="shared" si="33"/>
        <v>0</v>
      </c>
      <c r="AF352" s="26">
        <f t="shared" si="34"/>
        <v>0</v>
      </c>
      <c r="AG352" s="26">
        <f t="shared" si="35"/>
        <v>0</v>
      </c>
    </row>
    <row r="353" spans="1:33" x14ac:dyDescent="0.2">
      <c r="A353" s="89"/>
      <c r="B353" s="89"/>
      <c r="C353" s="89"/>
      <c r="D353" s="89"/>
      <c r="E353" s="89"/>
      <c r="F353" s="89"/>
      <c r="G353" s="89"/>
      <c r="H353" s="89"/>
      <c r="I353" s="33"/>
      <c r="J353" s="9"/>
      <c r="K353" s="9"/>
      <c r="AB353" s="26">
        <f t="shared" si="30"/>
        <v>0</v>
      </c>
      <c r="AC353" s="26">
        <f t="shared" si="31"/>
        <v>0</v>
      </c>
      <c r="AD353" s="26">
        <f t="shared" si="32"/>
        <v>0</v>
      </c>
      <c r="AE353" s="26">
        <f t="shared" si="33"/>
        <v>0</v>
      </c>
      <c r="AF353" s="26">
        <f t="shared" si="34"/>
        <v>0</v>
      </c>
      <c r="AG353" s="26">
        <f t="shared" si="35"/>
        <v>0</v>
      </c>
    </row>
    <row r="354" spans="1:33" x14ac:dyDescent="0.2">
      <c r="A354" s="89"/>
      <c r="B354" s="89"/>
      <c r="C354" s="89"/>
      <c r="D354" s="89"/>
      <c r="E354" s="89"/>
      <c r="F354" s="89"/>
      <c r="G354" s="89"/>
      <c r="H354" s="89"/>
      <c r="I354" s="33"/>
      <c r="J354" s="9"/>
      <c r="K354" s="9"/>
      <c r="AB354" s="26">
        <f t="shared" si="30"/>
        <v>0</v>
      </c>
      <c r="AC354" s="26">
        <f t="shared" si="31"/>
        <v>0</v>
      </c>
      <c r="AD354" s="26">
        <f t="shared" si="32"/>
        <v>0</v>
      </c>
      <c r="AE354" s="26">
        <f t="shared" si="33"/>
        <v>0</v>
      </c>
      <c r="AF354" s="26">
        <f t="shared" si="34"/>
        <v>0</v>
      </c>
      <c r="AG354" s="26">
        <f t="shared" si="35"/>
        <v>0</v>
      </c>
    </row>
    <row r="355" spans="1:33" x14ac:dyDescent="0.2">
      <c r="A355" s="89"/>
      <c r="B355" s="89"/>
      <c r="C355" s="89"/>
      <c r="D355" s="89"/>
      <c r="E355" s="89"/>
      <c r="F355" s="89"/>
      <c r="G355" s="89"/>
      <c r="H355" s="89"/>
      <c r="I355" s="33"/>
      <c r="J355" s="9"/>
      <c r="K355" s="9"/>
      <c r="AB355" s="26">
        <f t="shared" si="30"/>
        <v>0</v>
      </c>
      <c r="AC355" s="26">
        <f t="shared" si="31"/>
        <v>0</v>
      </c>
      <c r="AD355" s="26">
        <f t="shared" si="32"/>
        <v>0</v>
      </c>
      <c r="AE355" s="26">
        <f t="shared" si="33"/>
        <v>0</v>
      </c>
      <c r="AF355" s="26">
        <f t="shared" si="34"/>
        <v>0</v>
      </c>
      <c r="AG355" s="26">
        <f t="shared" si="35"/>
        <v>0</v>
      </c>
    </row>
    <row r="356" spans="1:33" x14ac:dyDescent="0.2">
      <c r="A356" s="89"/>
      <c r="B356" s="89"/>
      <c r="C356" s="89"/>
      <c r="D356" s="89"/>
      <c r="E356" s="89"/>
      <c r="F356" s="89"/>
      <c r="G356" s="89"/>
      <c r="H356" s="89"/>
      <c r="I356" s="33"/>
      <c r="J356" s="9"/>
      <c r="K356" s="9"/>
      <c r="AB356" s="26">
        <f t="shared" si="30"/>
        <v>0</v>
      </c>
      <c r="AC356" s="26">
        <f t="shared" si="31"/>
        <v>0</v>
      </c>
      <c r="AD356" s="26">
        <f t="shared" si="32"/>
        <v>0</v>
      </c>
      <c r="AE356" s="26">
        <f t="shared" si="33"/>
        <v>0</v>
      </c>
      <c r="AF356" s="26">
        <f t="shared" si="34"/>
        <v>0</v>
      </c>
      <c r="AG356" s="26">
        <f t="shared" si="35"/>
        <v>0</v>
      </c>
    </row>
    <row r="357" spans="1:33" x14ac:dyDescent="0.2">
      <c r="A357" s="89"/>
      <c r="B357" s="89"/>
      <c r="C357" s="89"/>
      <c r="D357" s="89"/>
      <c r="E357" s="89"/>
      <c r="F357" s="89"/>
      <c r="G357" s="89"/>
      <c r="H357" s="89"/>
      <c r="I357" s="33"/>
      <c r="J357" s="9"/>
      <c r="K357" s="9"/>
      <c r="AB357" s="26">
        <f t="shared" si="30"/>
        <v>0</v>
      </c>
      <c r="AC357" s="26">
        <f t="shared" si="31"/>
        <v>0</v>
      </c>
      <c r="AD357" s="26">
        <f t="shared" si="32"/>
        <v>0</v>
      </c>
      <c r="AE357" s="26">
        <f t="shared" si="33"/>
        <v>0</v>
      </c>
      <c r="AF357" s="26">
        <f t="shared" si="34"/>
        <v>0</v>
      </c>
      <c r="AG357" s="26">
        <f t="shared" si="35"/>
        <v>0</v>
      </c>
    </row>
    <row r="358" spans="1:33" x14ac:dyDescent="0.2">
      <c r="A358" s="89"/>
      <c r="B358" s="89"/>
      <c r="C358" s="89"/>
      <c r="D358" s="89"/>
      <c r="E358" s="89"/>
      <c r="F358" s="89"/>
      <c r="G358" s="89"/>
      <c r="H358" s="89"/>
      <c r="I358" s="33"/>
      <c r="J358" s="9"/>
      <c r="K358" s="9"/>
      <c r="AB358" s="26">
        <f t="shared" si="30"/>
        <v>0</v>
      </c>
      <c r="AC358" s="26">
        <f t="shared" si="31"/>
        <v>0</v>
      </c>
      <c r="AD358" s="26">
        <f t="shared" si="32"/>
        <v>0</v>
      </c>
      <c r="AE358" s="26">
        <f t="shared" si="33"/>
        <v>0</v>
      </c>
      <c r="AF358" s="26">
        <f t="shared" si="34"/>
        <v>0</v>
      </c>
      <c r="AG358" s="26">
        <f t="shared" si="35"/>
        <v>0</v>
      </c>
    </row>
    <row r="359" spans="1:33" x14ac:dyDescent="0.2">
      <c r="A359" s="89"/>
      <c r="B359" s="89"/>
      <c r="C359" s="89"/>
      <c r="D359" s="89"/>
      <c r="E359" s="89"/>
      <c r="F359" s="89"/>
      <c r="G359" s="89"/>
      <c r="H359" s="89"/>
      <c r="I359" s="33"/>
      <c r="J359" s="9"/>
      <c r="K359" s="9"/>
      <c r="AB359" s="26">
        <f t="shared" si="30"/>
        <v>0</v>
      </c>
      <c r="AC359" s="26">
        <f t="shared" si="31"/>
        <v>0</v>
      </c>
      <c r="AD359" s="26">
        <f t="shared" si="32"/>
        <v>0</v>
      </c>
      <c r="AE359" s="26">
        <f t="shared" si="33"/>
        <v>0</v>
      </c>
      <c r="AF359" s="26">
        <f t="shared" si="34"/>
        <v>0</v>
      </c>
      <c r="AG359" s="26">
        <f t="shared" si="35"/>
        <v>0</v>
      </c>
    </row>
    <row r="360" spans="1:33" x14ac:dyDescent="0.2">
      <c r="A360" s="89"/>
      <c r="B360" s="89"/>
      <c r="C360" s="89"/>
      <c r="D360" s="89"/>
      <c r="E360" s="89"/>
      <c r="F360" s="89"/>
      <c r="G360" s="89"/>
      <c r="H360" s="89"/>
      <c r="I360" s="33"/>
      <c r="J360" s="9"/>
      <c r="K360" s="9"/>
      <c r="AB360" s="26">
        <f t="shared" si="30"/>
        <v>0</v>
      </c>
      <c r="AC360" s="26">
        <f t="shared" si="31"/>
        <v>0</v>
      </c>
      <c r="AD360" s="26">
        <f t="shared" si="32"/>
        <v>0</v>
      </c>
      <c r="AE360" s="26">
        <f t="shared" si="33"/>
        <v>0</v>
      </c>
      <c r="AF360" s="26">
        <f t="shared" si="34"/>
        <v>0</v>
      </c>
      <c r="AG360" s="26">
        <f t="shared" si="35"/>
        <v>0</v>
      </c>
    </row>
    <row r="361" spans="1:33" x14ac:dyDescent="0.2">
      <c r="A361" s="89"/>
      <c r="B361" s="89"/>
      <c r="C361" s="89"/>
      <c r="D361" s="89"/>
      <c r="E361" s="89"/>
      <c r="F361" s="89"/>
      <c r="G361" s="89"/>
      <c r="H361" s="89"/>
      <c r="I361" s="33"/>
      <c r="J361" s="9"/>
      <c r="K361" s="9"/>
      <c r="AB361" s="26">
        <f t="shared" si="30"/>
        <v>0</v>
      </c>
      <c r="AC361" s="26">
        <f t="shared" si="31"/>
        <v>0</v>
      </c>
      <c r="AD361" s="26">
        <f t="shared" si="32"/>
        <v>0</v>
      </c>
      <c r="AE361" s="26">
        <f t="shared" si="33"/>
        <v>0</v>
      </c>
      <c r="AF361" s="26">
        <f t="shared" si="34"/>
        <v>0</v>
      </c>
      <c r="AG361" s="26">
        <f t="shared" si="35"/>
        <v>0</v>
      </c>
    </row>
    <row r="362" spans="1:33" x14ac:dyDescent="0.2">
      <c r="A362" s="89"/>
      <c r="B362" s="89"/>
      <c r="C362" s="89"/>
      <c r="D362" s="89"/>
      <c r="E362" s="89"/>
      <c r="F362" s="89"/>
      <c r="G362" s="89"/>
      <c r="H362" s="89"/>
      <c r="I362" s="33"/>
      <c r="J362" s="9"/>
      <c r="K362" s="9"/>
      <c r="AB362" s="26">
        <f t="shared" si="30"/>
        <v>0</v>
      </c>
      <c r="AC362" s="26">
        <f t="shared" si="31"/>
        <v>0</v>
      </c>
      <c r="AD362" s="26">
        <f t="shared" si="32"/>
        <v>0</v>
      </c>
      <c r="AE362" s="26">
        <f t="shared" si="33"/>
        <v>0</v>
      </c>
      <c r="AF362" s="26">
        <f t="shared" si="34"/>
        <v>0</v>
      </c>
      <c r="AG362" s="26">
        <f t="shared" si="35"/>
        <v>0</v>
      </c>
    </row>
    <row r="363" spans="1:33" x14ac:dyDescent="0.2">
      <c r="A363" s="89"/>
      <c r="B363" s="89"/>
      <c r="C363" s="89"/>
      <c r="D363" s="89"/>
      <c r="E363" s="89"/>
      <c r="F363" s="89"/>
      <c r="G363" s="89"/>
      <c r="H363" s="89"/>
      <c r="I363" s="33"/>
      <c r="J363" s="9"/>
      <c r="K363" s="9"/>
      <c r="AB363" s="26">
        <f t="shared" si="30"/>
        <v>0</v>
      </c>
      <c r="AC363" s="26">
        <f t="shared" si="31"/>
        <v>0</v>
      </c>
      <c r="AD363" s="26">
        <f t="shared" si="32"/>
        <v>0</v>
      </c>
      <c r="AE363" s="26">
        <f t="shared" si="33"/>
        <v>0</v>
      </c>
      <c r="AF363" s="26">
        <f t="shared" si="34"/>
        <v>0</v>
      </c>
      <c r="AG363" s="26">
        <f t="shared" si="35"/>
        <v>0</v>
      </c>
    </row>
    <row r="364" spans="1:33" x14ac:dyDescent="0.2">
      <c r="A364" s="89"/>
      <c r="B364" s="89"/>
      <c r="C364" s="89"/>
      <c r="D364" s="89"/>
      <c r="E364" s="89"/>
      <c r="F364" s="89"/>
      <c r="G364" s="89"/>
      <c r="H364" s="89"/>
      <c r="I364" s="33"/>
      <c r="J364" s="9"/>
      <c r="K364" s="9"/>
      <c r="AB364" s="26">
        <f t="shared" si="30"/>
        <v>0</v>
      </c>
      <c r="AC364" s="26">
        <f t="shared" si="31"/>
        <v>0</v>
      </c>
      <c r="AD364" s="26">
        <f t="shared" si="32"/>
        <v>0</v>
      </c>
      <c r="AE364" s="26">
        <f t="shared" si="33"/>
        <v>0</v>
      </c>
      <c r="AF364" s="26">
        <f t="shared" si="34"/>
        <v>0</v>
      </c>
      <c r="AG364" s="26">
        <f t="shared" si="35"/>
        <v>0</v>
      </c>
    </row>
    <row r="365" spans="1:33" x14ac:dyDescent="0.2">
      <c r="A365" s="89"/>
      <c r="B365" s="89"/>
      <c r="C365" s="89"/>
      <c r="D365" s="89"/>
      <c r="E365" s="89"/>
      <c r="F365" s="89"/>
      <c r="G365" s="89"/>
      <c r="H365" s="89"/>
      <c r="I365" s="33"/>
      <c r="J365" s="9"/>
      <c r="K365" s="9"/>
      <c r="AB365" s="26">
        <f t="shared" si="30"/>
        <v>0</v>
      </c>
      <c r="AC365" s="26">
        <f t="shared" si="31"/>
        <v>0</v>
      </c>
      <c r="AD365" s="26">
        <f t="shared" si="32"/>
        <v>0</v>
      </c>
      <c r="AE365" s="26">
        <f t="shared" si="33"/>
        <v>0</v>
      </c>
      <c r="AF365" s="26">
        <f t="shared" si="34"/>
        <v>0</v>
      </c>
      <c r="AG365" s="26">
        <f t="shared" si="35"/>
        <v>0</v>
      </c>
    </row>
    <row r="366" spans="1:33" x14ac:dyDescent="0.2">
      <c r="A366" s="89"/>
      <c r="B366" s="89"/>
      <c r="C366" s="89"/>
      <c r="D366" s="89"/>
      <c r="E366" s="89"/>
      <c r="F366" s="89"/>
      <c r="G366" s="89"/>
      <c r="H366" s="89"/>
      <c r="I366" s="33"/>
      <c r="J366" s="9"/>
      <c r="K366" s="9"/>
      <c r="AB366" s="26">
        <f t="shared" si="30"/>
        <v>0</v>
      </c>
      <c r="AC366" s="26">
        <f t="shared" si="31"/>
        <v>0</v>
      </c>
      <c r="AD366" s="26">
        <f t="shared" si="32"/>
        <v>0</v>
      </c>
      <c r="AE366" s="26">
        <f t="shared" si="33"/>
        <v>0</v>
      </c>
      <c r="AF366" s="26">
        <f t="shared" si="34"/>
        <v>0</v>
      </c>
      <c r="AG366" s="26">
        <f t="shared" si="35"/>
        <v>0</v>
      </c>
    </row>
    <row r="367" spans="1:33" x14ac:dyDescent="0.2">
      <c r="A367" s="89"/>
      <c r="B367" s="89"/>
      <c r="C367" s="89"/>
      <c r="D367" s="89"/>
      <c r="E367" s="89"/>
      <c r="F367" s="89"/>
      <c r="G367" s="89"/>
      <c r="H367" s="89"/>
      <c r="I367" s="33"/>
      <c r="J367" s="9"/>
      <c r="K367" s="9"/>
      <c r="AB367" s="26">
        <f t="shared" si="30"/>
        <v>0</v>
      </c>
      <c r="AC367" s="26">
        <f t="shared" si="31"/>
        <v>0</v>
      </c>
      <c r="AD367" s="26">
        <f t="shared" si="32"/>
        <v>0</v>
      </c>
      <c r="AE367" s="26">
        <f t="shared" si="33"/>
        <v>0</v>
      </c>
      <c r="AF367" s="26">
        <f t="shared" si="34"/>
        <v>0</v>
      </c>
      <c r="AG367" s="26">
        <f t="shared" si="35"/>
        <v>0</v>
      </c>
    </row>
    <row r="368" spans="1:33" x14ac:dyDescent="0.2">
      <c r="A368" s="89"/>
      <c r="B368" s="89"/>
      <c r="C368" s="89"/>
      <c r="D368" s="89"/>
      <c r="E368" s="89"/>
      <c r="F368" s="89"/>
      <c r="G368" s="89"/>
      <c r="H368" s="89"/>
      <c r="I368" s="33"/>
      <c r="J368" s="9"/>
      <c r="K368" s="9"/>
      <c r="AB368" s="26">
        <f t="shared" si="30"/>
        <v>0</v>
      </c>
      <c r="AC368" s="26">
        <f t="shared" si="31"/>
        <v>0</v>
      </c>
      <c r="AD368" s="26">
        <f t="shared" si="32"/>
        <v>0</v>
      </c>
      <c r="AE368" s="26">
        <f t="shared" si="33"/>
        <v>0</v>
      </c>
      <c r="AF368" s="26">
        <f t="shared" si="34"/>
        <v>0</v>
      </c>
      <c r="AG368" s="26">
        <f t="shared" si="35"/>
        <v>0</v>
      </c>
    </row>
    <row r="369" spans="1:33" x14ac:dyDescent="0.2">
      <c r="A369" s="89"/>
      <c r="B369" s="89"/>
      <c r="C369" s="89"/>
      <c r="D369" s="89"/>
      <c r="E369" s="89"/>
      <c r="F369" s="89"/>
      <c r="G369" s="89"/>
      <c r="H369" s="89"/>
      <c r="I369" s="33"/>
      <c r="J369" s="9"/>
      <c r="K369" s="9"/>
      <c r="AB369" s="26">
        <f t="shared" si="30"/>
        <v>0</v>
      </c>
      <c r="AC369" s="26">
        <f t="shared" si="31"/>
        <v>0</v>
      </c>
      <c r="AD369" s="26">
        <f t="shared" si="32"/>
        <v>0</v>
      </c>
      <c r="AE369" s="26">
        <f t="shared" si="33"/>
        <v>0</v>
      </c>
      <c r="AF369" s="26">
        <f t="shared" si="34"/>
        <v>0</v>
      </c>
      <c r="AG369" s="26">
        <f t="shared" si="35"/>
        <v>0</v>
      </c>
    </row>
    <row r="370" spans="1:33" x14ac:dyDescent="0.2">
      <c r="A370" s="89"/>
      <c r="B370" s="89"/>
      <c r="C370" s="89"/>
      <c r="D370" s="89"/>
      <c r="E370" s="89"/>
      <c r="F370" s="89"/>
      <c r="G370" s="89"/>
      <c r="H370" s="89"/>
      <c r="I370" s="33"/>
      <c r="J370" s="9"/>
      <c r="K370" s="9"/>
      <c r="AB370" s="26">
        <f t="shared" si="30"/>
        <v>0</v>
      </c>
      <c r="AC370" s="26">
        <f t="shared" si="31"/>
        <v>0</v>
      </c>
      <c r="AD370" s="26">
        <f t="shared" si="32"/>
        <v>0</v>
      </c>
      <c r="AE370" s="26">
        <f t="shared" si="33"/>
        <v>0</v>
      </c>
      <c r="AF370" s="26">
        <f t="shared" si="34"/>
        <v>0</v>
      </c>
      <c r="AG370" s="26">
        <f t="shared" si="35"/>
        <v>0</v>
      </c>
    </row>
    <row r="371" spans="1:33" x14ac:dyDescent="0.2">
      <c r="A371" s="89"/>
      <c r="B371" s="89"/>
      <c r="C371" s="89"/>
      <c r="D371" s="89"/>
      <c r="E371" s="89"/>
      <c r="F371" s="89"/>
      <c r="G371" s="89"/>
      <c r="H371" s="89"/>
      <c r="I371" s="33"/>
      <c r="J371" s="9"/>
      <c r="K371" s="9"/>
      <c r="AB371" s="26">
        <f t="shared" si="30"/>
        <v>0</v>
      </c>
      <c r="AC371" s="26">
        <f t="shared" si="31"/>
        <v>0</v>
      </c>
      <c r="AD371" s="26">
        <f t="shared" si="32"/>
        <v>0</v>
      </c>
      <c r="AE371" s="26">
        <f t="shared" si="33"/>
        <v>0</v>
      </c>
      <c r="AF371" s="26">
        <f t="shared" si="34"/>
        <v>0</v>
      </c>
      <c r="AG371" s="26">
        <f t="shared" si="35"/>
        <v>0</v>
      </c>
    </row>
    <row r="372" spans="1:33" x14ac:dyDescent="0.2">
      <c r="A372" s="89"/>
      <c r="B372" s="89"/>
      <c r="C372" s="89"/>
      <c r="D372" s="89"/>
      <c r="E372" s="89"/>
      <c r="F372" s="89"/>
      <c r="G372" s="89"/>
      <c r="H372" s="89"/>
      <c r="I372" s="33"/>
      <c r="J372" s="9"/>
      <c r="K372" s="9"/>
      <c r="AB372" s="26">
        <f t="shared" si="30"/>
        <v>0</v>
      </c>
      <c r="AC372" s="26">
        <f t="shared" si="31"/>
        <v>0</v>
      </c>
      <c r="AD372" s="26">
        <f t="shared" si="32"/>
        <v>0</v>
      </c>
      <c r="AE372" s="26">
        <f t="shared" si="33"/>
        <v>0</v>
      </c>
      <c r="AF372" s="26">
        <f t="shared" si="34"/>
        <v>0</v>
      </c>
      <c r="AG372" s="26">
        <f t="shared" si="35"/>
        <v>0</v>
      </c>
    </row>
    <row r="373" spans="1:33" x14ac:dyDescent="0.2">
      <c r="A373" s="89"/>
      <c r="B373" s="89"/>
      <c r="C373" s="89"/>
      <c r="D373" s="89"/>
      <c r="E373" s="89"/>
      <c r="F373" s="89"/>
      <c r="G373" s="89"/>
      <c r="H373" s="89"/>
      <c r="I373" s="33"/>
      <c r="J373" s="9"/>
      <c r="K373" s="9"/>
      <c r="AB373" s="26">
        <f t="shared" si="30"/>
        <v>0</v>
      </c>
      <c r="AC373" s="26">
        <f t="shared" si="31"/>
        <v>0</v>
      </c>
      <c r="AD373" s="26">
        <f t="shared" si="32"/>
        <v>0</v>
      </c>
      <c r="AE373" s="26">
        <f t="shared" si="33"/>
        <v>0</v>
      </c>
      <c r="AF373" s="26">
        <f t="shared" si="34"/>
        <v>0</v>
      </c>
      <c r="AG373" s="26">
        <f t="shared" si="35"/>
        <v>0</v>
      </c>
    </row>
    <row r="374" spans="1:33" x14ac:dyDescent="0.2">
      <c r="A374" s="89"/>
      <c r="B374" s="89"/>
      <c r="C374" s="89"/>
      <c r="D374" s="89"/>
      <c r="E374" s="89"/>
      <c r="F374" s="89"/>
      <c r="G374" s="89"/>
      <c r="H374" s="89"/>
      <c r="I374" s="33"/>
      <c r="J374" s="9"/>
      <c r="K374" s="9"/>
      <c r="AB374" s="26">
        <f t="shared" si="30"/>
        <v>0</v>
      </c>
      <c r="AC374" s="26">
        <f t="shared" si="31"/>
        <v>0</v>
      </c>
      <c r="AD374" s="26">
        <f t="shared" si="32"/>
        <v>0</v>
      </c>
      <c r="AE374" s="26">
        <f t="shared" si="33"/>
        <v>0</v>
      </c>
      <c r="AF374" s="26">
        <f t="shared" si="34"/>
        <v>0</v>
      </c>
      <c r="AG374" s="26">
        <f t="shared" si="35"/>
        <v>0</v>
      </c>
    </row>
    <row r="375" spans="1:33" x14ac:dyDescent="0.2">
      <c r="A375" s="89"/>
      <c r="B375" s="89"/>
      <c r="C375" s="89"/>
      <c r="D375" s="89"/>
      <c r="E375" s="89"/>
      <c r="F375" s="89"/>
      <c r="G375" s="89"/>
      <c r="H375" s="89"/>
      <c r="I375" s="33"/>
      <c r="J375" s="9"/>
      <c r="K375" s="9"/>
      <c r="AB375" s="26">
        <f t="shared" si="30"/>
        <v>0</v>
      </c>
      <c r="AC375" s="26">
        <f t="shared" si="31"/>
        <v>0</v>
      </c>
      <c r="AD375" s="26">
        <f t="shared" si="32"/>
        <v>0</v>
      </c>
      <c r="AE375" s="26">
        <f t="shared" si="33"/>
        <v>0</v>
      </c>
      <c r="AF375" s="26">
        <f t="shared" si="34"/>
        <v>0</v>
      </c>
      <c r="AG375" s="26">
        <f t="shared" si="35"/>
        <v>0</v>
      </c>
    </row>
    <row r="376" spans="1:33" x14ac:dyDescent="0.2">
      <c r="A376" s="89"/>
      <c r="B376" s="89"/>
      <c r="C376" s="89"/>
      <c r="D376" s="89"/>
      <c r="E376" s="89"/>
      <c r="F376" s="89"/>
      <c r="G376" s="89"/>
      <c r="H376" s="89"/>
      <c r="I376" s="33"/>
      <c r="J376" s="9"/>
      <c r="K376" s="9"/>
      <c r="AB376" s="26">
        <f t="shared" si="30"/>
        <v>0</v>
      </c>
      <c r="AC376" s="26">
        <f t="shared" si="31"/>
        <v>0</v>
      </c>
      <c r="AD376" s="26">
        <f t="shared" si="32"/>
        <v>0</v>
      </c>
      <c r="AE376" s="26">
        <f t="shared" si="33"/>
        <v>0</v>
      </c>
      <c r="AF376" s="26">
        <f t="shared" si="34"/>
        <v>0</v>
      </c>
      <c r="AG376" s="26">
        <f t="shared" si="35"/>
        <v>0</v>
      </c>
    </row>
    <row r="377" spans="1:33" x14ac:dyDescent="0.2">
      <c r="A377" s="89"/>
      <c r="B377" s="89"/>
      <c r="C377" s="89"/>
      <c r="D377" s="89"/>
      <c r="E377" s="89"/>
      <c r="F377" s="89"/>
      <c r="G377" s="89"/>
      <c r="H377" s="89"/>
      <c r="I377" s="33"/>
      <c r="J377" s="9"/>
      <c r="K377" s="9"/>
      <c r="AB377" s="26">
        <f t="shared" si="30"/>
        <v>0</v>
      </c>
      <c r="AC377" s="26">
        <f t="shared" si="31"/>
        <v>0</v>
      </c>
      <c r="AD377" s="26">
        <f t="shared" si="32"/>
        <v>0</v>
      </c>
      <c r="AE377" s="26">
        <f t="shared" si="33"/>
        <v>0</v>
      </c>
      <c r="AF377" s="26">
        <f t="shared" si="34"/>
        <v>0</v>
      </c>
      <c r="AG377" s="26">
        <f t="shared" si="35"/>
        <v>0</v>
      </c>
    </row>
    <row r="378" spans="1:33" x14ac:dyDescent="0.2">
      <c r="A378" s="89"/>
      <c r="B378" s="89"/>
      <c r="C378" s="89"/>
      <c r="D378" s="89"/>
      <c r="E378" s="89"/>
      <c r="F378" s="89"/>
      <c r="G378" s="89"/>
      <c r="H378" s="89"/>
      <c r="I378" s="33"/>
      <c r="J378" s="9"/>
      <c r="K378" s="9"/>
      <c r="AB378" s="26">
        <f t="shared" si="30"/>
        <v>0</v>
      </c>
      <c r="AC378" s="26">
        <f t="shared" si="31"/>
        <v>0</v>
      </c>
      <c r="AD378" s="26">
        <f t="shared" si="32"/>
        <v>0</v>
      </c>
      <c r="AE378" s="26">
        <f t="shared" si="33"/>
        <v>0</v>
      </c>
      <c r="AF378" s="26">
        <f t="shared" si="34"/>
        <v>0</v>
      </c>
      <c r="AG378" s="26">
        <f t="shared" si="35"/>
        <v>0</v>
      </c>
    </row>
    <row r="379" spans="1:33" x14ac:dyDescent="0.2">
      <c r="A379" s="89"/>
      <c r="B379" s="89"/>
      <c r="C379" s="89"/>
      <c r="D379" s="89"/>
      <c r="E379" s="89"/>
      <c r="F379" s="89"/>
      <c r="G379" s="89"/>
      <c r="H379" s="89"/>
      <c r="I379" s="33"/>
      <c r="J379" s="9"/>
      <c r="K379" s="9"/>
      <c r="AB379" s="26">
        <f t="shared" si="30"/>
        <v>0</v>
      </c>
      <c r="AC379" s="26">
        <f t="shared" si="31"/>
        <v>0</v>
      </c>
      <c r="AD379" s="26">
        <f t="shared" si="32"/>
        <v>0</v>
      </c>
      <c r="AE379" s="26">
        <f t="shared" si="33"/>
        <v>0</v>
      </c>
      <c r="AF379" s="26">
        <f t="shared" si="34"/>
        <v>0</v>
      </c>
      <c r="AG379" s="26">
        <f t="shared" si="35"/>
        <v>0</v>
      </c>
    </row>
    <row r="380" spans="1:33" x14ac:dyDescent="0.2">
      <c r="A380" s="89"/>
      <c r="B380" s="89"/>
      <c r="C380" s="89"/>
      <c r="D380" s="89"/>
      <c r="E380" s="89"/>
      <c r="F380" s="89"/>
      <c r="G380" s="89"/>
      <c r="H380" s="89"/>
      <c r="I380" s="33"/>
      <c r="J380" s="9"/>
      <c r="K380" s="9"/>
      <c r="AB380" s="26">
        <f t="shared" si="30"/>
        <v>0</v>
      </c>
      <c r="AC380" s="26">
        <f t="shared" si="31"/>
        <v>0</v>
      </c>
      <c r="AD380" s="26">
        <f t="shared" si="32"/>
        <v>0</v>
      </c>
      <c r="AE380" s="26">
        <f t="shared" si="33"/>
        <v>0</v>
      </c>
      <c r="AF380" s="26">
        <f t="shared" si="34"/>
        <v>0</v>
      </c>
      <c r="AG380" s="26">
        <f t="shared" si="35"/>
        <v>0</v>
      </c>
    </row>
    <row r="381" spans="1:33" x14ac:dyDescent="0.2">
      <c r="A381" s="89"/>
      <c r="B381" s="89"/>
      <c r="C381" s="89"/>
      <c r="D381" s="89"/>
      <c r="E381" s="89"/>
      <c r="F381" s="89"/>
      <c r="G381" s="89"/>
      <c r="H381" s="89"/>
      <c r="I381" s="33"/>
      <c r="J381" s="9"/>
      <c r="K381" s="9"/>
      <c r="AB381" s="26">
        <f t="shared" si="30"/>
        <v>0</v>
      </c>
      <c r="AC381" s="26">
        <f t="shared" si="31"/>
        <v>0</v>
      </c>
      <c r="AD381" s="26">
        <f t="shared" si="32"/>
        <v>0</v>
      </c>
      <c r="AE381" s="26">
        <f t="shared" si="33"/>
        <v>0</v>
      </c>
      <c r="AF381" s="26">
        <f t="shared" si="34"/>
        <v>0</v>
      </c>
      <c r="AG381" s="26">
        <f t="shared" si="35"/>
        <v>0</v>
      </c>
    </row>
    <row r="382" spans="1:33" x14ac:dyDescent="0.2">
      <c r="A382" s="89"/>
      <c r="B382" s="89"/>
      <c r="C382" s="89"/>
      <c r="D382" s="89"/>
      <c r="E382" s="89"/>
      <c r="F382" s="89"/>
      <c r="G382" s="89"/>
      <c r="H382" s="89"/>
      <c r="I382" s="33"/>
      <c r="J382" s="9"/>
      <c r="K382" s="9"/>
      <c r="AB382" s="26">
        <f t="shared" si="30"/>
        <v>0</v>
      </c>
      <c r="AC382" s="26">
        <f t="shared" si="31"/>
        <v>0</v>
      </c>
      <c r="AD382" s="26">
        <f t="shared" si="32"/>
        <v>0</v>
      </c>
      <c r="AE382" s="26">
        <f t="shared" si="33"/>
        <v>0</v>
      </c>
      <c r="AF382" s="26">
        <f t="shared" si="34"/>
        <v>0</v>
      </c>
      <c r="AG382" s="26">
        <f t="shared" si="35"/>
        <v>0</v>
      </c>
    </row>
    <row r="383" spans="1:33" x14ac:dyDescent="0.2">
      <c r="A383" s="89"/>
      <c r="B383" s="89"/>
      <c r="C383" s="89"/>
      <c r="D383" s="89"/>
      <c r="E383" s="89"/>
      <c r="F383" s="89"/>
      <c r="G383" s="89"/>
      <c r="H383" s="89"/>
      <c r="I383" s="33"/>
      <c r="J383" s="9"/>
      <c r="K383" s="9"/>
      <c r="AB383" s="26">
        <f t="shared" si="30"/>
        <v>0</v>
      </c>
      <c r="AC383" s="26">
        <f t="shared" si="31"/>
        <v>0</v>
      </c>
      <c r="AD383" s="26">
        <f t="shared" si="32"/>
        <v>0</v>
      </c>
      <c r="AE383" s="26">
        <f t="shared" si="33"/>
        <v>0</v>
      </c>
      <c r="AF383" s="26">
        <f t="shared" si="34"/>
        <v>0</v>
      </c>
      <c r="AG383" s="26">
        <f t="shared" si="35"/>
        <v>0</v>
      </c>
    </row>
    <row r="384" spans="1:33" x14ac:dyDescent="0.2">
      <c r="A384" s="89"/>
      <c r="B384" s="89"/>
      <c r="C384" s="89"/>
      <c r="D384" s="89"/>
      <c r="E384" s="89"/>
      <c r="F384" s="89"/>
      <c r="G384" s="89"/>
      <c r="H384" s="89"/>
      <c r="I384" s="33"/>
      <c r="J384" s="9"/>
      <c r="K384" s="9"/>
      <c r="AB384" s="26">
        <f t="shared" si="30"/>
        <v>0</v>
      </c>
      <c r="AC384" s="26">
        <f t="shared" si="31"/>
        <v>0</v>
      </c>
      <c r="AD384" s="26">
        <f t="shared" si="32"/>
        <v>0</v>
      </c>
      <c r="AE384" s="26">
        <f t="shared" si="33"/>
        <v>0</v>
      </c>
      <c r="AF384" s="26">
        <f t="shared" si="34"/>
        <v>0</v>
      </c>
      <c r="AG384" s="26">
        <f t="shared" si="35"/>
        <v>0</v>
      </c>
    </row>
    <row r="385" spans="1:33" x14ac:dyDescent="0.2">
      <c r="A385" s="89"/>
      <c r="B385" s="89"/>
      <c r="C385" s="89"/>
      <c r="D385" s="89"/>
      <c r="E385" s="89"/>
      <c r="F385" s="89"/>
      <c r="G385" s="89"/>
      <c r="H385" s="89"/>
      <c r="I385" s="33"/>
      <c r="J385" s="9"/>
      <c r="K385" s="9"/>
      <c r="AB385" s="26">
        <f t="shared" si="30"/>
        <v>0</v>
      </c>
      <c r="AC385" s="26">
        <f t="shared" si="31"/>
        <v>0</v>
      </c>
      <c r="AD385" s="26">
        <f t="shared" si="32"/>
        <v>0</v>
      </c>
      <c r="AE385" s="26">
        <f t="shared" si="33"/>
        <v>0</v>
      </c>
      <c r="AF385" s="26">
        <f t="shared" si="34"/>
        <v>0</v>
      </c>
      <c r="AG385" s="26">
        <f t="shared" si="35"/>
        <v>0</v>
      </c>
    </row>
    <row r="386" spans="1:33" x14ac:dyDescent="0.2">
      <c r="A386" s="89"/>
      <c r="B386" s="89"/>
      <c r="C386" s="89"/>
      <c r="D386" s="89"/>
      <c r="E386" s="89"/>
      <c r="F386" s="89"/>
      <c r="G386" s="89"/>
      <c r="H386" s="89"/>
      <c r="I386" s="33"/>
      <c r="J386" s="9"/>
      <c r="K386" s="9"/>
      <c r="AB386" s="26">
        <f t="shared" si="30"/>
        <v>0</v>
      </c>
      <c r="AC386" s="26">
        <f t="shared" si="31"/>
        <v>0</v>
      </c>
      <c r="AD386" s="26">
        <f t="shared" si="32"/>
        <v>0</v>
      </c>
      <c r="AE386" s="26">
        <f t="shared" si="33"/>
        <v>0</v>
      </c>
      <c r="AF386" s="26">
        <f t="shared" si="34"/>
        <v>0</v>
      </c>
      <c r="AG386" s="26">
        <f t="shared" si="35"/>
        <v>0</v>
      </c>
    </row>
    <row r="387" spans="1:33" x14ac:dyDescent="0.2">
      <c r="A387" s="89"/>
      <c r="B387" s="89"/>
      <c r="C387" s="89"/>
      <c r="D387" s="89"/>
      <c r="E387" s="89"/>
      <c r="F387" s="89"/>
      <c r="G387" s="89"/>
      <c r="H387" s="89"/>
      <c r="I387" s="33"/>
      <c r="J387" s="9"/>
      <c r="K387" s="9"/>
      <c r="AB387" s="26">
        <f t="shared" si="30"/>
        <v>0</v>
      </c>
      <c r="AC387" s="26">
        <f t="shared" si="31"/>
        <v>0</v>
      </c>
      <c r="AD387" s="26">
        <f t="shared" si="32"/>
        <v>0</v>
      </c>
      <c r="AE387" s="26">
        <f t="shared" si="33"/>
        <v>0</v>
      </c>
      <c r="AF387" s="26">
        <f t="shared" si="34"/>
        <v>0</v>
      </c>
      <c r="AG387" s="26">
        <f t="shared" si="35"/>
        <v>0</v>
      </c>
    </row>
    <row r="388" spans="1:33" x14ac:dyDescent="0.2">
      <c r="A388" s="89"/>
      <c r="B388" s="89"/>
      <c r="C388" s="89"/>
      <c r="D388" s="89"/>
      <c r="E388" s="89"/>
      <c r="F388" s="89"/>
      <c r="G388" s="89"/>
      <c r="H388" s="89"/>
      <c r="I388" s="33"/>
      <c r="J388" s="9"/>
      <c r="K388" s="9"/>
      <c r="AB388" s="26">
        <f t="shared" si="30"/>
        <v>0</v>
      </c>
      <c r="AC388" s="26">
        <f t="shared" si="31"/>
        <v>0</v>
      </c>
      <c r="AD388" s="26">
        <f t="shared" si="32"/>
        <v>0</v>
      </c>
      <c r="AE388" s="26">
        <f t="shared" si="33"/>
        <v>0</v>
      </c>
      <c r="AF388" s="26">
        <f t="shared" si="34"/>
        <v>0</v>
      </c>
      <c r="AG388" s="26">
        <f t="shared" si="35"/>
        <v>0</v>
      </c>
    </row>
    <row r="389" spans="1:33" x14ac:dyDescent="0.2">
      <c r="A389" s="89"/>
      <c r="B389" s="89"/>
      <c r="C389" s="89"/>
      <c r="D389" s="89"/>
      <c r="E389" s="89"/>
      <c r="F389" s="89"/>
      <c r="G389" s="89"/>
      <c r="H389" s="89"/>
      <c r="I389" s="33"/>
      <c r="J389" s="9"/>
      <c r="K389" s="9"/>
      <c r="AB389" s="26">
        <f t="shared" si="30"/>
        <v>0</v>
      </c>
      <c r="AC389" s="26">
        <f t="shared" si="31"/>
        <v>0</v>
      </c>
      <c r="AD389" s="26">
        <f t="shared" si="32"/>
        <v>0</v>
      </c>
      <c r="AE389" s="26">
        <f t="shared" si="33"/>
        <v>0</v>
      </c>
      <c r="AF389" s="26">
        <f t="shared" si="34"/>
        <v>0</v>
      </c>
      <c r="AG389" s="26">
        <f t="shared" si="35"/>
        <v>0</v>
      </c>
    </row>
    <row r="390" spans="1:33" x14ac:dyDescent="0.2">
      <c r="A390" s="89"/>
      <c r="B390" s="89"/>
      <c r="C390" s="89"/>
      <c r="D390" s="89"/>
      <c r="E390" s="89"/>
      <c r="F390" s="89"/>
      <c r="G390" s="89"/>
      <c r="H390" s="89"/>
      <c r="I390" s="33"/>
      <c r="J390" s="9"/>
      <c r="K390" s="9"/>
      <c r="AB390" s="26">
        <f t="shared" si="30"/>
        <v>0</v>
      </c>
      <c r="AC390" s="26">
        <f t="shared" si="31"/>
        <v>0</v>
      </c>
      <c r="AD390" s="26">
        <f t="shared" si="32"/>
        <v>0</v>
      </c>
      <c r="AE390" s="26">
        <f t="shared" si="33"/>
        <v>0</v>
      </c>
      <c r="AF390" s="26">
        <f t="shared" si="34"/>
        <v>0</v>
      </c>
      <c r="AG390" s="26">
        <f t="shared" si="35"/>
        <v>0</v>
      </c>
    </row>
    <row r="391" spans="1:33" x14ac:dyDescent="0.2">
      <c r="A391" s="89"/>
      <c r="B391" s="89"/>
      <c r="C391" s="89"/>
      <c r="D391" s="89"/>
      <c r="E391" s="89"/>
      <c r="F391" s="89"/>
      <c r="G391" s="89"/>
      <c r="H391" s="89"/>
      <c r="I391" s="33"/>
      <c r="J391" s="9"/>
      <c r="K391" s="9"/>
      <c r="AB391" s="26">
        <f t="shared" si="30"/>
        <v>0</v>
      </c>
      <c r="AC391" s="26">
        <f t="shared" si="31"/>
        <v>0</v>
      </c>
      <c r="AD391" s="26">
        <f t="shared" si="32"/>
        <v>0</v>
      </c>
      <c r="AE391" s="26">
        <f t="shared" si="33"/>
        <v>0</v>
      </c>
      <c r="AF391" s="26">
        <f t="shared" si="34"/>
        <v>0</v>
      </c>
      <c r="AG391" s="26">
        <f t="shared" si="35"/>
        <v>0</v>
      </c>
    </row>
    <row r="392" spans="1:33" x14ac:dyDescent="0.2">
      <c r="A392" s="89"/>
      <c r="B392" s="89"/>
      <c r="C392" s="89"/>
      <c r="D392" s="89"/>
      <c r="E392" s="89"/>
      <c r="F392" s="89"/>
      <c r="G392" s="89"/>
      <c r="H392" s="89"/>
      <c r="I392" s="33"/>
      <c r="J392" s="9"/>
      <c r="K392" s="9"/>
      <c r="AB392" s="26">
        <f t="shared" si="30"/>
        <v>0</v>
      </c>
      <c r="AC392" s="26">
        <f t="shared" si="31"/>
        <v>0</v>
      </c>
      <c r="AD392" s="26">
        <f t="shared" si="32"/>
        <v>0</v>
      </c>
      <c r="AE392" s="26">
        <f t="shared" si="33"/>
        <v>0</v>
      </c>
      <c r="AF392" s="26">
        <f t="shared" si="34"/>
        <v>0</v>
      </c>
      <c r="AG392" s="26">
        <f t="shared" si="35"/>
        <v>0</v>
      </c>
    </row>
    <row r="393" spans="1:33" x14ac:dyDescent="0.2">
      <c r="A393" s="89"/>
      <c r="B393" s="89"/>
      <c r="C393" s="89"/>
      <c r="D393" s="89"/>
      <c r="E393" s="89"/>
      <c r="F393" s="89"/>
      <c r="G393" s="89"/>
      <c r="H393" s="89"/>
      <c r="I393" s="33"/>
      <c r="J393" s="9"/>
      <c r="K393" s="9"/>
      <c r="AB393" s="26">
        <f t="shared" si="30"/>
        <v>0</v>
      </c>
      <c r="AC393" s="26">
        <f t="shared" si="31"/>
        <v>0</v>
      </c>
      <c r="AD393" s="26">
        <f t="shared" si="32"/>
        <v>0</v>
      </c>
      <c r="AE393" s="26">
        <f t="shared" si="33"/>
        <v>0</v>
      </c>
      <c r="AF393" s="26">
        <f t="shared" si="34"/>
        <v>0</v>
      </c>
      <c r="AG393" s="26">
        <f t="shared" si="35"/>
        <v>0</v>
      </c>
    </row>
    <row r="394" spans="1:33" x14ac:dyDescent="0.2">
      <c r="A394" s="89"/>
      <c r="B394" s="89"/>
      <c r="C394" s="89"/>
      <c r="D394" s="89"/>
      <c r="E394" s="89"/>
      <c r="F394" s="89"/>
      <c r="G394" s="89"/>
      <c r="H394" s="89"/>
      <c r="I394" s="33"/>
      <c r="J394" s="9"/>
      <c r="K394" s="9"/>
      <c r="AB394" s="26">
        <f t="shared" si="30"/>
        <v>0</v>
      </c>
      <c r="AC394" s="26">
        <f t="shared" si="31"/>
        <v>0</v>
      </c>
      <c r="AD394" s="26">
        <f t="shared" si="32"/>
        <v>0</v>
      </c>
      <c r="AE394" s="26">
        <f t="shared" si="33"/>
        <v>0</v>
      </c>
      <c r="AF394" s="26">
        <f t="shared" si="34"/>
        <v>0</v>
      </c>
      <c r="AG394" s="26">
        <f t="shared" si="35"/>
        <v>0</v>
      </c>
    </row>
    <row r="395" spans="1:33" x14ac:dyDescent="0.2">
      <c r="A395" s="89"/>
      <c r="B395" s="89"/>
      <c r="C395" s="89"/>
      <c r="D395" s="89"/>
      <c r="E395" s="89"/>
      <c r="F395" s="89"/>
      <c r="G395" s="89"/>
      <c r="H395" s="89"/>
      <c r="I395" s="33"/>
      <c r="J395" s="9"/>
      <c r="K395" s="9"/>
      <c r="AB395" s="26">
        <f t="shared" si="30"/>
        <v>0</v>
      </c>
      <c r="AC395" s="26">
        <f t="shared" si="31"/>
        <v>0</v>
      </c>
      <c r="AD395" s="26">
        <f t="shared" si="32"/>
        <v>0</v>
      </c>
      <c r="AE395" s="26">
        <f t="shared" si="33"/>
        <v>0</v>
      </c>
      <c r="AF395" s="26">
        <f t="shared" si="34"/>
        <v>0</v>
      </c>
      <c r="AG395" s="26">
        <f t="shared" si="35"/>
        <v>0</v>
      </c>
    </row>
    <row r="396" spans="1:33" x14ac:dyDescent="0.2">
      <c r="A396" s="89"/>
      <c r="B396" s="89"/>
      <c r="C396" s="89"/>
      <c r="D396" s="89"/>
      <c r="E396" s="89"/>
      <c r="F396" s="89"/>
      <c r="G396" s="89"/>
      <c r="H396" s="89"/>
      <c r="I396" s="33"/>
      <c r="J396" s="9"/>
      <c r="K396" s="9"/>
      <c r="AB396" s="26">
        <f t="shared" si="30"/>
        <v>0</v>
      </c>
      <c r="AC396" s="26">
        <f t="shared" si="31"/>
        <v>0</v>
      </c>
      <c r="AD396" s="26">
        <f t="shared" si="32"/>
        <v>0</v>
      </c>
      <c r="AE396" s="26">
        <f t="shared" si="33"/>
        <v>0</v>
      </c>
      <c r="AF396" s="26">
        <f t="shared" si="34"/>
        <v>0</v>
      </c>
      <c r="AG396" s="26">
        <f t="shared" si="35"/>
        <v>0</v>
      </c>
    </row>
    <row r="397" spans="1:33" x14ac:dyDescent="0.2">
      <c r="A397" s="89"/>
      <c r="B397" s="89"/>
      <c r="C397" s="89"/>
      <c r="D397" s="89"/>
      <c r="E397" s="89"/>
      <c r="F397" s="89"/>
      <c r="G397" s="89"/>
      <c r="H397" s="89"/>
      <c r="I397" s="33"/>
      <c r="J397" s="9"/>
      <c r="K397" s="9"/>
      <c r="AB397" s="26">
        <f t="shared" si="30"/>
        <v>0</v>
      </c>
      <c r="AC397" s="26">
        <f t="shared" si="31"/>
        <v>0</v>
      </c>
      <c r="AD397" s="26">
        <f t="shared" si="32"/>
        <v>0</v>
      </c>
      <c r="AE397" s="26">
        <f t="shared" si="33"/>
        <v>0</v>
      </c>
      <c r="AF397" s="26">
        <f t="shared" si="34"/>
        <v>0</v>
      </c>
      <c r="AG397" s="26">
        <f t="shared" si="35"/>
        <v>0</v>
      </c>
    </row>
    <row r="398" spans="1:33" x14ac:dyDescent="0.2">
      <c r="A398" s="89"/>
      <c r="B398" s="89"/>
      <c r="C398" s="89"/>
      <c r="D398" s="89"/>
      <c r="E398" s="89"/>
      <c r="F398" s="89"/>
      <c r="G398" s="89"/>
      <c r="H398" s="89"/>
      <c r="I398" s="33"/>
      <c r="J398" s="9"/>
      <c r="K398" s="9"/>
      <c r="AB398" s="26">
        <f t="shared" si="30"/>
        <v>0</v>
      </c>
      <c r="AC398" s="26">
        <f t="shared" si="31"/>
        <v>0</v>
      </c>
      <c r="AD398" s="26">
        <f t="shared" si="32"/>
        <v>0</v>
      </c>
      <c r="AE398" s="26">
        <f t="shared" si="33"/>
        <v>0</v>
      </c>
      <c r="AF398" s="26">
        <f t="shared" si="34"/>
        <v>0</v>
      </c>
      <c r="AG398" s="26">
        <f t="shared" si="35"/>
        <v>0</v>
      </c>
    </row>
    <row r="399" spans="1:33" x14ac:dyDescent="0.2">
      <c r="A399" s="89"/>
      <c r="B399" s="89"/>
      <c r="C399" s="89"/>
      <c r="D399" s="89"/>
      <c r="E399" s="89"/>
      <c r="F399" s="89"/>
      <c r="G399" s="89"/>
      <c r="H399" s="89"/>
      <c r="I399" s="33"/>
      <c r="J399" s="9"/>
      <c r="K399" s="9"/>
      <c r="AB399" s="26">
        <f t="shared" ref="AB399:AB462" si="36">IF(AND($D399="Question",$H399="OK"),1,0)</f>
        <v>0</v>
      </c>
      <c r="AC399" s="26">
        <f t="shared" ref="AC399:AC462" si="37">IF(AND($D399="Question",$H399="OK with hints"),1,0)</f>
        <v>0</v>
      </c>
      <c r="AD399" s="26">
        <f t="shared" ref="AD399:AD462" si="38">IF(AND($D399="Question",$H399="Minor non-conformity"),1,0)</f>
        <v>0</v>
      </c>
      <c r="AE399" s="26">
        <f t="shared" ref="AE399:AE462" si="39">IF(AND($D399="Question",$H399="Major non-conformity"),1,0)</f>
        <v>0</v>
      </c>
      <c r="AF399" s="26">
        <f t="shared" ref="AF399:AF462" si="40">IF(AND($D399="Question",$H399="Not applicable"),1,0)</f>
        <v>0</v>
      </c>
      <c r="AG399" s="26">
        <f t="shared" ref="AG399:AG462" si="41">IF(AND($D399="Question",$H399=""),1,0)</f>
        <v>0</v>
      </c>
    </row>
    <row r="400" spans="1:33" x14ac:dyDescent="0.2">
      <c r="A400" s="89"/>
      <c r="B400" s="89"/>
      <c r="C400" s="89"/>
      <c r="D400" s="89"/>
      <c r="E400" s="89"/>
      <c r="F400" s="89"/>
      <c r="G400" s="89"/>
      <c r="H400" s="89"/>
      <c r="I400" s="33"/>
      <c r="J400" s="9"/>
      <c r="K400" s="9"/>
      <c r="AB400" s="26">
        <f t="shared" si="36"/>
        <v>0</v>
      </c>
      <c r="AC400" s="26">
        <f t="shared" si="37"/>
        <v>0</v>
      </c>
      <c r="AD400" s="26">
        <f t="shared" si="38"/>
        <v>0</v>
      </c>
      <c r="AE400" s="26">
        <f t="shared" si="39"/>
        <v>0</v>
      </c>
      <c r="AF400" s="26">
        <f t="shared" si="40"/>
        <v>0</v>
      </c>
      <c r="AG400" s="26">
        <f t="shared" si="41"/>
        <v>0</v>
      </c>
    </row>
    <row r="401" spans="1:33" x14ac:dyDescent="0.2">
      <c r="A401" s="89"/>
      <c r="B401" s="89"/>
      <c r="C401" s="89"/>
      <c r="D401" s="89"/>
      <c r="E401" s="89"/>
      <c r="F401" s="89"/>
      <c r="G401" s="89"/>
      <c r="H401" s="89"/>
      <c r="I401" s="33"/>
      <c r="J401" s="9"/>
      <c r="K401" s="9"/>
      <c r="AB401" s="26">
        <f t="shared" si="36"/>
        <v>0</v>
      </c>
      <c r="AC401" s="26">
        <f t="shared" si="37"/>
        <v>0</v>
      </c>
      <c r="AD401" s="26">
        <f t="shared" si="38"/>
        <v>0</v>
      </c>
      <c r="AE401" s="26">
        <f t="shared" si="39"/>
        <v>0</v>
      </c>
      <c r="AF401" s="26">
        <f t="shared" si="40"/>
        <v>0</v>
      </c>
      <c r="AG401" s="26">
        <f t="shared" si="41"/>
        <v>0</v>
      </c>
    </row>
    <row r="402" spans="1:33" x14ac:dyDescent="0.2">
      <c r="A402" s="89"/>
      <c r="B402" s="89"/>
      <c r="C402" s="89"/>
      <c r="D402" s="89"/>
      <c r="E402" s="89"/>
      <c r="F402" s="89"/>
      <c r="G402" s="89"/>
      <c r="H402" s="89"/>
      <c r="I402" s="33"/>
      <c r="J402" s="9"/>
      <c r="K402" s="9"/>
      <c r="AB402" s="26">
        <f t="shared" si="36"/>
        <v>0</v>
      </c>
      <c r="AC402" s="26">
        <f t="shared" si="37"/>
        <v>0</v>
      </c>
      <c r="AD402" s="26">
        <f t="shared" si="38"/>
        <v>0</v>
      </c>
      <c r="AE402" s="26">
        <f t="shared" si="39"/>
        <v>0</v>
      </c>
      <c r="AF402" s="26">
        <f t="shared" si="40"/>
        <v>0</v>
      </c>
      <c r="AG402" s="26">
        <f t="shared" si="41"/>
        <v>0</v>
      </c>
    </row>
    <row r="403" spans="1:33" x14ac:dyDescent="0.2">
      <c r="A403" s="89"/>
      <c r="B403" s="89"/>
      <c r="C403" s="89"/>
      <c r="D403" s="89"/>
      <c r="E403" s="89"/>
      <c r="F403" s="89"/>
      <c r="G403" s="89"/>
      <c r="H403" s="89"/>
      <c r="I403" s="33"/>
      <c r="J403" s="9"/>
      <c r="K403" s="9"/>
      <c r="AB403" s="26">
        <f t="shared" si="36"/>
        <v>0</v>
      </c>
      <c r="AC403" s="26">
        <f t="shared" si="37"/>
        <v>0</v>
      </c>
      <c r="AD403" s="26">
        <f t="shared" si="38"/>
        <v>0</v>
      </c>
      <c r="AE403" s="26">
        <f t="shared" si="39"/>
        <v>0</v>
      </c>
      <c r="AF403" s="26">
        <f t="shared" si="40"/>
        <v>0</v>
      </c>
      <c r="AG403" s="26">
        <f t="shared" si="41"/>
        <v>0</v>
      </c>
    </row>
    <row r="404" spans="1:33" x14ac:dyDescent="0.2">
      <c r="A404" s="89"/>
      <c r="B404" s="89"/>
      <c r="C404" s="89"/>
      <c r="D404" s="89"/>
      <c r="E404" s="89"/>
      <c r="F404" s="89"/>
      <c r="G404" s="89"/>
      <c r="H404" s="89"/>
      <c r="I404" s="33"/>
      <c r="J404" s="9"/>
      <c r="K404" s="9"/>
      <c r="AB404" s="26">
        <f t="shared" si="36"/>
        <v>0</v>
      </c>
      <c r="AC404" s="26">
        <f t="shared" si="37"/>
        <v>0</v>
      </c>
      <c r="AD404" s="26">
        <f t="shared" si="38"/>
        <v>0</v>
      </c>
      <c r="AE404" s="26">
        <f t="shared" si="39"/>
        <v>0</v>
      </c>
      <c r="AF404" s="26">
        <f t="shared" si="40"/>
        <v>0</v>
      </c>
      <c r="AG404" s="26">
        <f t="shared" si="41"/>
        <v>0</v>
      </c>
    </row>
    <row r="405" spans="1:33" x14ac:dyDescent="0.2">
      <c r="A405" s="89"/>
      <c r="B405" s="89"/>
      <c r="C405" s="89"/>
      <c r="D405" s="89"/>
      <c r="E405" s="89"/>
      <c r="F405" s="89"/>
      <c r="G405" s="89"/>
      <c r="H405" s="89"/>
      <c r="I405" s="33"/>
      <c r="J405" s="9"/>
      <c r="K405" s="9"/>
      <c r="AB405" s="26">
        <f t="shared" si="36"/>
        <v>0</v>
      </c>
      <c r="AC405" s="26">
        <f t="shared" si="37"/>
        <v>0</v>
      </c>
      <c r="AD405" s="26">
        <f t="shared" si="38"/>
        <v>0</v>
      </c>
      <c r="AE405" s="26">
        <f t="shared" si="39"/>
        <v>0</v>
      </c>
      <c r="AF405" s="26">
        <f t="shared" si="40"/>
        <v>0</v>
      </c>
      <c r="AG405" s="26">
        <f t="shared" si="41"/>
        <v>0</v>
      </c>
    </row>
    <row r="406" spans="1:33" x14ac:dyDescent="0.2">
      <c r="A406" s="89"/>
      <c r="B406" s="89"/>
      <c r="C406" s="89"/>
      <c r="D406" s="89"/>
      <c r="E406" s="89"/>
      <c r="F406" s="89"/>
      <c r="G406" s="89"/>
      <c r="H406" s="89"/>
      <c r="I406" s="33"/>
      <c r="J406" s="9"/>
      <c r="K406" s="9"/>
      <c r="AB406" s="26">
        <f t="shared" si="36"/>
        <v>0</v>
      </c>
      <c r="AC406" s="26">
        <f t="shared" si="37"/>
        <v>0</v>
      </c>
      <c r="AD406" s="26">
        <f t="shared" si="38"/>
        <v>0</v>
      </c>
      <c r="AE406" s="26">
        <f t="shared" si="39"/>
        <v>0</v>
      </c>
      <c r="AF406" s="26">
        <f t="shared" si="40"/>
        <v>0</v>
      </c>
      <c r="AG406" s="26">
        <f t="shared" si="41"/>
        <v>0</v>
      </c>
    </row>
    <row r="407" spans="1:33" x14ac:dyDescent="0.2">
      <c r="A407" s="89"/>
      <c r="B407" s="89"/>
      <c r="C407" s="89"/>
      <c r="D407" s="89"/>
      <c r="E407" s="89"/>
      <c r="F407" s="89"/>
      <c r="G407" s="89"/>
      <c r="H407" s="89"/>
      <c r="I407" s="33"/>
      <c r="J407" s="9"/>
      <c r="K407" s="9"/>
      <c r="AB407" s="26">
        <f t="shared" si="36"/>
        <v>0</v>
      </c>
      <c r="AC407" s="26">
        <f t="shared" si="37"/>
        <v>0</v>
      </c>
      <c r="AD407" s="26">
        <f t="shared" si="38"/>
        <v>0</v>
      </c>
      <c r="AE407" s="26">
        <f t="shared" si="39"/>
        <v>0</v>
      </c>
      <c r="AF407" s="26">
        <f t="shared" si="40"/>
        <v>0</v>
      </c>
      <c r="AG407" s="26">
        <f t="shared" si="41"/>
        <v>0</v>
      </c>
    </row>
    <row r="408" spans="1:33" x14ac:dyDescent="0.2">
      <c r="A408" s="89"/>
      <c r="B408" s="89"/>
      <c r="C408" s="89"/>
      <c r="D408" s="89"/>
      <c r="E408" s="89"/>
      <c r="F408" s="89"/>
      <c r="G408" s="89"/>
      <c r="H408" s="89"/>
      <c r="I408" s="33"/>
      <c r="J408" s="9"/>
      <c r="K408" s="9"/>
      <c r="AB408" s="26">
        <f t="shared" si="36"/>
        <v>0</v>
      </c>
      <c r="AC408" s="26">
        <f t="shared" si="37"/>
        <v>0</v>
      </c>
      <c r="AD408" s="26">
        <f t="shared" si="38"/>
        <v>0</v>
      </c>
      <c r="AE408" s="26">
        <f t="shared" si="39"/>
        <v>0</v>
      </c>
      <c r="AF408" s="26">
        <f t="shared" si="40"/>
        <v>0</v>
      </c>
      <c r="AG408" s="26">
        <f t="shared" si="41"/>
        <v>0</v>
      </c>
    </row>
    <row r="409" spans="1:33" x14ac:dyDescent="0.2">
      <c r="A409" s="89"/>
      <c r="B409" s="89"/>
      <c r="C409" s="89"/>
      <c r="D409" s="89"/>
      <c r="E409" s="89"/>
      <c r="F409" s="89"/>
      <c r="G409" s="89"/>
      <c r="H409" s="89"/>
      <c r="I409" s="33"/>
      <c r="J409" s="9"/>
      <c r="K409" s="9"/>
      <c r="AB409" s="26">
        <f t="shared" si="36"/>
        <v>0</v>
      </c>
      <c r="AC409" s="26">
        <f t="shared" si="37"/>
        <v>0</v>
      </c>
      <c r="AD409" s="26">
        <f t="shared" si="38"/>
        <v>0</v>
      </c>
      <c r="AE409" s="26">
        <f t="shared" si="39"/>
        <v>0</v>
      </c>
      <c r="AF409" s="26">
        <f t="shared" si="40"/>
        <v>0</v>
      </c>
      <c r="AG409" s="26">
        <f t="shared" si="41"/>
        <v>0</v>
      </c>
    </row>
    <row r="410" spans="1:33" x14ac:dyDescent="0.2">
      <c r="A410" s="89"/>
      <c r="B410" s="89"/>
      <c r="C410" s="89"/>
      <c r="D410" s="89"/>
      <c r="E410" s="89"/>
      <c r="F410" s="89"/>
      <c r="G410" s="89"/>
      <c r="H410" s="89"/>
      <c r="I410" s="33"/>
      <c r="J410" s="9"/>
      <c r="K410" s="9"/>
      <c r="AB410" s="26">
        <f t="shared" si="36"/>
        <v>0</v>
      </c>
      <c r="AC410" s="26">
        <f t="shared" si="37"/>
        <v>0</v>
      </c>
      <c r="AD410" s="26">
        <f t="shared" si="38"/>
        <v>0</v>
      </c>
      <c r="AE410" s="26">
        <f t="shared" si="39"/>
        <v>0</v>
      </c>
      <c r="AF410" s="26">
        <f t="shared" si="40"/>
        <v>0</v>
      </c>
      <c r="AG410" s="26">
        <f t="shared" si="41"/>
        <v>0</v>
      </c>
    </row>
    <row r="411" spans="1:33" x14ac:dyDescent="0.2">
      <c r="A411" s="89"/>
      <c r="B411" s="89"/>
      <c r="C411" s="89"/>
      <c r="D411" s="89"/>
      <c r="E411" s="89"/>
      <c r="F411" s="89"/>
      <c r="G411" s="89"/>
      <c r="H411" s="89"/>
      <c r="I411" s="33"/>
      <c r="J411" s="9"/>
      <c r="K411" s="9"/>
      <c r="AB411" s="26">
        <f t="shared" si="36"/>
        <v>0</v>
      </c>
      <c r="AC411" s="26">
        <f t="shared" si="37"/>
        <v>0</v>
      </c>
      <c r="AD411" s="26">
        <f t="shared" si="38"/>
        <v>0</v>
      </c>
      <c r="AE411" s="26">
        <f t="shared" si="39"/>
        <v>0</v>
      </c>
      <c r="AF411" s="26">
        <f t="shared" si="40"/>
        <v>0</v>
      </c>
      <c r="AG411" s="26">
        <f t="shared" si="41"/>
        <v>0</v>
      </c>
    </row>
    <row r="412" spans="1:33" x14ac:dyDescent="0.2">
      <c r="A412" s="89"/>
      <c r="B412" s="89"/>
      <c r="C412" s="89"/>
      <c r="D412" s="89"/>
      <c r="E412" s="89"/>
      <c r="F412" s="89"/>
      <c r="G412" s="89"/>
      <c r="H412" s="89"/>
      <c r="I412" s="33"/>
      <c r="J412" s="9"/>
      <c r="K412" s="9"/>
      <c r="AB412" s="26">
        <f t="shared" si="36"/>
        <v>0</v>
      </c>
      <c r="AC412" s="26">
        <f t="shared" si="37"/>
        <v>0</v>
      </c>
      <c r="AD412" s="26">
        <f t="shared" si="38"/>
        <v>0</v>
      </c>
      <c r="AE412" s="26">
        <f t="shared" si="39"/>
        <v>0</v>
      </c>
      <c r="AF412" s="26">
        <f t="shared" si="40"/>
        <v>0</v>
      </c>
      <c r="AG412" s="26">
        <f t="shared" si="41"/>
        <v>0</v>
      </c>
    </row>
    <row r="413" spans="1:33" x14ac:dyDescent="0.2">
      <c r="A413" s="89"/>
      <c r="B413" s="89"/>
      <c r="C413" s="89"/>
      <c r="D413" s="89"/>
      <c r="E413" s="89"/>
      <c r="F413" s="89"/>
      <c r="G413" s="89"/>
      <c r="H413" s="89"/>
      <c r="I413" s="33"/>
      <c r="J413" s="9"/>
      <c r="K413" s="9"/>
      <c r="AB413" s="26">
        <f t="shared" si="36"/>
        <v>0</v>
      </c>
      <c r="AC413" s="26">
        <f t="shared" si="37"/>
        <v>0</v>
      </c>
      <c r="AD413" s="26">
        <f t="shared" si="38"/>
        <v>0</v>
      </c>
      <c r="AE413" s="26">
        <f t="shared" si="39"/>
        <v>0</v>
      </c>
      <c r="AF413" s="26">
        <f t="shared" si="40"/>
        <v>0</v>
      </c>
      <c r="AG413" s="26">
        <f t="shared" si="41"/>
        <v>0</v>
      </c>
    </row>
    <row r="414" spans="1:33" x14ac:dyDescent="0.2">
      <c r="A414" s="89"/>
      <c r="B414" s="89"/>
      <c r="C414" s="89"/>
      <c r="D414" s="89"/>
      <c r="E414" s="89"/>
      <c r="F414" s="89"/>
      <c r="G414" s="89"/>
      <c r="H414" s="89"/>
      <c r="I414" s="33"/>
      <c r="J414" s="9"/>
      <c r="K414" s="9"/>
      <c r="AB414" s="26">
        <f t="shared" si="36"/>
        <v>0</v>
      </c>
      <c r="AC414" s="26">
        <f t="shared" si="37"/>
        <v>0</v>
      </c>
      <c r="AD414" s="26">
        <f t="shared" si="38"/>
        <v>0</v>
      </c>
      <c r="AE414" s="26">
        <f t="shared" si="39"/>
        <v>0</v>
      </c>
      <c r="AF414" s="26">
        <f t="shared" si="40"/>
        <v>0</v>
      </c>
      <c r="AG414" s="26">
        <f t="shared" si="41"/>
        <v>0</v>
      </c>
    </row>
    <row r="415" spans="1:33" x14ac:dyDescent="0.2">
      <c r="A415" s="89"/>
      <c r="B415" s="89"/>
      <c r="C415" s="89"/>
      <c r="D415" s="89"/>
      <c r="E415" s="89"/>
      <c r="F415" s="89"/>
      <c r="G415" s="89"/>
      <c r="H415" s="89"/>
      <c r="I415" s="33"/>
      <c r="J415" s="9"/>
      <c r="K415" s="9"/>
      <c r="AB415" s="26">
        <f t="shared" si="36"/>
        <v>0</v>
      </c>
      <c r="AC415" s="26">
        <f t="shared" si="37"/>
        <v>0</v>
      </c>
      <c r="AD415" s="26">
        <f t="shared" si="38"/>
        <v>0</v>
      </c>
      <c r="AE415" s="26">
        <f t="shared" si="39"/>
        <v>0</v>
      </c>
      <c r="AF415" s="26">
        <f t="shared" si="40"/>
        <v>0</v>
      </c>
      <c r="AG415" s="26">
        <f t="shared" si="41"/>
        <v>0</v>
      </c>
    </row>
    <row r="416" spans="1:33" x14ac:dyDescent="0.2">
      <c r="A416" s="89"/>
      <c r="B416" s="89"/>
      <c r="C416" s="89"/>
      <c r="D416" s="89"/>
      <c r="E416" s="89"/>
      <c r="F416" s="89"/>
      <c r="G416" s="89"/>
      <c r="H416" s="89"/>
      <c r="I416" s="33"/>
      <c r="J416" s="9"/>
      <c r="K416" s="9"/>
      <c r="AB416" s="26">
        <f t="shared" si="36"/>
        <v>0</v>
      </c>
      <c r="AC416" s="26">
        <f t="shared" si="37"/>
        <v>0</v>
      </c>
      <c r="AD416" s="26">
        <f t="shared" si="38"/>
        <v>0</v>
      </c>
      <c r="AE416" s="26">
        <f t="shared" si="39"/>
        <v>0</v>
      </c>
      <c r="AF416" s="26">
        <f t="shared" si="40"/>
        <v>0</v>
      </c>
      <c r="AG416" s="26">
        <f t="shared" si="41"/>
        <v>0</v>
      </c>
    </row>
    <row r="417" spans="1:33" x14ac:dyDescent="0.2">
      <c r="A417" s="89"/>
      <c r="B417" s="89"/>
      <c r="C417" s="89"/>
      <c r="D417" s="89"/>
      <c r="E417" s="89"/>
      <c r="F417" s="89"/>
      <c r="G417" s="89"/>
      <c r="H417" s="89"/>
      <c r="I417" s="33"/>
      <c r="J417" s="9"/>
      <c r="K417" s="9"/>
      <c r="AB417" s="26">
        <f t="shared" si="36"/>
        <v>0</v>
      </c>
      <c r="AC417" s="26">
        <f t="shared" si="37"/>
        <v>0</v>
      </c>
      <c r="AD417" s="26">
        <f t="shared" si="38"/>
        <v>0</v>
      </c>
      <c r="AE417" s="26">
        <f t="shared" si="39"/>
        <v>0</v>
      </c>
      <c r="AF417" s="26">
        <f t="shared" si="40"/>
        <v>0</v>
      </c>
      <c r="AG417" s="26">
        <f t="shared" si="41"/>
        <v>0</v>
      </c>
    </row>
    <row r="418" spans="1:33" x14ac:dyDescent="0.2">
      <c r="A418" s="89"/>
      <c r="B418" s="89"/>
      <c r="C418" s="89"/>
      <c r="D418" s="89"/>
      <c r="E418" s="89"/>
      <c r="F418" s="89"/>
      <c r="G418" s="89"/>
      <c r="H418" s="89"/>
      <c r="I418" s="33"/>
      <c r="J418" s="9"/>
      <c r="K418" s="9"/>
      <c r="AB418" s="26">
        <f t="shared" si="36"/>
        <v>0</v>
      </c>
      <c r="AC418" s="26">
        <f t="shared" si="37"/>
        <v>0</v>
      </c>
      <c r="AD418" s="26">
        <f t="shared" si="38"/>
        <v>0</v>
      </c>
      <c r="AE418" s="26">
        <f t="shared" si="39"/>
        <v>0</v>
      </c>
      <c r="AF418" s="26">
        <f t="shared" si="40"/>
        <v>0</v>
      </c>
      <c r="AG418" s="26">
        <f t="shared" si="41"/>
        <v>0</v>
      </c>
    </row>
    <row r="419" spans="1:33" x14ac:dyDescent="0.2">
      <c r="A419" s="89"/>
      <c r="B419" s="89"/>
      <c r="C419" s="89"/>
      <c r="D419" s="89"/>
      <c r="E419" s="89"/>
      <c r="F419" s="89"/>
      <c r="G419" s="89"/>
      <c r="H419" s="89"/>
      <c r="I419" s="33"/>
      <c r="J419" s="9"/>
      <c r="K419" s="9"/>
      <c r="AB419" s="26">
        <f t="shared" si="36"/>
        <v>0</v>
      </c>
      <c r="AC419" s="26">
        <f t="shared" si="37"/>
        <v>0</v>
      </c>
      <c r="AD419" s="26">
        <f t="shared" si="38"/>
        <v>0</v>
      </c>
      <c r="AE419" s="26">
        <f t="shared" si="39"/>
        <v>0</v>
      </c>
      <c r="AF419" s="26">
        <f t="shared" si="40"/>
        <v>0</v>
      </c>
      <c r="AG419" s="26">
        <f t="shared" si="41"/>
        <v>0</v>
      </c>
    </row>
    <row r="420" spans="1:33" x14ac:dyDescent="0.2">
      <c r="A420" s="89"/>
      <c r="B420" s="89"/>
      <c r="C420" s="89"/>
      <c r="D420" s="89"/>
      <c r="E420" s="89"/>
      <c r="F420" s="89"/>
      <c r="G420" s="89"/>
      <c r="H420" s="89"/>
      <c r="I420" s="33"/>
      <c r="J420" s="9"/>
      <c r="K420" s="9"/>
      <c r="AB420" s="26">
        <f t="shared" si="36"/>
        <v>0</v>
      </c>
      <c r="AC420" s="26">
        <f t="shared" si="37"/>
        <v>0</v>
      </c>
      <c r="AD420" s="26">
        <f t="shared" si="38"/>
        <v>0</v>
      </c>
      <c r="AE420" s="26">
        <f t="shared" si="39"/>
        <v>0</v>
      </c>
      <c r="AF420" s="26">
        <f t="shared" si="40"/>
        <v>0</v>
      </c>
      <c r="AG420" s="26">
        <f t="shared" si="41"/>
        <v>0</v>
      </c>
    </row>
    <row r="421" spans="1:33" x14ac:dyDescent="0.2">
      <c r="A421" s="89"/>
      <c r="B421" s="89"/>
      <c r="C421" s="89"/>
      <c r="D421" s="89"/>
      <c r="E421" s="89"/>
      <c r="F421" s="89"/>
      <c r="G421" s="89"/>
      <c r="H421" s="89"/>
      <c r="I421" s="33"/>
      <c r="J421" s="9"/>
      <c r="K421" s="9"/>
      <c r="AB421" s="26">
        <f t="shared" si="36"/>
        <v>0</v>
      </c>
      <c r="AC421" s="26">
        <f t="shared" si="37"/>
        <v>0</v>
      </c>
      <c r="AD421" s="26">
        <f t="shared" si="38"/>
        <v>0</v>
      </c>
      <c r="AE421" s="26">
        <f t="shared" si="39"/>
        <v>0</v>
      </c>
      <c r="AF421" s="26">
        <f t="shared" si="40"/>
        <v>0</v>
      </c>
      <c r="AG421" s="26">
        <f t="shared" si="41"/>
        <v>0</v>
      </c>
    </row>
    <row r="422" spans="1:33" x14ac:dyDescent="0.2">
      <c r="A422" s="89"/>
      <c r="B422" s="89"/>
      <c r="C422" s="89"/>
      <c r="D422" s="89"/>
      <c r="E422" s="89"/>
      <c r="F422" s="89"/>
      <c r="G422" s="89"/>
      <c r="H422" s="89"/>
      <c r="I422" s="33"/>
      <c r="J422" s="9"/>
      <c r="K422" s="9"/>
      <c r="AB422" s="26">
        <f t="shared" si="36"/>
        <v>0</v>
      </c>
      <c r="AC422" s="26">
        <f t="shared" si="37"/>
        <v>0</v>
      </c>
      <c r="AD422" s="26">
        <f t="shared" si="38"/>
        <v>0</v>
      </c>
      <c r="AE422" s="26">
        <f t="shared" si="39"/>
        <v>0</v>
      </c>
      <c r="AF422" s="26">
        <f t="shared" si="40"/>
        <v>0</v>
      </c>
      <c r="AG422" s="26">
        <f t="shared" si="41"/>
        <v>0</v>
      </c>
    </row>
    <row r="423" spans="1:33" x14ac:dyDescent="0.2">
      <c r="A423" s="89"/>
      <c r="B423" s="89"/>
      <c r="C423" s="89"/>
      <c r="D423" s="89"/>
      <c r="E423" s="89"/>
      <c r="F423" s="89"/>
      <c r="G423" s="89"/>
      <c r="H423" s="89"/>
      <c r="I423" s="33"/>
      <c r="J423" s="9"/>
      <c r="K423" s="9"/>
      <c r="AB423" s="26">
        <f t="shared" si="36"/>
        <v>0</v>
      </c>
      <c r="AC423" s="26">
        <f t="shared" si="37"/>
        <v>0</v>
      </c>
      <c r="AD423" s="26">
        <f t="shared" si="38"/>
        <v>0</v>
      </c>
      <c r="AE423" s="26">
        <f t="shared" si="39"/>
        <v>0</v>
      </c>
      <c r="AF423" s="26">
        <f t="shared" si="40"/>
        <v>0</v>
      </c>
      <c r="AG423" s="26">
        <f t="shared" si="41"/>
        <v>0</v>
      </c>
    </row>
    <row r="424" spans="1:33" x14ac:dyDescent="0.2">
      <c r="A424" s="89"/>
      <c r="B424" s="89"/>
      <c r="C424" s="89"/>
      <c r="D424" s="89"/>
      <c r="E424" s="89"/>
      <c r="F424" s="89"/>
      <c r="G424" s="89"/>
      <c r="H424" s="89"/>
      <c r="I424" s="33"/>
      <c r="J424" s="9"/>
      <c r="K424" s="9"/>
      <c r="AB424" s="26">
        <f t="shared" si="36"/>
        <v>0</v>
      </c>
      <c r="AC424" s="26">
        <f t="shared" si="37"/>
        <v>0</v>
      </c>
      <c r="AD424" s="26">
        <f t="shared" si="38"/>
        <v>0</v>
      </c>
      <c r="AE424" s="26">
        <f t="shared" si="39"/>
        <v>0</v>
      </c>
      <c r="AF424" s="26">
        <f t="shared" si="40"/>
        <v>0</v>
      </c>
      <c r="AG424" s="26">
        <f t="shared" si="41"/>
        <v>0</v>
      </c>
    </row>
    <row r="425" spans="1:33" x14ac:dyDescent="0.2">
      <c r="A425" s="89"/>
      <c r="B425" s="89"/>
      <c r="C425" s="89"/>
      <c r="D425" s="89"/>
      <c r="E425" s="89"/>
      <c r="F425" s="89"/>
      <c r="G425" s="89"/>
      <c r="H425" s="89"/>
      <c r="I425" s="33"/>
      <c r="J425" s="9"/>
      <c r="K425" s="9"/>
      <c r="AB425" s="26">
        <f t="shared" si="36"/>
        <v>0</v>
      </c>
      <c r="AC425" s="26">
        <f t="shared" si="37"/>
        <v>0</v>
      </c>
      <c r="AD425" s="26">
        <f t="shared" si="38"/>
        <v>0</v>
      </c>
      <c r="AE425" s="26">
        <f t="shared" si="39"/>
        <v>0</v>
      </c>
      <c r="AF425" s="26">
        <f t="shared" si="40"/>
        <v>0</v>
      </c>
      <c r="AG425" s="26">
        <f t="shared" si="41"/>
        <v>0</v>
      </c>
    </row>
    <row r="426" spans="1:33" x14ac:dyDescent="0.2">
      <c r="A426" s="89"/>
      <c r="B426" s="89"/>
      <c r="C426" s="89"/>
      <c r="D426" s="89"/>
      <c r="E426" s="89"/>
      <c r="F426" s="89"/>
      <c r="G426" s="89"/>
      <c r="H426" s="89"/>
      <c r="I426" s="33"/>
      <c r="J426" s="9"/>
      <c r="K426" s="9"/>
      <c r="AB426" s="26">
        <f t="shared" si="36"/>
        <v>0</v>
      </c>
      <c r="AC426" s="26">
        <f t="shared" si="37"/>
        <v>0</v>
      </c>
      <c r="AD426" s="26">
        <f t="shared" si="38"/>
        <v>0</v>
      </c>
      <c r="AE426" s="26">
        <f t="shared" si="39"/>
        <v>0</v>
      </c>
      <c r="AF426" s="26">
        <f t="shared" si="40"/>
        <v>0</v>
      </c>
      <c r="AG426" s="26">
        <f t="shared" si="41"/>
        <v>0</v>
      </c>
    </row>
    <row r="427" spans="1:33" x14ac:dyDescent="0.2">
      <c r="A427" s="89"/>
      <c r="B427" s="89"/>
      <c r="C427" s="89"/>
      <c r="D427" s="89"/>
      <c r="E427" s="89"/>
      <c r="F427" s="89"/>
      <c r="G427" s="89"/>
      <c r="H427" s="89"/>
      <c r="I427" s="33"/>
      <c r="J427" s="9"/>
      <c r="K427" s="9"/>
      <c r="AB427" s="26">
        <f t="shared" si="36"/>
        <v>0</v>
      </c>
      <c r="AC427" s="26">
        <f t="shared" si="37"/>
        <v>0</v>
      </c>
      <c r="AD427" s="26">
        <f t="shared" si="38"/>
        <v>0</v>
      </c>
      <c r="AE427" s="26">
        <f t="shared" si="39"/>
        <v>0</v>
      </c>
      <c r="AF427" s="26">
        <f t="shared" si="40"/>
        <v>0</v>
      </c>
      <c r="AG427" s="26">
        <f t="shared" si="41"/>
        <v>0</v>
      </c>
    </row>
    <row r="428" spans="1:33" x14ac:dyDescent="0.2">
      <c r="A428" s="89"/>
      <c r="B428" s="89"/>
      <c r="C428" s="89"/>
      <c r="D428" s="89"/>
      <c r="E428" s="89"/>
      <c r="F428" s="89"/>
      <c r="G428" s="89"/>
      <c r="H428" s="89"/>
      <c r="I428" s="33"/>
      <c r="J428" s="9"/>
      <c r="K428" s="9"/>
      <c r="AB428" s="26">
        <f t="shared" si="36"/>
        <v>0</v>
      </c>
      <c r="AC428" s="26">
        <f t="shared" si="37"/>
        <v>0</v>
      </c>
      <c r="AD428" s="26">
        <f t="shared" si="38"/>
        <v>0</v>
      </c>
      <c r="AE428" s="26">
        <f t="shared" si="39"/>
        <v>0</v>
      </c>
      <c r="AF428" s="26">
        <f t="shared" si="40"/>
        <v>0</v>
      </c>
      <c r="AG428" s="26">
        <f t="shared" si="41"/>
        <v>0</v>
      </c>
    </row>
    <row r="429" spans="1:33" x14ac:dyDescent="0.2">
      <c r="A429" s="89"/>
      <c r="B429" s="89"/>
      <c r="C429" s="89"/>
      <c r="D429" s="89"/>
      <c r="E429" s="89"/>
      <c r="F429" s="89"/>
      <c r="G429" s="89"/>
      <c r="H429" s="89"/>
      <c r="I429" s="33"/>
      <c r="J429" s="9"/>
      <c r="K429" s="9"/>
      <c r="AB429" s="26">
        <f t="shared" si="36"/>
        <v>0</v>
      </c>
      <c r="AC429" s="26">
        <f t="shared" si="37"/>
        <v>0</v>
      </c>
      <c r="AD429" s="26">
        <f t="shared" si="38"/>
        <v>0</v>
      </c>
      <c r="AE429" s="26">
        <f t="shared" si="39"/>
        <v>0</v>
      </c>
      <c r="AF429" s="26">
        <f t="shared" si="40"/>
        <v>0</v>
      </c>
      <c r="AG429" s="26">
        <f t="shared" si="41"/>
        <v>0</v>
      </c>
    </row>
    <row r="430" spans="1:33" x14ac:dyDescent="0.2">
      <c r="A430" s="89"/>
      <c r="B430" s="89"/>
      <c r="C430" s="89"/>
      <c r="D430" s="89"/>
      <c r="E430" s="89"/>
      <c r="F430" s="89"/>
      <c r="G430" s="89"/>
      <c r="H430" s="89"/>
      <c r="I430" s="33"/>
      <c r="J430" s="9"/>
      <c r="K430" s="9"/>
      <c r="AB430" s="26">
        <f t="shared" si="36"/>
        <v>0</v>
      </c>
      <c r="AC430" s="26">
        <f t="shared" si="37"/>
        <v>0</v>
      </c>
      <c r="AD430" s="26">
        <f t="shared" si="38"/>
        <v>0</v>
      </c>
      <c r="AE430" s="26">
        <f t="shared" si="39"/>
        <v>0</v>
      </c>
      <c r="AF430" s="26">
        <f t="shared" si="40"/>
        <v>0</v>
      </c>
      <c r="AG430" s="26">
        <f t="shared" si="41"/>
        <v>0</v>
      </c>
    </row>
    <row r="431" spans="1:33" x14ac:dyDescent="0.2">
      <c r="A431" s="89"/>
      <c r="B431" s="89"/>
      <c r="C431" s="89"/>
      <c r="D431" s="89"/>
      <c r="E431" s="89"/>
      <c r="F431" s="89"/>
      <c r="G431" s="89"/>
      <c r="H431" s="89"/>
      <c r="I431" s="33"/>
      <c r="J431" s="9"/>
      <c r="K431" s="9"/>
      <c r="AB431" s="26">
        <f t="shared" si="36"/>
        <v>0</v>
      </c>
      <c r="AC431" s="26">
        <f t="shared" si="37"/>
        <v>0</v>
      </c>
      <c r="AD431" s="26">
        <f t="shared" si="38"/>
        <v>0</v>
      </c>
      <c r="AE431" s="26">
        <f t="shared" si="39"/>
        <v>0</v>
      </c>
      <c r="AF431" s="26">
        <f t="shared" si="40"/>
        <v>0</v>
      </c>
      <c r="AG431" s="26">
        <f t="shared" si="41"/>
        <v>0</v>
      </c>
    </row>
    <row r="432" spans="1:33" x14ac:dyDescent="0.2">
      <c r="A432" s="89"/>
      <c r="B432" s="89"/>
      <c r="C432" s="89"/>
      <c r="D432" s="89"/>
      <c r="E432" s="89"/>
      <c r="F432" s="89"/>
      <c r="G432" s="89"/>
      <c r="H432" s="89"/>
      <c r="I432" s="33"/>
      <c r="J432" s="9"/>
      <c r="K432" s="9"/>
      <c r="AB432" s="26">
        <f t="shared" si="36"/>
        <v>0</v>
      </c>
      <c r="AC432" s="26">
        <f t="shared" si="37"/>
        <v>0</v>
      </c>
      <c r="AD432" s="26">
        <f t="shared" si="38"/>
        <v>0</v>
      </c>
      <c r="AE432" s="26">
        <f t="shared" si="39"/>
        <v>0</v>
      </c>
      <c r="AF432" s="26">
        <f t="shared" si="40"/>
        <v>0</v>
      </c>
      <c r="AG432" s="26">
        <f t="shared" si="41"/>
        <v>0</v>
      </c>
    </row>
    <row r="433" spans="1:33" x14ac:dyDescent="0.2">
      <c r="A433" s="89"/>
      <c r="B433" s="89"/>
      <c r="C433" s="89"/>
      <c r="D433" s="89"/>
      <c r="E433" s="89"/>
      <c r="F433" s="89"/>
      <c r="G433" s="89"/>
      <c r="H433" s="89"/>
      <c r="I433" s="33"/>
      <c r="J433" s="9"/>
      <c r="K433" s="9"/>
      <c r="AB433" s="26">
        <f t="shared" si="36"/>
        <v>0</v>
      </c>
      <c r="AC433" s="26">
        <f t="shared" si="37"/>
        <v>0</v>
      </c>
      <c r="AD433" s="26">
        <f t="shared" si="38"/>
        <v>0</v>
      </c>
      <c r="AE433" s="26">
        <f t="shared" si="39"/>
        <v>0</v>
      </c>
      <c r="AF433" s="26">
        <f t="shared" si="40"/>
        <v>0</v>
      </c>
      <c r="AG433" s="26">
        <f t="shared" si="41"/>
        <v>0</v>
      </c>
    </row>
    <row r="434" spans="1:33" x14ac:dyDescent="0.2">
      <c r="A434" s="89"/>
      <c r="B434" s="89"/>
      <c r="C434" s="89"/>
      <c r="D434" s="89"/>
      <c r="E434" s="89"/>
      <c r="F434" s="89"/>
      <c r="G434" s="89"/>
      <c r="H434" s="89"/>
      <c r="I434" s="33"/>
      <c r="J434" s="9"/>
      <c r="K434" s="9"/>
      <c r="AB434" s="26">
        <f t="shared" si="36"/>
        <v>0</v>
      </c>
      <c r="AC434" s="26">
        <f t="shared" si="37"/>
        <v>0</v>
      </c>
      <c r="AD434" s="26">
        <f t="shared" si="38"/>
        <v>0</v>
      </c>
      <c r="AE434" s="26">
        <f t="shared" si="39"/>
        <v>0</v>
      </c>
      <c r="AF434" s="26">
        <f t="shared" si="40"/>
        <v>0</v>
      </c>
      <c r="AG434" s="26">
        <f t="shared" si="41"/>
        <v>0</v>
      </c>
    </row>
    <row r="435" spans="1:33" x14ac:dyDescent="0.2">
      <c r="A435" s="89"/>
      <c r="B435" s="89"/>
      <c r="C435" s="89"/>
      <c r="D435" s="89"/>
      <c r="E435" s="89"/>
      <c r="F435" s="89"/>
      <c r="G435" s="89"/>
      <c r="H435" s="89"/>
      <c r="I435" s="33"/>
      <c r="J435" s="9"/>
      <c r="K435" s="9"/>
      <c r="AB435" s="26">
        <f t="shared" si="36"/>
        <v>0</v>
      </c>
      <c r="AC435" s="26">
        <f t="shared" si="37"/>
        <v>0</v>
      </c>
      <c r="AD435" s="26">
        <f t="shared" si="38"/>
        <v>0</v>
      </c>
      <c r="AE435" s="26">
        <f t="shared" si="39"/>
        <v>0</v>
      </c>
      <c r="AF435" s="26">
        <f t="shared" si="40"/>
        <v>0</v>
      </c>
      <c r="AG435" s="26">
        <f t="shared" si="41"/>
        <v>0</v>
      </c>
    </row>
    <row r="436" spans="1:33" x14ac:dyDescent="0.2">
      <c r="A436" s="89"/>
      <c r="B436" s="89"/>
      <c r="C436" s="89"/>
      <c r="D436" s="89"/>
      <c r="E436" s="89"/>
      <c r="F436" s="89"/>
      <c r="G436" s="89"/>
      <c r="H436" s="89"/>
      <c r="I436" s="33"/>
      <c r="J436" s="9"/>
      <c r="K436" s="9"/>
      <c r="AB436" s="26">
        <f t="shared" si="36"/>
        <v>0</v>
      </c>
      <c r="AC436" s="26">
        <f t="shared" si="37"/>
        <v>0</v>
      </c>
      <c r="AD436" s="26">
        <f t="shared" si="38"/>
        <v>0</v>
      </c>
      <c r="AE436" s="26">
        <f t="shared" si="39"/>
        <v>0</v>
      </c>
      <c r="AF436" s="26">
        <f t="shared" si="40"/>
        <v>0</v>
      </c>
      <c r="AG436" s="26">
        <f t="shared" si="41"/>
        <v>0</v>
      </c>
    </row>
    <row r="437" spans="1:33" x14ac:dyDescent="0.2">
      <c r="A437" s="89"/>
      <c r="B437" s="89"/>
      <c r="C437" s="89"/>
      <c r="D437" s="89"/>
      <c r="E437" s="89"/>
      <c r="F437" s="89"/>
      <c r="G437" s="89"/>
      <c r="H437" s="89"/>
      <c r="I437" s="33"/>
      <c r="J437" s="9"/>
      <c r="K437" s="9"/>
      <c r="AB437" s="26">
        <f t="shared" si="36"/>
        <v>0</v>
      </c>
      <c r="AC437" s="26">
        <f t="shared" si="37"/>
        <v>0</v>
      </c>
      <c r="AD437" s="26">
        <f t="shared" si="38"/>
        <v>0</v>
      </c>
      <c r="AE437" s="26">
        <f t="shared" si="39"/>
        <v>0</v>
      </c>
      <c r="AF437" s="26">
        <f t="shared" si="40"/>
        <v>0</v>
      </c>
      <c r="AG437" s="26">
        <f t="shared" si="41"/>
        <v>0</v>
      </c>
    </row>
    <row r="438" spans="1:33" x14ac:dyDescent="0.2">
      <c r="A438" s="89"/>
      <c r="B438" s="89"/>
      <c r="C438" s="89"/>
      <c r="D438" s="89"/>
      <c r="E438" s="89"/>
      <c r="F438" s="89"/>
      <c r="G438" s="89"/>
      <c r="H438" s="89"/>
      <c r="I438" s="33"/>
      <c r="J438" s="9"/>
      <c r="K438" s="9"/>
      <c r="AB438" s="26">
        <f t="shared" si="36"/>
        <v>0</v>
      </c>
      <c r="AC438" s="26">
        <f t="shared" si="37"/>
        <v>0</v>
      </c>
      <c r="AD438" s="26">
        <f t="shared" si="38"/>
        <v>0</v>
      </c>
      <c r="AE438" s="26">
        <f t="shared" si="39"/>
        <v>0</v>
      </c>
      <c r="AF438" s="26">
        <f t="shared" si="40"/>
        <v>0</v>
      </c>
      <c r="AG438" s="26">
        <f t="shared" si="41"/>
        <v>0</v>
      </c>
    </row>
    <row r="439" spans="1:33" x14ac:dyDescent="0.2">
      <c r="A439" s="89"/>
      <c r="B439" s="89"/>
      <c r="C439" s="89"/>
      <c r="D439" s="89"/>
      <c r="E439" s="89"/>
      <c r="F439" s="89"/>
      <c r="G439" s="89"/>
      <c r="H439" s="89"/>
      <c r="I439" s="33"/>
      <c r="J439" s="9"/>
      <c r="K439" s="9"/>
      <c r="AB439" s="26">
        <f t="shared" si="36"/>
        <v>0</v>
      </c>
      <c r="AC439" s="26">
        <f t="shared" si="37"/>
        <v>0</v>
      </c>
      <c r="AD439" s="26">
        <f t="shared" si="38"/>
        <v>0</v>
      </c>
      <c r="AE439" s="26">
        <f t="shared" si="39"/>
        <v>0</v>
      </c>
      <c r="AF439" s="26">
        <f t="shared" si="40"/>
        <v>0</v>
      </c>
      <c r="AG439" s="26">
        <f t="shared" si="41"/>
        <v>0</v>
      </c>
    </row>
    <row r="440" spans="1:33" x14ac:dyDescent="0.2">
      <c r="A440" s="89"/>
      <c r="B440" s="89"/>
      <c r="C440" s="89"/>
      <c r="D440" s="89"/>
      <c r="E440" s="89"/>
      <c r="F440" s="89"/>
      <c r="G440" s="89"/>
      <c r="H440" s="89"/>
      <c r="I440" s="33"/>
      <c r="J440" s="9"/>
      <c r="K440" s="9"/>
      <c r="AB440" s="26">
        <f t="shared" si="36"/>
        <v>0</v>
      </c>
      <c r="AC440" s="26">
        <f t="shared" si="37"/>
        <v>0</v>
      </c>
      <c r="AD440" s="26">
        <f t="shared" si="38"/>
        <v>0</v>
      </c>
      <c r="AE440" s="26">
        <f t="shared" si="39"/>
        <v>0</v>
      </c>
      <c r="AF440" s="26">
        <f t="shared" si="40"/>
        <v>0</v>
      </c>
      <c r="AG440" s="26">
        <f t="shared" si="41"/>
        <v>0</v>
      </c>
    </row>
    <row r="441" spans="1:33" x14ac:dyDescent="0.2">
      <c r="A441" s="89"/>
      <c r="B441" s="89"/>
      <c r="C441" s="89"/>
      <c r="D441" s="89"/>
      <c r="E441" s="89"/>
      <c r="F441" s="89"/>
      <c r="G441" s="89"/>
      <c r="H441" s="89"/>
      <c r="I441" s="33"/>
      <c r="J441" s="9"/>
      <c r="K441" s="9"/>
      <c r="AB441" s="26">
        <f t="shared" si="36"/>
        <v>0</v>
      </c>
      <c r="AC441" s="26">
        <f t="shared" si="37"/>
        <v>0</v>
      </c>
      <c r="AD441" s="26">
        <f t="shared" si="38"/>
        <v>0</v>
      </c>
      <c r="AE441" s="26">
        <f t="shared" si="39"/>
        <v>0</v>
      </c>
      <c r="AF441" s="26">
        <f t="shared" si="40"/>
        <v>0</v>
      </c>
      <c r="AG441" s="26">
        <f t="shared" si="41"/>
        <v>0</v>
      </c>
    </row>
    <row r="442" spans="1:33" x14ac:dyDescent="0.2">
      <c r="A442" s="89"/>
      <c r="B442" s="89"/>
      <c r="C442" s="89"/>
      <c r="D442" s="89"/>
      <c r="E442" s="89"/>
      <c r="F442" s="89"/>
      <c r="G442" s="89"/>
      <c r="H442" s="89"/>
      <c r="I442" s="33"/>
      <c r="J442" s="9"/>
      <c r="K442" s="9"/>
      <c r="AB442" s="26">
        <f t="shared" si="36"/>
        <v>0</v>
      </c>
      <c r="AC442" s="26">
        <f t="shared" si="37"/>
        <v>0</v>
      </c>
      <c r="AD442" s="26">
        <f t="shared" si="38"/>
        <v>0</v>
      </c>
      <c r="AE442" s="26">
        <f t="shared" si="39"/>
        <v>0</v>
      </c>
      <c r="AF442" s="26">
        <f t="shared" si="40"/>
        <v>0</v>
      </c>
      <c r="AG442" s="26">
        <f t="shared" si="41"/>
        <v>0</v>
      </c>
    </row>
    <row r="443" spans="1:33" x14ac:dyDescent="0.2">
      <c r="A443" s="89"/>
      <c r="B443" s="89"/>
      <c r="C443" s="89"/>
      <c r="D443" s="89"/>
      <c r="E443" s="89"/>
      <c r="F443" s="89"/>
      <c r="G443" s="89"/>
      <c r="H443" s="89"/>
      <c r="I443" s="33"/>
      <c r="J443" s="9"/>
      <c r="K443" s="9"/>
      <c r="AB443" s="26">
        <f t="shared" si="36"/>
        <v>0</v>
      </c>
      <c r="AC443" s="26">
        <f t="shared" si="37"/>
        <v>0</v>
      </c>
      <c r="AD443" s="26">
        <f t="shared" si="38"/>
        <v>0</v>
      </c>
      <c r="AE443" s="26">
        <f t="shared" si="39"/>
        <v>0</v>
      </c>
      <c r="AF443" s="26">
        <f t="shared" si="40"/>
        <v>0</v>
      </c>
      <c r="AG443" s="26">
        <f t="shared" si="41"/>
        <v>0</v>
      </c>
    </row>
    <row r="444" spans="1:33" x14ac:dyDescent="0.2">
      <c r="A444" s="89"/>
      <c r="B444" s="89"/>
      <c r="C444" s="89"/>
      <c r="D444" s="89"/>
      <c r="E444" s="89"/>
      <c r="F444" s="89"/>
      <c r="G444" s="89"/>
      <c r="H444" s="89"/>
      <c r="I444" s="33"/>
      <c r="J444" s="9"/>
      <c r="K444" s="9"/>
      <c r="AB444" s="26">
        <f t="shared" si="36"/>
        <v>0</v>
      </c>
      <c r="AC444" s="26">
        <f t="shared" si="37"/>
        <v>0</v>
      </c>
      <c r="AD444" s="26">
        <f t="shared" si="38"/>
        <v>0</v>
      </c>
      <c r="AE444" s="26">
        <f t="shared" si="39"/>
        <v>0</v>
      </c>
      <c r="AF444" s="26">
        <f t="shared" si="40"/>
        <v>0</v>
      </c>
      <c r="AG444" s="26">
        <f t="shared" si="41"/>
        <v>0</v>
      </c>
    </row>
    <row r="445" spans="1:33" x14ac:dyDescent="0.2">
      <c r="A445" s="89"/>
      <c r="B445" s="89"/>
      <c r="C445" s="89"/>
      <c r="D445" s="89"/>
      <c r="E445" s="89"/>
      <c r="F445" s="89"/>
      <c r="G445" s="89"/>
      <c r="H445" s="89"/>
      <c r="I445" s="33"/>
      <c r="J445" s="9"/>
      <c r="K445" s="9"/>
      <c r="AB445" s="26">
        <f t="shared" si="36"/>
        <v>0</v>
      </c>
      <c r="AC445" s="26">
        <f t="shared" si="37"/>
        <v>0</v>
      </c>
      <c r="AD445" s="26">
        <f t="shared" si="38"/>
        <v>0</v>
      </c>
      <c r="AE445" s="26">
        <f t="shared" si="39"/>
        <v>0</v>
      </c>
      <c r="AF445" s="26">
        <f t="shared" si="40"/>
        <v>0</v>
      </c>
      <c r="AG445" s="26">
        <f t="shared" si="41"/>
        <v>0</v>
      </c>
    </row>
    <row r="446" spans="1:33" x14ac:dyDescent="0.2">
      <c r="A446" s="89"/>
      <c r="B446" s="89"/>
      <c r="C446" s="89"/>
      <c r="D446" s="89"/>
      <c r="E446" s="89"/>
      <c r="F446" s="89"/>
      <c r="G446" s="89"/>
      <c r="H446" s="89"/>
      <c r="I446" s="33"/>
      <c r="J446" s="9"/>
      <c r="K446" s="9"/>
      <c r="AB446" s="26">
        <f t="shared" si="36"/>
        <v>0</v>
      </c>
      <c r="AC446" s="26">
        <f t="shared" si="37"/>
        <v>0</v>
      </c>
      <c r="AD446" s="26">
        <f t="shared" si="38"/>
        <v>0</v>
      </c>
      <c r="AE446" s="26">
        <f t="shared" si="39"/>
        <v>0</v>
      </c>
      <c r="AF446" s="26">
        <f t="shared" si="40"/>
        <v>0</v>
      </c>
      <c r="AG446" s="26">
        <f t="shared" si="41"/>
        <v>0</v>
      </c>
    </row>
    <row r="447" spans="1:33" x14ac:dyDescent="0.2">
      <c r="A447" s="89"/>
      <c r="B447" s="89"/>
      <c r="C447" s="89"/>
      <c r="D447" s="89"/>
      <c r="E447" s="89"/>
      <c r="F447" s="89"/>
      <c r="G447" s="89"/>
      <c r="H447" s="89"/>
      <c r="I447" s="33"/>
      <c r="J447" s="9"/>
      <c r="K447" s="9"/>
      <c r="AB447" s="26">
        <f t="shared" si="36"/>
        <v>0</v>
      </c>
      <c r="AC447" s="26">
        <f t="shared" si="37"/>
        <v>0</v>
      </c>
      <c r="AD447" s="26">
        <f t="shared" si="38"/>
        <v>0</v>
      </c>
      <c r="AE447" s="26">
        <f t="shared" si="39"/>
        <v>0</v>
      </c>
      <c r="AF447" s="26">
        <f t="shared" si="40"/>
        <v>0</v>
      </c>
      <c r="AG447" s="26">
        <f t="shared" si="41"/>
        <v>0</v>
      </c>
    </row>
    <row r="448" spans="1:33" x14ac:dyDescent="0.2">
      <c r="A448" s="89"/>
      <c r="B448" s="89"/>
      <c r="C448" s="89"/>
      <c r="D448" s="89"/>
      <c r="E448" s="89"/>
      <c r="F448" s="89"/>
      <c r="G448" s="89"/>
      <c r="H448" s="89"/>
      <c r="I448" s="33"/>
      <c r="J448" s="9"/>
      <c r="K448" s="9"/>
      <c r="AB448" s="26">
        <f t="shared" si="36"/>
        <v>0</v>
      </c>
      <c r="AC448" s="26">
        <f t="shared" si="37"/>
        <v>0</v>
      </c>
      <c r="AD448" s="26">
        <f t="shared" si="38"/>
        <v>0</v>
      </c>
      <c r="AE448" s="26">
        <f t="shared" si="39"/>
        <v>0</v>
      </c>
      <c r="AF448" s="26">
        <f t="shared" si="40"/>
        <v>0</v>
      </c>
      <c r="AG448" s="26">
        <f t="shared" si="41"/>
        <v>0</v>
      </c>
    </row>
    <row r="449" spans="1:33" x14ac:dyDescent="0.2">
      <c r="A449" s="89"/>
      <c r="B449" s="89"/>
      <c r="C449" s="89"/>
      <c r="D449" s="89"/>
      <c r="E449" s="89"/>
      <c r="F449" s="89"/>
      <c r="G449" s="89"/>
      <c r="H449" s="89"/>
      <c r="I449" s="33"/>
      <c r="J449" s="9"/>
      <c r="K449" s="9"/>
      <c r="AB449" s="26">
        <f t="shared" si="36"/>
        <v>0</v>
      </c>
      <c r="AC449" s="26">
        <f t="shared" si="37"/>
        <v>0</v>
      </c>
      <c r="AD449" s="26">
        <f t="shared" si="38"/>
        <v>0</v>
      </c>
      <c r="AE449" s="26">
        <f t="shared" si="39"/>
        <v>0</v>
      </c>
      <c r="AF449" s="26">
        <f t="shared" si="40"/>
        <v>0</v>
      </c>
      <c r="AG449" s="26">
        <f t="shared" si="41"/>
        <v>0</v>
      </c>
    </row>
    <row r="450" spans="1:33" x14ac:dyDescent="0.2">
      <c r="A450" s="89"/>
      <c r="B450" s="89"/>
      <c r="C450" s="89"/>
      <c r="D450" s="89"/>
      <c r="E450" s="89"/>
      <c r="F450" s="89"/>
      <c r="G450" s="89"/>
      <c r="H450" s="89"/>
      <c r="I450" s="33"/>
      <c r="J450" s="9"/>
      <c r="K450" s="9"/>
      <c r="AB450" s="26">
        <f t="shared" si="36"/>
        <v>0</v>
      </c>
      <c r="AC450" s="26">
        <f t="shared" si="37"/>
        <v>0</v>
      </c>
      <c r="AD450" s="26">
        <f t="shared" si="38"/>
        <v>0</v>
      </c>
      <c r="AE450" s="26">
        <f t="shared" si="39"/>
        <v>0</v>
      </c>
      <c r="AF450" s="26">
        <f t="shared" si="40"/>
        <v>0</v>
      </c>
      <c r="AG450" s="26">
        <f t="shared" si="41"/>
        <v>0</v>
      </c>
    </row>
    <row r="451" spans="1:33" x14ac:dyDescent="0.2">
      <c r="A451" s="89"/>
      <c r="B451" s="89"/>
      <c r="C451" s="89"/>
      <c r="D451" s="89"/>
      <c r="E451" s="89"/>
      <c r="F451" s="89"/>
      <c r="G451" s="89"/>
      <c r="H451" s="89"/>
      <c r="I451" s="33"/>
      <c r="J451" s="9"/>
      <c r="K451" s="9"/>
      <c r="AB451" s="26">
        <f t="shared" si="36"/>
        <v>0</v>
      </c>
      <c r="AC451" s="26">
        <f t="shared" si="37"/>
        <v>0</v>
      </c>
      <c r="AD451" s="26">
        <f t="shared" si="38"/>
        <v>0</v>
      </c>
      <c r="AE451" s="26">
        <f t="shared" si="39"/>
        <v>0</v>
      </c>
      <c r="AF451" s="26">
        <f t="shared" si="40"/>
        <v>0</v>
      </c>
      <c r="AG451" s="26">
        <f t="shared" si="41"/>
        <v>0</v>
      </c>
    </row>
    <row r="452" spans="1:33" x14ac:dyDescent="0.2">
      <c r="A452" s="89"/>
      <c r="B452" s="89"/>
      <c r="C452" s="89"/>
      <c r="D452" s="89"/>
      <c r="E452" s="89"/>
      <c r="F452" s="89"/>
      <c r="G452" s="89"/>
      <c r="H452" s="89"/>
      <c r="I452" s="33"/>
      <c r="J452" s="9"/>
      <c r="K452" s="9"/>
      <c r="AB452" s="26">
        <f t="shared" si="36"/>
        <v>0</v>
      </c>
      <c r="AC452" s="26">
        <f t="shared" si="37"/>
        <v>0</v>
      </c>
      <c r="AD452" s="26">
        <f t="shared" si="38"/>
        <v>0</v>
      </c>
      <c r="AE452" s="26">
        <f t="shared" si="39"/>
        <v>0</v>
      </c>
      <c r="AF452" s="26">
        <f t="shared" si="40"/>
        <v>0</v>
      </c>
      <c r="AG452" s="26">
        <f t="shared" si="41"/>
        <v>0</v>
      </c>
    </row>
    <row r="453" spans="1:33" x14ac:dyDescent="0.2">
      <c r="A453" s="89"/>
      <c r="B453" s="89"/>
      <c r="C453" s="89"/>
      <c r="D453" s="89"/>
      <c r="E453" s="89"/>
      <c r="F453" s="89"/>
      <c r="G453" s="89"/>
      <c r="H453" s="89"/>
      <c r="I453" s="33"/>
      <c r="J453" s="9"/>
      <c r="K453" s="9"/>
      <c r="AB453" s="26">
        <f t="shared" si="36"/>
        <v>0</v>
      </c>
      <c r="AC453" s="26">
        <f t="shared" si="37"/>
        <v>0</v>
      </c>
      <c r="AD453" s="26">
        <f t="shared" si="38"/>
        <v>0</v>
      </c>
      <c r="AE453" s="26">
        <f t="shared" si="39"/>
        <v>0</v>
      </c>
      <c r="AF453" s="26">
        <f t="shared" si="40"/>
        <v>0</v>
      </c>
      <c r="AG453" s="26">
        <f t="shared" si="41"/>
        <v>0</v>
      </c>
    </row>
    <row r="454" spans="1:33" x14ac:dyDescent="0.2">
      <c r="A454" s="89"/>
      <c r="B454" s="89"/>
      <c r="C454" s="89"/>
      <c r="D454" s="89"/>
      <c r="E454" s="89"/>
      <c r="F454" s="89"/>
      <c r="G454" s="89"/>
      <c r="H454" s="89"/>
      <c r="I454" s="33"/>
      <c r="J454" s="9"/>
      <c r="K454" s="9"/>
      <c r="AB454" s="26">
        <f t="shared" si="36"/>
        <v>0</v>
      </c>
      <c r="AC454" s="26">
        <f t="shared" si="37"/>
        <v>0</v>
      </c>
      <c r="AD454" s="26">
        <f t="shared" si="38"/>
        <v>0</v>
      </c>
      <c r="AE454" s="26">
        <f t="shared" si="39"/>
        <v>0</v>
      </c>
      <c r="AF454" s="26">
        <f t="shared" si="40"/>
        <v>0</v>
      </c>
      <c r="AG454" s="26">
        <f t="shared" si="41"/>
        <v>0</v>
      </c>
    </row>
    <row r="455" spans="1:33" x14ac:dyDescent="0.2">
      <c r="A455" s="89"/>
      <c r="B455" s="89"/>
      <c r="C455" s="89"/>
      <c r="D455" s="89"/>
      <c r="E455" s="89"/>
      <c r="F455" s="89"/>
      <c r="G455" s="89"/>
      <c r="H455" s="89"/>
      <c r="I455" s="33"/>
      <c r="J455" s="9"/>
      <c r="K455" s="9"/>
      <c r="AB455" s="26">
        <f t="shared" si="36"/>
        <v>0</v>
      </c>
      <c r="AC455" s="26">
        <f t="shared" si="37"/>
        <v>0</v>
      </c>
      <c r="AD455" s="26">
        <f t="shared" si="38"/>
        <v>0</v>
      </c>
      <c r="AE455" s="26">
        <f t="shared" si="39"/>
        <v>0</v>
      </c>
      <c r="AF455" s="26">
        <f t="shared" si="40"/>
        <v>0</v>
      </c>
      <c r="AG455" s="26">
        <f t="shared" si="41"/>
        <v>0</v>
      </c>
    </row>
    <row r="456" spans="1:33" x14ac:dyDescent="0.2">
      <c r="A456" s="89"/>
      <c r="B456" s="89"/>
      <c r="C456" s="89"/>
      <c r="D456" s="89"/>
      <c r="E456" s="89"/>
      <c r="F456" s="89"/>
      <c r="G456" s="89"/>
      <c r="H456" s="89"/>
      <c r="I456" s="33"/>
      <c r="J456" s="9"/>
      <c r="K456" s="9"/>
      <c r="AB456" s="26">
        <f t="shared" si="36"/>
        <v>0</v>
      </c>
      <c r="AC456" s="26">
        <f t="shared" si="37"/>
        <v>0</v>
      </c>
      <c r="AD456" s="26">
        <f t="shared" si="38"/>
        <v>0</v>
      </c>
      <c r="AE456" s="26">
        <f t="shared" si="39"/>
        <v>0</v>
      </c>
      <c r="AF456" s="26">
        <f t="shared" si="40"/>
        <v>0</v>
      </c>
      <c r="AG456" s="26">
        <f t="shared" si="41"/>
        <v>0</v>
      </c>
    </row>
    <row r="457" spans="1:33" x14ac:dyDescent="0.2">
      <c r="A457" s="89"/>
      <c r="B457" s="89"/>
      <c r="C457" s="89"/>
      <c r="D457" s="89"/>
      <c r="E457" s="89"/>
      <c r="F457" s="89"/>
      <c r="G457" s="89"/>
      <c r="H457" s="89"/>
      <c r="I457" s="33"/>
      <c r="J457" s="9"/>
      <c r="K457" s="9"/>
      <c r="AB457" s="26">
        <f t="shared" si="36"/>
        <v>0</v>
      </c>
      <c r="AC457" s="26">
        <f t="shared" si="37"/>
        <v>0</v>
      </c>
      <c r="AD457" s="26">
        <f t="shared" si="38"/>
        <v>0</v>
      </c>
      <c r="AE457" s="26">
        <f t="shared" si="39"/>
        <v>0</v>
      </c>
      <c r="AF457" s="26">
        <f t="shared" si="40"/>
        <v>0</v>
      </c>
      <c r="AG457" s="26">
        <f t="shared" si="41"/>
        <v>0</v>
      </c>
    </row>
    <row r="458" spans="1:33" x14ac:dyDescent="0.2">
      <c r="A458" s="89"/>
      <c r="B458" s="89"/>
      <c r="C458" s="89"/>
      <c r="D458" s="89"/>
      <c r="E458" s="89"/>
      <c r="F458" s="89"/>
      <c r="G458" s="89"/>
      <c r="H458" s="89"/>
      <c r="I458" s="33"/>
      <c r="J458" s="9"/>
      <c r="K458" s="9"/>
      <c r="AB458" s="26">
        <f t="shared" si="36"/>
        <v>0</v>
      </c>
      <c r="AC458" s="26">
        <f t="shared" si="37"/>
        <v>0</v>
      </c>
      <c r="AD458" s="26">
        <f t="shared" si="38"/>
        <v>0</v>
      </c>
      <c r="AE458" s="26">
        <f t="shared" si="39"/>
        <v>0</v>
      </c>
      <c r="AF458" s="26">
        <f t="shared" si="40"/>
        <v>0</v>
      </c>
      <c r="AG458" s="26">
        <f t="shared" si="41"/>
        <v>0</v>
      </c>
    </row>
    <row r="459" spans="1:33" x14ac:dyDescent="0.2">
      <c r="A459" s="89"/>
      <c r="B459" s="89"/>
      <c r="C459" s="89"/>
      <c r="D459" s="89"/>
      <c r="E459" s="89"/>
      <c r="F459" s="89"/>
      <c r="G459" s="89"/>
      <c r="H459" s="89"/>
      <c r="I459" s="33"/>
      <c r="J459" s="9"/>
      <c r="K459" s="9"/>
      <c r="AB459" s="26">
        <f t="shared" si="36"/>
        <v>0</v>
      </c>
      <c r="AC459" s="26">
        <f t="shared" si="37"/>
        <v>0</v>
      </c>
      <c r="AD459" s="26">
        <f t="shared" si="38"/>
        <v>0</v>
      </c>
      <c r="AE459" s="26">
        <f t="shared" si="39"/>
        <v>0</v>
      </c>
      <c r="AF459" s="26">
        <f t="shared" si="40"/>
        <v>0</v>
      </c>
      <c r="AG459" s="26">
        <f t="shared" si="41"/>
        <v>0</v>
      </c>
    </row>
    <row r="460" spans="1:33" x14ac:dyDescent="0.2">
      <c r="A460" s="89"/>
      <c r="B460" s="89"/>
      <c r="C460" s="89"/>
      <c r="D460" s="89"/>
      <c r="E460" s="89"/>
      <c r="F460" s="89"/>
      <c r="G460" s="89"/>
      <c r="H460" s="89"/>
      <c r="I460" s="33"/>
      <c r="J460" s="9"/>
      <c r="K460" s="9"/>
      <c r="AB460" s="26">
        <f t="shared" si="36"/>
        <v>0</v>
      </c>
      <c r="AC460" s="26">
        <f t="shared" si="37"/>
        <v>0</v>
      </c>
      <c r="AD460" s="26">
        <f t="shared" si="38"/>
        <v>0</v>
      </c>
      <c r="AE460" s="26">
        <f t="shared" si="39"/>
        <v>0</v>
      </c>
      <c r="AF460" s="26">
        <f t="shared" si="40"/>
        <v>0</v>
      </c>
      <c r="AG460" s="26">
        <f t="shared" si="41"/>
        <v>0</v>
      </c>
    </row>
    <row r="461" spans="1:33" x14ac:dyDescent="0.2">
      <c r="A461" s="89"/>
      <c r="B461" s="89"/>
      <c r="C461" s="89"/>
      <c r="D461" s="89"/>
      <c r="E461" s="89"/>
      <c r="F461" s="89"/>
      <c r="G461" s="89"/>
      <c r="H461" s="89"/>
      <c r="I461" s="33"/>
      <c r="J461" s="9"/>
      <c r="K461" s="9"/>
      <c r="AB461" s="26">
        <f t="shared" si="36"/>
        <v>0</v>
      </c>
      <c r="AC461" s="26">
        <f t="shared" si="37"/>
        <v>0</v>
      </c>
      <c r="AD461" s="26">
        <f t="shared" si="38"/>
        <v>0</v>
      </c>
      <c r="AE461" s="26">
        <f t="shared" si="39"/>
        <v>0</v>
      </c>
      <c r="AF461" s="26">
        <f t="shared" si="40"/>
        <v>0</v>
      </c>
      <c r="AG461" s="26">
        <f t="shared" si="41"/>
        <v>0</v>
      </c>
    </row>
    <row r="462" spans="1:33" x14ac:dyDescent="0.2">
      <c r="A462" s="89"/>
      <c r="B462" s="89"/>
      <c r="C462" s="89"/>
      <c r="D462" s="89"/>
      <c r="E462" s="89"/>
      <c r="F462" s="89"/>
      <c r="G462" s="89"/>
      <c r="H462" s="89"/>
      <c r="I462" s="33"/>
      <c r="J462" s="9"/>
      <c r="K462" s="9"/>
      <c r="AB462" s="26">
        <f t="shared" si="36"/>
        <v>0</v>
      </c>
      <c r="AC462" s="26">
        <f t="shared" si="37"/>
        <v>0</v>
      </c>
      <c r="AD462" s="26">
        <f t="shared" si="38"/>
        <v>0</v>
      </c>
      <c r="AE462" s="26">
        <f t="shared" si="39"/>
        <v>0</v>
      </c>
      <c r="AF462" s="26">
        <f t="shared" si="40"/>
        <v>0</v>
      </c>
      <c r="AG462" s="26">
        <f t="shared" si="41"/>
        <v>0</v>
      </c>
    </row>
    <row r="463" spans="1:33" x14ac:dyDescent="0.2">
      <c r="A463" s="89"/>
      <c r="B463" s="89"/>
      <c r="C463" s="89"/>
      <c r="D463" s="89"/>
      <c r="E463" s="89"/>
      <c r="F463" s="89"/>
      <c r="G463" s="89"/>
      <c r="H463" s="89"/>
      <c r="I463" s="33"/>
      <c r="J463" s="9"/>
      <c r="K463" s="9"/>
      <c r="AB463" s="26">
        <f t="shared" ref="AB463:AB526" si="42">IF(AND($D463="Question",$H463="OK"),1,0)</f>
        <v>0</v>
      </c>
      <c r="AC463" s="26">
        <f t="shared" ref="AC463:AC526" si="43">IF(AND($D463="Question",$H463="OK with hints"),1,0)</f>
        <v>0</v>
      </c>
      <c r="AD463" s="26">
        <f t="shared" ref="AD463:AD526" si="44">IF(AND($D463="Question",$H463="Minor non-conformity"),1,0)</f>
        <v>0</v>
      </c>
      <c r="AE463" s="26">
        <f t="shared" ref="AE463:AE526" si="45">IF(AND($D463="Question",$H463="Major non-conformity"),1,0)</f>
        <v>0</v>
      </c>
      <c r="AF463" s="26">
        <f t="shared" ref="AF463:AF526" si="46">IF(AND($D463="Question",$H463="Not applicable"),1,0)</f>
        <v>0</v>
      </c>
      <c r="AG463" s="26">
        <f t="shared" ref="AG463:AG526" si="47">IF(AND($D463="Question",$H463=""),1,0)</f>
        <v>0</v>
      </c>
    </row>
    <row r="464" spans="1:33" x14ac:dyDescent="0.2">
      <c r="A464" s="89"/>
      <c r="B464" s="89"/>
      <c r="C464" s="89"/>
      <c r="D464" s="89"/>
      <c r="E464" s="89"/>
      <c r="F464" s="89"/>
      <c r="G464" s="89"/>
      <c r="H464" s="89"/>
      <c r="I464" s="33"/>
      <c r="J464" s="9"/>
      <c r="K464" s="9"/>
      <c r="AB464" s="26">
        <f t="shared" si="42"/>
        <v>0</v>
      </c>
      <c r="AC464" s="26">
        <f t="shared" si="43"/>
        <v>0</v>
      </c>
      <c r="AD464" s="26">
        <f t="shared" si="44"/>
        <v>0</v>
      </c>
      <c r="AE464" s="26">
        <f t="shared" si="45"/>
        <v>0</v>
      </c>
      <c r="AF464" s="26">
        <f t="shared" si="46"/>
        <v>0</v>
      </c>
      <c r="AG464" s="26">
        <f t="shared" si="47"/>
        <v>0</v>
      </c>
    </row>
    <row r="465" spans="1:33" x14ac:dyDescent="0.2">
      <c r="A465" s="89"/>
      <c r="B465" s="89"/>
      <c r="C465" s="89"/>
      <c r="D465" s="89"/>
      <c r="E465" s="89"/>
      <c r="F465" s="89"/>
      <c r="G465" s="89"/>
      <c r="H465" s="89"/>
      <c r="I465" s="33"/>
      <c r="J465" s="9"/>
      <c r="K465" s="9"/>
      <c r="AB465" s="26">
        <f t="shared" si="42"/>
        <v>0</v>
      </c>
      <c r="AC465" s="26">
        <f t="shared" si="43"/>
        <v>0</v>
      </c>
      <c r="AD465" s="26">
        <f t="shared" si="44"/>
        <v>0</v>
      </c>
      <c r="AE465" s="26">
        <f t="shared" si="45"/>
        <v>0</v>
      </c>
      <c r="AF465" s="26">
        <f t="shared" si="46"/>
        <v>0</v>
      </c>
      <c r="AG465" s="26">
        <f t="shared" si="47"/>
        <v>0</v>
      </c>
    </row>
    <row r="466" spans="1:33" x14ac:dyDescent="0.2">
      <c r="A466" s="89"/>
      <c r="B466" s="89"/>
      <c r="C466" s="89"/>
      <c r="D466" s="89"/>
      <c r="E466" s="89"/>
      <c r="F466" s="89"/>
      <c r="G466" s="89"/>
      <c r="H466" s="89"/>
      <c r="I466" s="33"/>
      <c r="J466" s="9"/>
      <c r="K466" s="9"/>
      <c r="AB466" s="26">
        <f t="shared" si="42"/>
        <v>0</v>
      </c>
      <c r="AC466" s="26">
        <f t="shared" si="43"/>
        <v>0</v>
      </c>
      <c r="AD466" s="26">
        <f t="shared" si="44"/>
        <v>0</v>
      </c>
      <c r="AE466" s="26">
        <f t="shared" si="45"/>
        <v>0</v>
      </c>
      <c r="AF466" s="26">
        <f t="shared" si="46"/>
        <v>0</v>
      </c>
      <c r="AG466" s="26">
        <f t="shared" si="47"/>
        <v>0</v>
      </c>
    </row>
    <row r="467" spans="1:33" x14ac:dyDescent="0.2">
      <c r="A467" s="89"/>
      <c r="B467" s="89"/>
      <c r="C467" s="89"/>
      <c r="D467" s="89"/>
      <c r="E467" s="89"/>
      <c r="F467" s="89"/>
      <c r="G467" s="89"/>
      <c r="H467" s="89"/>
      <c r="I467" s="33"/>
      <c r="J467" s="9"/>
      <c r="K467" s="9"/>
      <c r="AB467" s="26">
        <f t="shared" si="42"/>
        <v>0</v>
      </c>
      <c r="AC467" s="26">
        <f t="shared" si="43"/>
        <v>0</v>
      </c>
      <c r="AD467" s="26">
        <f t="shared" si="44"/>
        <v>0</v>
      </c>
      <c r="AE467" s="26">
        <f t="shared" si="45"/>
        <v>0</v>
      </c>
      <c r="AF467" s="26">
        <f t="shared" si="46"/>
        <v>0</v>
      </c>
      <c r="AG467" s="26">
        <f t="shared" si="47"/>
        <v>0</v>
      </c>
    </row>
    <row r="468" spans="1:33" x14ac:dyDescent="0.2">
      <c r="A468" s="89"/>
      <c r="B468" s="89"/>
      <c r="C468" s="89"/>
      <c r="D468" s="89"/>
      <c r="E468" s="89"/>
      <c r="F468" s="89"/>
      <c r="G468" s="89"/>
      <c r="H468" s="89"/>
      <c r="I468" s="33"/>
      <c r="J468" s="9"/>
      <c r="K468" s="9"/>
      <c r="AB468" s="26">
        <f t="shared" si="42"/>
        <v>0</v>
      </c>
      <c r="AC468" s="26">
        <f t="shared" si="43"/>
        <v>0</v>
      </c>
      <c r="AD468" s="26">
        <f t="shared" si="44"/>
        <v>0</v>
      </c>
      <c r="AE468" s="26">
        <f t="shared" si="45"/>
        <v>0</v>
      </c>
      <c r="AF468" s="26">
        <f t="shared" si="46"/>
        <v>0</v>
      </c>
      <c r="AG468" s="26">
        <f t="shared" si="47"/>
        <v>0</v>
      </c>
    </row>
    <row r="469" spans="1:33" x14ac:dyDescent="0.2">
      <c r="A469" s="89"/>
      <c r="B469" s="89"/>
      <c r="C469" s="89"/>
      <c r="D469" s="89"/>
      <c r="E469" s="89"/>
      <c r="F469" s="89"/>
      <c r="G469" s="89"/>
      <c r="H469" s="89"/>
      <c r="I469" s="33"/>
      <c r="J469" s="9"/>
      <c r="K469" s="9"/>
      <c r="AB469" s="26">
        <f t="shared" si="42"/>
        <v>0</v>
      </c>
      <c r="AC469" s="26">
        <f t="shared" si="43"/>
        <v>0</v>
      </c>
      <c r="AD469" s="26">
        <f t="shared" si="44"/>
        <v>0</v>
      </c>
      <c r="AE469" s="26">
        <f t="shared" si="45"/>
        <v>0</v>
      </c>
      <c r="AF469" s="26">
        <f t="shared" si="46"/>
        <v>0</v>
      </c>
      <c r="AG469" s="26">
        <f t="shared" si="47"/>
        <v>0</v>
      </c>
    </row>
    <row r="470" spans="1:33" x14ac:dyDescent="0.2">
      <c r="A470" s="89"/>
      <c r="B470" s="89"/>
      <c r="C470" s="89"/>
      <c r="D470" s="89"/>
      <c r="E470" s="89"/>
      <c r="F470" s="89"/>
      <c r="G470" s="89"/>
      <c r="H470" s="89"/>
      <c r="I470" s="33"/>
      <c r="J470" s="9"/>
      <c r="K470" s="9"/>
      <c r="AB470" s="26">
        <f t="shared" si="42"/>
        <v>0</v>
      </c>
      <c r="AC470" s="26">
        <f t="shared" si="43"/>
        <v>0</v>
      </c>
      <c r="AD470" s="26">
        <f t="shared" si="44"/>
        <v>0</v>
      </c>
      <c r="AE470" s="26">
        <f t="shared" si="45"/>
        <v>0</v>
      </c>
      <c r="AF470" s="26">
        <f t="shared" si="46"/>
        <v>0</v>
      </c>
      <c r="AG470" s="26">
        <f t="shared" si="47"/>
        <v>0</v>
      </c>
    </row>
    <row r="471" spans="1:33" x14ac:dyDescent="0.2">
      <c r="A471" s="89"/>
      <c r="B471" s="89"/>
      <c r="C471" s="89"/>
      <c r="D471" s="89"/>
      <c r="E471" s="89"/>
      <c r="F471" s="89"/>
      <c r="G471" s="89"/>
      <c r="H471" s="89"/>
      <c r="I471" s="33"/>
      <c r="J471" s="9"/>
      <c r="K471" s="9"/>
      <c r="AB471" s="26">
        <f t="shared" si="42"/>
        <v>0</v>
      </c>
      <c r="AC471" s="26">
        <f t="shared" si="43"/>
        <v>0</v>
      </c>
      <c r="AD471" s="26">
        <f t="shared" si="44"/>
        <v>0</v>
      </c>
      <c r="AE471" s="26">
        <f t="shared" si="45"/>
        <v>0</v>
      </c>
      <c r="AF471" s="26">
        <f t="shared" si="46"/>
        <v>0</v>
      </c>
      <c r="AG471" s="26">
        <f t="shared" si="47"/>
        <v>0</v>
      </c>
    </row>
    <row r="472" spans="1:33" x14ac:dyDescent="0.2">
      <c r="A472" s="89"/>
      <c r="B472" s="89"/>
      <c r="C472" s="89"/>
      <c r="D472" s="89"/>
      <c r="E472" s="89"/>
      <c r="F472" s="89"/>
      <c r="G472" s="89"/>
      <c r="H472" s="89"/>
      <c r="I472" s="33"/>
      <c r="J472" s="9"/>
      <c r="K472" s="9"/>
      <c r="AB472" s="26">
        <f t="shared" si="42"/>
        <v>0</v>
      </c>
      <c r="AC472" s="26">
        <f t="shared" si="43"/>
        <v>0</v>
      </c>
      <c r="AD472" s="26">
        <f t="shared" si="44"/>
        <v>0</v>
      </c>
      <c r="AE472" s="26">
        <f t="shared" si="45"/>
        <v>0</v>
      </c>
      <c r="AF472" s="26">
        <f t="shared" si="46"/>
        <v>0</v>
      </c>
      <c r="AG472" s="26">
        <f t="shared" si="47"/>
        <v>0</v>
      </c>
    </row>
    <row r="473" spans="1:33" x14ac:dyDescent="0.2">
      <c r="A473" s="89"/>
      <c r="B473" s="89"/>
      <c r="C473" s="89"/>
      <c r="D473" s="89"/>
      <c r="E473" s="89"/>
      <c r="F473" s="89"/>
      <c r="G473" s="89"/>
      <c r="H473" s="89"/>
      <c r="I473" s="33"/>
      <c r="J473" s="9"/>
      <c r="K473" s="9"/>
      <c r="AB473" s="26">
        <f t="shared" si="42"/>
        <v>0</v>
      </c>
      <c r="AC473" s="26">
        <f t="shared" si="43"/>
        <v>0</v>
      </c>
      <c r="AD473" s="26">
        <f t="shared" si="44"/>
        <v>0</v>
      </c>
      <c r="AE473" s="26">
        <f t="shared" si="45"/>
        <v>0</v>
      </c>
      <c r="AF473" s="26">
        <f t="shared" si="46"/>
        <v>0</v>
      </c>
      <c r="AG473" s="26">
        <f t="shared" si="47"/>
        <v>0</v>
      </c>
    </row>
    <row r="474" spans="1:33" x14ac:dyDescent="0.2">
      <c r="A474" s="89"/>
      <c r="B474" s="89"/>
      <c r="C474" s="89"/>
      <c r="D474" s="89"/>
      <c r="E474" s="89"/>
      <c r="F474" s="89"/>
      <c r="G474" s="89"/>
      <c r="H474" s="89"/>
      <c r="I474" s="33"/>
      <c r="J474" s="9"/>
      <c r="K474" s="9"/>
      <c r="AB474" s="26">
        <f t="shared" si="42"/>
        <v>0</v>
      </c>
      <c r="AC474" s="26">
        <f t="shared" si="43"/>
        <v>0</v>
      </c>
      <c r="AD474" s="26">
        <f t="shared" si="44"/>
        <v>0</v>
      </c>
      <c r="AE474" s="26">
        <f t="shared" si="45"/>
        <v>0</v>
      </c>
      <c r="AF474" s="26">
        <f t="shared" si="46"/>
        <v>0</v>
      </c>
      <c r="AG474" s="26">
        <f t="shared" si="47"/>
        <v>0</v>
      </c>
    </row>
    <row r="475" spans="1:33" x14ac:dyDescent="0.2">
      <c r="A475" s="89"/>
      <c r="B475" s="89"/>
      <c r="C475" s="89"/>
      <c r="D475" s="89"/>
      <c r="E475" s="89"/>
      <c r="F475" s="89"/>
      <c r="G475" s="89"/>
      <c r="H475" s="89"/>
      <c r="I475" s="33"/>
      <c r="J475" s="9"/>
      <c r="K475" s="9"/>
      <c r="AB475" s="26">
        <f t="shared" si="42"/>
        <v>0</v>
      </c>
      <c r="AC475" s="26">
        <f t="shared" si="43"/>
        <v>0</v>
      </c>
      <c r="AD475" s="26">
        <f t="shared" si="44"/>
        <v>0</v>
      </c>
      <c r="AE475" s="26">
        <f t="shared" si="45"/>
        <v>0</v>
      </c>
      <c r="AF475" s="26">
        <f t="shared" si="46"/>
        <v>0</v>
      </c>
      <c r="AG475" s="26">
        <f t="shared" si="47"/>
        <v>0</v>
      </c>
    </row>
    <row r="476" spans="1:33" x14ac:dyDescent="0.2">
      <c r="A476" s="89"/>
      <c r="B476" s="89"/>
      <c r="C476" s="89"/>
      <c r="D476" s="89"/>
      <c r="E476" s="89"/>
      <c r="F476" s="89"/>
      <c r="G476" s="89"/>
      <c r="H476" s="89"/>
      <c r="I476" s="33"/>
      <c r="J476" s="9"/>
      <c r="K476" s="9"/>
      <c r="AB476" s="26">
        <f t="shared" si="42"/>
        <v>0</v>
      </c>
      <c r="AC476" s="26">
        <f t="shared" si="43"/>
        <v>0</v>
      </c>
      <c r="AD476" s="26">
        <f t="shared" si="44"/>
        <v>0</v>
      </c>
      <c r="AE476" s="26">
        <f t="shared" si="45"/>
        <v>0</v>
      </c>
      <c r="AF476" s="26">
        <f t="shared" si="46"/>
        <v>0</v>
      </c>
      <c r="AG476" s="26">
        <f t="shared" si="47"/>
        <v>0</v>
      </c>
    </row>
    <row r="477" spans="1:33" x14ac:dyDescent="0.2">
      <c r="A477" s="89"/>
      <c r="B477" s="89"/>
      <c r="C477" s="89"/>
      <c r="D477" s="89"/>
      <c r="E477" s="89"/>
      <c r="F477" s="89"/>
      <c r="G477" s="89"/>
      <c r="H477" s="89"/>
      <c r="I477" s="33"/>
      <c r="J477" s="9"/>
      <c r="K477" s="9"/>
      <c r="AB477" s="26">
        <f t="shared" si="42"/>
        <v>0</v>
      </c>
      <c r="AC477" s="26">
        <f t="shared" si="43"/>
        <v>0</v>
      </c>
      <c r="AD477" s="26">
        <f t="shared" si="44"/>
        <v>0</v>
      </c>
      <c r="AE477" s="26">
        <f t="shared" si="45"/>
        <v>0</v>
      </c>
      <c r="AF477" s="26">
        <f t="shared" si="46"/>
        <v>0</v>
      </c>
      <c r="AG477" s="26">
        <f t="shared" si="47"/>
        <v>0</v>
      </c>
    </row>
    <row r="478" spans="1:33" x14ac:dyDescent="0.2">
      <c r="A478" s="89"/>
      <c r="B478" s="89"/>
      <c r="C478" s="89"/>
      <c r="D478" s="89"/>
      <c r="E478" s="89"/>
      <c r="F478" s="89"/>
      <c r="G478" s="89"/>
      <c r="H478" s="89"/>
      <c r="I478" s="33"/>
      <c r="J478" s="9"/>
      <c r="K478" s="9"/>
      <c r="AB478" s="26">
        <f t="shared" si="42"/>
        <v>0</v>
      </c>
      <c r="AC478" s="26">
        <f t="shared" si="43"/>
        <v>0</v>
      </c>
      <c r="AD478" s="26">
        <f t="shared" si="44"/>
        <v>0</v>
      </c>
      <c r="AE478" s="26">
        <f t="shared" si="45"/>
        <v>0</v>
      </c>
      <c r="AF478" s="26">
        <f t="shared" si="46"/>
        <v>0</v>
      </c>
      <c r="AG478" s="26">
        <f t="shared" si="47"/>
        <v>0</v>
      </c>
    </row>
    <row r="479" spans="1:33" x14ac:dyDescent="0.2">
      <c r="A479" s="89"/>
      <c r="B479" s="89"/>
      <c r="C479" s="89"/>
      <c r="D479" s="89"/>
      <c r="E479" s="89"/>
      <c r="F479" s="89"/>
      <c r="G479" s="89"/>
      <c r="H479" s="89"/>
      <c r="I479" s="33"/>
      <c r="J479" s="9"/>
      <c r="K479" s="9"/>
      <c r="AB479" s="26">
        <f t="shared" si="42"/>
        <v>0</v>
      </c>
      <c r="AC479" s="26">
        <f t="shared" si="43"/>
        <v>0</v>
      </c>
      <c r="AD479" s="26">
        <f t="shared" si="44"/>
        <v>0</v>
      </c>
      <c r="AE479" s="26">
        <f t="shared" si="45"/>
        <v>0</v>
      </c>
      <c r="AF479" s="26">
        <f t="shared" si="46"/>
        <v>0</v>
      </c>
      <c r="AG479" s="26">
        <f t="shared" si="47"/>
        <v>0</v>
      </c>
    </row>
    <row r="480" spans="1:33" x14ac:dyDescent="0.2">
      <c r="A480" s="89"/>
      <c r="B480" s="89"/>
      <c r="C480" s="89"/>
      <c r="D480" s="89"/>
      <c r="E480" s="89"/>
      <c r="F480" s="89"/>
      <c r="G480" s="89"/>
      <c r="H480" s="89"/>
      <c r="I480" s="33"/>
      <c r="J480" s="9"/>
      <c r="K480" s="9"/>
      <c r="AB480" s="26">
        <f t="shared" si="42"/>
        <v>0</v>
      </c>
      <c r="AC480" s="26">
        <f t="shared" si="43"/>
        <v>0</v>
      </c>
      <c r="AD480" s="26">
        <f t="shared" si="44"/>
        <v>0</v>
      </c>
      <c r="AE480" s="26">
        <f t="shared" si="45"/>
        <v>0</v>
      </c>
      <c r="AF480" s="26">
        <f t="shared" si="46"/>
        <v>0</v>
      </c>
      <c r="AG480" s="26">
        <f t="shared" si="47"/>
        <v>0</v>
      </c>
    </row>
    <row r="481" spans="1:33" x14ac:dyDescent="0.2">
      <c r="A481" s="89"/>
      <c r="B481" s="89"/>
      <c r="C481" s="89"/>
      <c r="D481" s="89"/>
      <c r="E481" s="89"/>
      <c r="F481" s="89"/>
      <c r="G481" s="89"/>
      <c r="H481" s="89"/>
      <c r="I481" s="33"/>
      <c r="J481" s="9"/>
      <c r="K481" s="9"/>
      <c r="AB481" s="26">
        <f t="shared" si="42"/>
        <v>0</v>
      </c>
      <c r="AC481" s="26">
        <f t="shared" si="43"/>
        <v>0</v>
      </c>
      <c r="AD481" s="26">
        <f t="shared" si="44"/>
        <v>0</v>
      </c>
      <c r="AE481" s="26">
        <f t="shared" si="45"/>
        <v>0</v>
      </c>
      <c r="AF481" s="26">
        <f t="shared" si="46"/>
        <v>0</v>
      </c>
      <c r="AG481" s="26">
        <f t="shared" si="47"/>
        <v>0</v>
      </c>
    </row>
    <row r="482" spans="1:33" x14ac:dyDescent="0.2">
      <c r="A482" s="89"/>
      <c r="B482" s="89"/>
      <c r="C482" s="89"/>
      <c r="D482" s="89"/>
      <c r="E482" s="89"/>
      <c r="F482" s="89"/>
      <c r="G482" s="89"/>
      <c r="H482" s="89"/>
      <c r="I482" s="33"/>
      <c r="J482" s="9"/>
      <c r="K482" s="9"/>
      <c r="AB482" s="26">
        <f t="shared" si="42"/>
        <v>0</v>
      </c>
      <c r="AC482" s="26">
        <f t="shared" si="43"/>
        <v>0</v>
      </c>
      <c r="AD482" s="26">
        <f t="shared" si="44"/>
        <v>0</v>
      </c>
      <c r="AE482" s="26">
        <f t="shared" si="45"/>
        <v>0</v>
      </c>
      <c r="AF482" s="26">
        <f t="shared" si="46"/>
        <v>0</v>
      </c>
      <c r="AG482" s="26">
        <f t="shared" si="47"/>
        <v>0</v>
      </c>
    </row>
    <row r="483" spans="1:33" x14ac:dyDescent="0.2">
      <c r="A483" s="89"/>
      <c r="B483" s="89"/>
      <c r="C483" s="89"/>
      <c r="D483" s="89"/>
      <c r="E483" s="89"/>
      <c r="F483" s="89"/>
      <c r="G483" s="89"/>
      <c r="H483" s="89"/>
      <c r="I483" s="33"/>
      <c r="J483" s="9"/>
      <c r="K483" s="9"/>
      <c r="AB483" s="26">
        <f t="shared" si="42"/>
        <v>0</v>
      </c>
      <c r="AC483" s="26">
        <f t="shared" si="43"/>
        <v>0</v>
      </c>
      <c r="AD483" s="26">
        <f t="shared" si="44"/>
        <v>0</v>
      </c>
      <c r="AE483" s="26">
        <f t="shared" si="45"/>
        <v>0</v>
      </c>
      <c r="AF483" s="26">
        <f t="shared" si="46"/>
        <v>0</v>
      </c>
      <c r="AG483" s="26">
        <f t="shared" si="47"/>
        <v>0</v>
      </c>
    </row>
    <row r="484" spans="1:33" x14ac:dyDescent="0.2">
      <c r="A484" s="89"/>
      <c r="B484" s="89"/>
      <c r="C484" s="89"/>
      <c r="D484" s="89"/>
      <c r="E484" s="89"/>
      <c r="F484" s="89"/>
      <c r="G484" s="89"/>
      <c r="H484" s="89"/>
      <c r="I484" s="33"/>
      <c r="J484" s="9"/>
      <c r="K484" s="9"/>
      <c r="AB484" s="26">
        <f t="shared" si="42"/>
        <v>0</v>
      </c>
      <c r="AC484" s="26">
        <f t="shared" si="43"/>
        <v>0</v>
      </c>
      <c r="AD484" s="26">
        <f t="shared" si="44"/>
        <v>0</v>
      </c>
      <c r="AE484" s="26">
        <f t="shared" si="45"/>
        <v>0</v>
      </c>
      <c r="AF484" s="26">
        <f t="shared" si="46"/>
        <v>0</v>
      </c>
      <c r="AG484" s="26">
        <f t="shared" si="47"/>
        <v>0</v>
      </c>
    </row>
    <row r="485" spans="1:33" x14ac:dyDescent="0.2">
      <c r="A485" s="89"/>
      <c r="B485" s="89"/>
      <c r="C485" s="89"/>
      <c r="D485" s="89"/>
      <c r="E485" s="89"/>
      <c r="F485" s="89"/>
      <c r="G485" s="89"/>
      <c r="H485" s="89"/>
      <c r="I485" s="33"/>
      <c r="J485" s="9"/>
      <c r="K485" s="9"/>
      <c r="AB485" s="26">
        <f t="shared" si="42"/>
        <v>0</v>
      </c>
      <c r="AC485" s="26">
        <f t="shared" si="43"/>
        <v>0</v>
      </c>
      <c r="AD485" s="26">
        <f t="shared" si="44"/>
        <v>0</v>
      </c>
      <c r="AE485" s="26">
        <f t="shared" si="45"/>
        <v>0</v>
      </c>
      <c r="AF485" s="26">
        <f t="shared" si="46"/>
        <v>0</v>
      </c>
      <c r="AG485" s="26">
        <f t="shared" si="47"/>
        <v>0</v>
      </c>
    </row>
    <row r="486" spans="1:33" x14ac:dyDescent="0.2">
      <c r="A486" s="89"/>
      <c r="B486" s="89"/>
      <c r="C486" s="89"/>
      <c r="D486" s="89"/>
      <c r="E486" s="89"/>
      <c r="F486" s="89"/>
      <c r="G486" s="89"/>
      <c r="H486" s="89"/>
      <c r="I486" s="33"/>
      <c r="J486" s="9"/>
      <c r="K486" s="9"/>
      <c r="AB486" s="26">
        <f t="shared" si="42"/>
        <v>0</v>
      </c>
      <c r="AC486" s="26">
        <f t="shared" si="43"/>
        <v>0</v>
      </c>
      <c r="AD486" s="26">
        <f t="shared" si="44"/>
        <v>0</v>
      </c>
      <c r="AE486" s="26">
        <f t="shared" si="45"/>
        <v>0</v>
      </c>
      <c r="AF486" s="26">
        <f t="shared" si="46"/>
        <v>0</v>
      </c>
      <c r="AG486" s="26">
        <f t="shared" si="47"/>
        <v>0</v>
      </c>
    </row>
    <row r="487" spans="1:33" x14ac:dyDescent="0.2">
      <c r="A487" s="89"/>
      <c r="B487" s="89"/>
      <c r="C487" s="89"/>
      <c r="D487" s="89"/>
      <c r="E487" s="89"/>
      <c r="F487" s="89"/>
      <c r="G487" s="89"/>
      <c r="H487" s="89"/>
      <c r="I487" s="33"/>
      <c r="J487" s="9"/>
      <c r="K487" s="9"/>
      <c r="AB487" s="26">
        <f t="shared" si="42"/>
        <v>0</v>
      </c>
      <c r="AC487" s="26">
        <f t="shared" si="43"/>
        <v>0</v>
      </c>
      <c r="AD487" s="26">
        <f t="shared" si="44"/>
        <v>0</v>
      </c>
      <c r="AE487" s="26">
        <f t="shared" si="45"/>
        <v>0</v>
      </c>
      <c r="AF487" s="26">
        <f t="shared" si="46"/>
        <v>0</v>
      </c>
      <c r="AG487" s="26">
        <f t="shared" si="47"/>
        <v>0</v>
      </c>
    </row>
    <row r="488" spans="1:33" x14ac:dyDescent="0.2">
      <c r="A488" s="89"/>
      <c r="B488" s="89"/>
      <c r="C488" s="89"/>
      <c r="D488" s="89"/>
      <c r="E488" s="89"/>
      <c r="F488" s="89"/>
      <c r="G488" s="89"/>
      <c r="H488" s="89"/>
      <c r="I488" s="33"/>
      <c r="J488" s="9"/>
      <c r="K488" s="9"/>
      <c r="AB488" s="26">
        <f t="shared" si="42"/>
        <v>0</v>
      </c>
      <c r="AC488" s="26">
        <f t="shared" si="43"/>
        <v>0</v>
      </c>
      <c r="AD488" s="26">
        <f t="shared" si="44"/>
        <v>0</v>
      </c>
      <c r="AE488" s="26">
        <f t="shared" si="45"/>
        <v>0</v>
      </c>
      <c r="AF488" s="26">
        <f t="shared" si="46"/>
        <v>0</v>
      </c>
      <c r="AG488" s="26">
        <f t="shared" si="47"/>
        <v>0</v>
      </c>
    </row>
    <row r="489" spans="1:33" x14ac:dyDescent="0.2">
      <c r="A489" s="89"/>
      <c r="B489" s="89"/>
      <c r="C489" s="89"/>
      <c r="D489" s="89"/>
      <c r="E489" s="89"/>
      <c r="F489" s="89"/>
      <c r="G489" s="89"/>
      <c r="H489" s="89"/>
      <c r="I489" s="33"/>
      <c r="J489" s="9"/>
      <c r="K489" s="9"/>
      <c r="AB489" s="26">
        <f t="shared" si="42"/>
        <v>0</v>
      </c>
      <c r="AC489" s="26">
        <f t="shared" si="43"/>
        <v>0</v>
      </c>
      <c r="AD489" s="26">
        <f t="shared" si="44"/>
        <v>0</v>
      </c>
      <c r="AE489" s="26">
        <f t="shared" si="45"/>
        <v>0</v>
      </c>
      <c r="AF489" s="26">
        <f t="shared" si="46"/>
        <v>0</v>
      </c>
      <c r="AG489" s="26">
        <f t="shared" si="47"/>
        <v>0</v>
      </c>
    </row>
    <row r="490" spans="1:33" x14ac:dyDescent="0.2">
      <c r="A490" s="89"/>
      <c r="B490" s="89"/>
      <c r="C490" s="89"/>
      <c r="D490" s="89"/>
      <c r="E490" s="89"/>
      <c r="F490" s="89"/>
      <c r="G490" s="89"/>
      <c r="H490" s="89"/>
      <c r="I490" s="33"/>
      <c r="J490" s="9"/>
      <c r="K490" s="9"/>
      <c r="AB490" s="26">
        <f t="shared" si="42"/>
        <v>0</v>
      </c>
      <c r="AC490" s="26">
        <f t="shared" si="43"/>
        <v>0</v>
      </c>
      <c r="AD490" s="26">
        <f t="shared" si="44"/>
        <v>0</v>
      </c>
      <c r="AE490" s="26">
        <f t="shared" si="45"/>
        <v>0</v>
      </c>
      <c r="AF490" s="26">
        <f t="shared" si="46"/>
        <v>0</v>
      </c>
      <c r="AG490" s="26">
        <f t="shared" si="47"/>
        <v>0</v>
      </c>
    </row>
    <row r="491" spans="1:33" x14ac:dyDescent="0.2">
      <c r="A491" s="89"/>
      <c r="B491" s="89"/>
      <c r="C491" s="89"/>
      <c r="D491" s="89"/>
      <c r="E491" s="89"/>
      <c r="F491" s="89"/>
      <c r="G491" s="89"/>
      <c r="H491" s="89"/>
      <c r="I491" s="33"/>
      <c r="J491" s="9"/>
      <c r="K491" s="9"/>
      <c r="AB491" s="26">
        <f t="shared" si="42"/>
        <v>0</v>
      </c>
      <c r="AC491" s="26">
        <f t="shared" si="43"/>
        <v>0</v>
      </c>
      <c r="AD491" s="26">
        <f t="shared" si="44"/>
        <v>0</v>
      </c>
      <c r="AE491" s="26">
        <f t="shared" si="45"/>
        <v>0</v>
      </c>
      <c r="AF491" s="26">
        <f t="shared" si="46"/>
        <v>0</v>
      </c>
      <c r="AG491" s="26">
        <f t="shared" si="47"/>
        <v>0</v>
      </c>
    </row>
    <row r="492" spans="1:33" x14ac:dyDescent="0.2">
      <c r="A492" s="89"/>
      <c r="B492" s="89"/>
      <c r="C492" s="89"/>
      <c r="D492" s="89"/>
      <c r="E492" s="89"/>
      <c r="F492" s="89"/>
      <c r="G492" s="89"/>
      <c r="H492" s="89"/>
      <c r="I492" s="33"/>
      <c r="J492" s="9"/>
      <c r="K492" s="9"/>
      <c r="AB492" s="26">
        <f t="shared" si="42"/>
        <v>0</v>
      </c>
      <c r="AC492" s="26">
        <f t="shared" si="43"/>
        <v>0</v>
      </c>
      <c r="AD492" s="26">
        <f t="shared" si="44"/>
        <v>0</v>
      </c>
      <c r="AE492" s="26">
        <f t="shared" si="45"/>
        <v>0</v>
      </c>
      <c r="AF492" s="26">
        <f t="shared" si="46"/>
        <v>0</v>
      </c>
      <c r="AG492" s="26">
        <f t="shared" si="47"/>
        <v>0</v>
      </c>
    </row>
    <row r="493" spans="1:33" x14ac:dyDescent="0.2">
      <c r="A493" s="89"/>
      <c r="B493" s="89"/>
      <c r="C493" s="89"/>
      <c r="D493" s="89"/>
      <c r="E493" s="89"/>
      <c r="F493" s="89"/>
      <c r="G493" s="89"/>
      <c r="H493" s="89"/>
      <c r="I493" s="33"/>
      <c r="J493" s="9"/>
      <c r="K493" s="9"/>
      <c r="AB493" s="26">
        <f t="shared" si="42"/>
        <v>0</v>
      </c>
      <c r="AC493" s="26">
        <f t="shared" si="43"/>
        <v>0</v>
      </c>
      <c r="AD493" s="26">
        <f t="shared" si="44"/>
        <v>0</v>
      </c>
      <c r="AE493" s="26">
        <f t="shared" si="45"/>
        <v>0</v>
      </c>
      <c r="AF493" s="26">
        <f t="shared" si="46"/>
        <v>0</v>
      </c>
      <c r="AG493" s="26">
        <f t="shared" si="47"/>
        <v>0</v>
      </c>
    </row>
    <row r="494" spans="1:33" x14ac:dyDescent="0.2">
      <c r="A494" s="89"/>
      <c r="B494" s="89"/>
      <c r="C494" s="89"/>
      <c r="D494" s="89"/>
      <c r="E494" s="89"/>
      <c r="F494" s="89"/>
      <c r="G494" s="89"/>
      <c r="H494" s="89"/>
      <c r="I494" s="33"/>
      <c r="J494" s="9"/>
      <c r="K494" s="9"/>
      <c r="AB494" s="26">
        <f t="shared" si="42"/>
        <v>0</v>
      </c>
      <c r="AC494" s="26">
        <f t="shared" si="43"/>
        <v>0</v>
      </c>
      <c r="AD494" s="26">
        <f t="shared" si="44"/>
        <v>0</v>
      </c>
      <c r="AE494" s="26">
        <f t="shared" si="45"/>
        <v>0</v>
      </c>
      <c r="AF494" s="26">
        <f t="shared" si="46"/>
        <v>0</v>
      </c>
      <c r="AG494" s="26">
        <f t="shared" si="47"/>
        <v>0</v>
      </c>
    </row>
    <row r="495" spans="1:33" x14ac:dyDescent="0.2">
      <c r="A495" s="89"/>
      <c r="B495" s="89"/>
      <c r="C495" s="89"/>
      <c r="D495" s="89"/>
      <c r="E495" s="89"/>
      <c r="F495" s="89"/>
      <c r="G495" s="89"/>
      <c r="H495" s="89"/>
      <c r="I495" s="33"/>
      <c r="J495" s="9"/>
      <c r="K495" s="9"/>
      <c r="AB495" s="26">
        <f t="shared" si="42"/>
        <v>0</v>
      </c>
      <c r="AC495" s="26">
        <f t="shared" si="43"/>
        <v>0</v>
      </c>
      <c r="AD495" s="26">
        <f t="shared" si="44"/>
        <v>0</v>
      </c>
      <c r="AE495" s="26">
        <f t="shared" si="45"/>
        <v>0</v>
      </c>
      <c r="AF495" s="26">
        <f t="shared" si="46"/>
        <v>0</v>
      </c>
      <c r="AG495" s="26">
        <f t="shared" si="47"/>
        <v>0</v>
      </c>
    </row>
    <row r="496" spans="1:33" x14ac:dyDescent="0.2">
      <c r="A496" s="89"/>
      <c r="B496" s="89"/>
      <c r="C496" s="89"/>
      <c r="D496" s="89"/>
      <c r="E496" s="89"/>
      <c r="F496" s="89"/>
      <c r="G496" s="89"/>
      <c r="H496" s="89"/>
      <c r="I496" s="33"/>
      <c r="J496" s="9"/>
      <c r="K496" s="9"/>
      <c r="AB496" s="26">
        <f t="shared" si="42"/>
        <v>0</v>
      </c>
      <c r="AC496" s="26">
        <f t="shared" si="43"/>
        <v>0</v>
      </c>
      <c r="AD496" s="26">
        <f t="shared" si="44"/>
        <v>0</v>
      </c>
      <c r="AE496" s="26">
        <f t="shared" si="45"/>
        <v>0</v>
      </c>
      <c r="AF496" s="26">
        <f t="shared" si="46"/>
        <v>0</v>
      </c>
      <c r="AG496" s="26">
        <f t="shared" si="47"/>
        <v>0</v>
      </c>
    </row>
    <row r="497" spans="1:33" x14ac:dyDescent="0.2">
      <c r="A497" s="89"/>
      <c r="B497" s="89"/>
      <c r="C497" s="89"/>
      <c r="D497" s="89"/>
      <c r="E497" s="89"/>
      <c r="F497" s="89"/>
      <c r="G497" s="89"/>
      <c r="H497" s="89"/>
      <c r="I497" s="33"/>
      <c r="J497" s="9"/>
      <c r="K497" s="9"/>
      <c r="AB497" s="26">
        <f t="shared" si="42"/>
        <v>0</v>
      </c>
      <c r="AC497" s="26">
        <f t="shared" si="43"/>
        <v>0</v>
      </c>
      <c r="AD497" s="26">
        <f t="shared" si="44"/>
        <v>0</v>
      </c>
      <c r="AE497" s="26">
        <f t="shared" si="45"/>
        <v>0</v>
      </c>
      <c r="AF497" s="26">
        <f t="shared" si="46"/>
        <v>0</v>
      </c>
      <c r="AG497" s="26">
        <f t="shared" si="47"/>
        <v>0</v>
      </c>
    </row>
    <row r="498" spans="1:33" x14ac:dyDescent="0.2">
      <c r="A498" s="89"/>
      <c r="B498" s="89"/>
      <c r="C498" s="89"/>
      <c r="D498" s="89"/>
      <c r="E498" s="89"/>
      <c r="F498" s="89"/>
      <c r="G498" s="89"/>
      <c r="H498" s="89"/>
      <c r="I498" s="33"/>
      <c r="J498" s="9"/>
      <c r="K498" s="9"/>
      <c r="AB498" s="26">
        <f t="shared" si="42"/>
        <v>0</v>
      </c>
      <c r="AC498" s="26">
        <f t="shared" si="43"/>
        <v>0</v>
      </c>
      <c r="AD498" s="26">
        <f t="shared" si="44"/>
        <v>0</v>
      </c>
      <c r="AE498" s="26">
        <f t="shared" si="45"/>
        <v>0</v>
      </c>
      <c r="AF498" s="26">
        <f t="shared" si="46"/>
        <v>0</v>
      </c>
      <c r="AG498" s="26">
        <f t="shared" si="47"/>
        <v>0</v>
      </c>
    </row>
    <row r="499" spans="1:33" x14ac:dyDescent="0.2">
      <c r="A499" s="89"/>
      <c r="B499" s="89"/>
      <c r="C499" s="89"/>
      <c r="D499" s="89"/>
      <c r="E499" s="89"/>
      <c r="F499" s="89"/>
      <c r="G499" s="89"/>
      <c r="H499" s="89"/>
      <c r="I499" s="33"/>
      <c r="J499" s="9"/>
      <c r="K499" s="9"/>
      <c r="AB499" s="26">
        <f t="shared" si="42"/>
        <v>0</v>
      </c>
      <c r="AC499" s="26">
        <f t="shared" si="43"/>
        <v>0</v>
      </c>
      <c r="AD499" s="26">
        <f t="shared" si="44"/>
        <v>0</v>
      </c>
      <c r="AE499" s="26">
        <f t="shared" si="45"/>
        <v>0</v>
      </c>
      <c r="AF499" s="26">
        <f t="shared" si="46"/>
        <v>0</v>
      </c>
      <c r="AG499" s="26">
        <f t="shared" si="47"/>
        <v>0</v>
      </c>
    </row>
    <row r="500" spans="1:33" x14ac:dyDescent="0.2">
      <c r="A500" s="89"/>
      <c r="B500" s="89"/>
      <c r="C500" s="89"/>
      <c r="D500" s="89"/>
      <c r="E500" s="89"/>
      <c r="F500" s="89"/>
      <c r="G500" s="89"/>
      <c r="H500" s="89"/>
      <c r="I500" s="33"/>
      <c r="J500" s="9"/>
      <c r="K500" s="9"/>
      <c r="AB500" s="26">
        <f t="shared" si="42"/>
        <v>0</v>
      </c>
      <c r="AC500" s="26">
        <f t="shared" si="43"/>
        <v>0</v>
      </c>
      <c r="AD500" s="26">
        <f t="shared" si="44"/>
        <v>0</v>
      </c>
      <c r="AE500" s="26">
        <f t="shared" si="45"/>
        <v>0</v>
      </c>
      <c r="AF500" s="26">
        <f t="shared" si="46"/>
        <v>0</v>
      </c>
      <c r="AG500" s="26">
        <f t="shared" si="47"/>
        <v>0</v>
      </c>
    </row>
    <row r="501" spans="1:33" x14ac:dyDescent="0.2">
      <c r="A501" s="89"/>
      <c r="B501" s="89"/>
      <c r="C501" s="89"/>
      <c r="D501" s="89"/>
      <c r="E501" s="89"/>
      <c r="F501" s="89"/>
      <c r="G501" s="89"/>
      <c r="H501" s="89"/>
      <c r="I501" s="33"/>
      <c r="J501" s="9"/>
      <c r="K501" s="9"/>
      <c r="AB501" s="26">
        <f t="shared" si="42"/>
        <v>0</v>
      </c>
      <c r="AC501" s="26">
        <f t="shared" si="43"/>
        <v>0</v>
      </c>
      <c r="AD501" s="26">
        <f t="shared" si="44"/>
        <v>0</v>
      </c>
      <c r="AE501" s="26">
        <f t="shared" si="45"/>
        <v>0</v>
      </c>
      <c r="AF501" s="26">
        <f t="shared" si="46"/>
        <v>0</v>
      </c>
      <c r="AG501" s="26">
        <f t="shared" si="47"/>
        <v>0</v>
      </c>
    </row>
    <row r="502" spans="1:33" x14ac:dyDescent="0.2">
      <c r="A502" s="89"/>
      <c r="B502" s="89"/>
      <c r="C502" s="89"/>
      <c r="D502" s="89"/>
      <c r="E502" s="89"/>
      <c r="F502" s="89"/>
      <c r="G502" s="89"/>
      <c r="H502" s="89"/>
      <c r="I502" s="33"/>
      <c r="J502" s="9"/>
      <c r="K502" s="9"/>
      <c r="AB502" s="26">
        <f t="shared" si="42"/>
        <v>0</v>
      </c>
      <c r="AC502" s="26">
        <f t="shared" si="43"/>
        <v>0</v>
      </c>
      <c r="AD502" s="26">
        <f t="shared" si="44"/>
        <v>0</v>
      </c>
      <c r="AE502" s="26">
        <f t="shared" si="45"/>
        <v>0</v>
      </c>
      <c r="AF502" s="26">
        <f t="shared" si="46"/>
        <v>0</v>
      </c>
      <c r="AG502" s="26">
        <f t="shared" si="47"/>
        <v>0</v>
      </c>
    </row>
    <row r="503" spans="1:33" x14ac:dyDescent="0.2">
      <c r="A503" s="89"/>
      <c r="B503" s="89"/>
      <c r="C503" s="89"/>
      <c r="D503" s="89"/>
      <c r="E503" s="89"/>
      <c r="F503" s="89"/>
      <c r="G503" s="89"/>
      <c r="H503" s="89"/>
      <c r="I503" s="33"/>
      <c r="J503" s="9"/>
      <c r="K503" s="9"/>
      <c r="AB503" s="26">
        <f t="shared" si="42"/>
        <v>0</v>
      </c>
      <c r="AC503" s="26">
        <f t="shared" si="43"/>
        <v>0</v>
      </c>
      <c r="AD503" s="26">
        <f t="shared" si="44"/>
        <v>0</v>
      </c>
      <c r="AE503" s="26">
        <f t="shared" si="45"/>
        <v>0</v>
      </c>
      <c r="AF503" s="26">
        <f t="shared" si="46"/>
        <v>0</v>
      </c>
      <c r="AG503" s="26">
        <f t="shared" si="47"/>
        <v>0</v>
      </c>
    </row>
    <row r="504" spans="1:33" x14ac:dyDescent="0.2">
      <c r="A504" s="89"/>
      <c r="B504" s="89"/>
      <c r="C504" s="89"/>
      <c r="D504" s="89"/>
      <c r="E504" s="89"/>
      <c r="F504" s="89"/>
      <c r="G504" s="89"/>
      <c r="H504" s="89"/>
      <c r="I504" s="33"/>
      <c r="J504" s="9"/>
      <c r="K504" s="9"/>
      <c r="AB504" s="26">
        <f t="shared" si="42"/>
        <v>0</v>
      </c>
      <c r="AC504" s="26">
        <f t="shared" si="43"/>
        <v>0</v>
      </c>
      <c r="AD504" s="26">
        <f t="shared" si="44"/>
        <v>0</v>
      </c>
      <c r="AE504" s="26">
        <f t="shared" si="45"/>
        <v>0</v>
      </c>
      <c r="AF504" s="26">
        <f t="shared" si="46"/>
        <v>0</v>
      </c>
      <c r="AG504" s="26">
        <f t="shared" si="47"/>
        <v>0</v>
      </c>
    </row>
    <row r="505" spans="1:33" x14ac:dyDescent="0.2">
      <c r="A505" s="89"/>
      <c r="B505" s="89"/>
      <c r="C505" s="89"/>
      <c r="D505" s="89"/>
      <c r="E505" s="89"/>
      <c r="F505" s="89"/>
      <c r="G505" s="89"/>
      <c r="H505" s="89"/>
      <c r="I505" s="33"/>
      <c r="J505" s="9"/>
      <c r="K505" s="9"/>
      <c r="AB505" s="26">
        <f t="shared" si="42"/>
        <v>0</v>
      </c>
      <c r="AC505" s="26">
        <f t="shared" si="43"/>
        <v>0</v>
      </c>
      <c r="AD505" s="26">
        <f t="shared" si="44"/>
        <v>0</v>
      </c>
      <c r="AE505" s="26">
        <f t="shared" si="45"/>
        <v>0</v>
      </c>
      <c r="AF505" s="26">
        <f t="shared" si="46"/>
        <v>0</v>
      </c>
      <c r="AG505" s="26">
        <f t="shared" si="47"/>
        <v>0</v>
      </c>
    </row>
    <row r="506" spans="1:33" x14ac:dyDescent="0.2">
      <c r="A506" s="89"/>
      <c r="B506" s="89"/>
      <c r="C506" s="89"/>
      <c r="D506" s="89"/>
      <c r="E506" s="89"/>
      <c r="F506" s="89"/>
      <c r="G506" s="89"/>
      <c r="H506" s="89"/>
      <c r="I506" s="33"/>
      <c r="J506" s="9"/>
      <c r="K506" s="9"/>
      <c r="AB506" s="26">
        <f t="shared" si="42"/>
        <v>0</v>
      </c>
      <c r="AC506" s="26">
        <f t="shared" si="43"/>
        <v>0</v>
      </c>
      <c r="AD506" s="26">
        <f t="shared" si="44"/>
        <v>0</v>
      </c>
      <c r="AE506" s="26">
        <f t="shared" si="45"/>
        <v>0</v>
      </c>
      <c r="AF506" s="26">
        <f t="shared" si="46"/>
        <v>0</v>
      </c>
      <c r="AG506" s="26">
        <f t="shared" si="47"/>
        <v>0</v>
      </c>
    </row>
    <row r="507" spans="1:33" x14ac:dyDescent="0.2">
      <c r="A507" s="89"/>
      <c r="B507" s="89"/>
      <c r="C507" s="89"/>
      <c r="D507" s="89"/>
      <c r="E507" s="89"/>
      <c r="F507" s="89"/>
      <c r="G507" s="89"/>
      <c r="H507" s="89"/>
      <c r="I507" s="33"/>
      <c r="J507" s="9"/>
      <c r="K507" s="9"/>
      <c r="AB507" s="26">
        <f t="shared" si="42"/>
        <v>0</v>
      </c>
      <c r="AC507" s="26">
        <f t="shared" si="43"/>
        <v>0</v>
      </c>
      <c r="AD507" s="26">
        <f t="shared" si="44"/>
        <v>0</v>
      </c>
      <c r="AE507" s="26">
        <f t="shared" si="45"/>
        <v>0</v>
      </c>
      <c r="AF507" s="26">
        <f t="shared" si="46"/>
        <v>0</v>
      </c>
      <c r="AG507" s="26">
        <f t="shared" si="47"/>
        <v>0</v>
      </c>
    </row>
    <row r="508" spans="1:33" x14ac:dyDescent="0.2">
      <c r="A508" s="89"/>
      <c r="B508" s="89"/>
      <c r="C508" s="89"/>
      <c r="D508" s="89"/>
      <c r="E508" s="89"/>
      <c r="F508" s="89"/>
      <c r="G508" s="89"/>
      <c r="H508" s="89"/>
      <c r="I508" s="33"/>
      <c r="J508" s="9"/>
      <c r="K508" s="9"/>
      <c r="AB508" s="26">
        <f t="shared" si="42"/>
        <v>0</v>
      </c>
      <c r="AC508" s="26">
        <f t="shared" si="43"/>
        <v>0</v>
      </c>
      <c r="AD508" s="26">
        <f t="shared" si="44"/>
        <v>0</v>
      </c>
      <c r="AE508" s="26">
        <f t="shared" si="45"/>
        <v>0</v>
      </c>
      <c r="AF508" s="26">
        <f t="shared" si="46"/>
        <v>0</v>
      </c>
      <c r="AG508" s="26">
        <f t="shared" si="47"/>
        <v>0</v>
      </c>
    </row>
    <row r="509" spans="1:33" x14ac:dyDescent="0.2">
      <c r="A509" s="89"/>
      <c r="B509" s="89"/>
      <c r="C509" s="89"/>
      <c r="D509" s="89"/>
      <c r="E509" s="89"/>
      <c r="F509" s="89"/>
      <c r="G509" s="89"/>
      <c r="H509" s="89"/>
      <c r="I509" s="33"/>
      <c r="J509" s="9"/>
      <c r="K509" s="9"/>
      <c r="AB509" s="26">
        <f t="shared" si="42"/>
        <v>0</v>
      </c>
      <c r="AC509" s="26">
        <f t="shared" si="43"/>
        <v>0</v>
      </c>
      <c r="AD509" s="26">
        <f t="shared" si="44"/>
        <v>0</v>
      </c>
      <c r="AE509" s="26">
        <f t="shared" si="45"/>
        <v>0</v>
      </c>
      <c r="AF509" s="26">
        <f t="shared" si="46"/>
        <v>0</v>
      </c>
      <c r="AG509" s="26">
        <f t="shared" si="47"/>
        <v>0</v>
      </c>
    </row>
    <row r="510" spans="1:33" x14ac:dyDescent="0.2">
      <c r="A510" s="89"/>
      <c r="B510" s="89"/>
      <c r="C510" s="89"/>
      <c r="D510" s="89"/>
      <c r="E510" s="89"/>
      <c r="F510" s="89"/>
      <c r="G510" s="89"/>
      <c r="H510" s="89"/>
      <c r="I510" s="33"/>
      <c r="J510" s="9"/>
      <c r="K510" s="9"/>
      <c r="AB510" s="26">
        <f t="shared" si="42"/>
        <v>0</v>
      </c>
      <c r="AC510" s="26">
        <f t="shared" si="43"/>
        <v>0</v>
      </c>
      <c r="AD510" s="26">
        <f t="shared" si="44"/>
        <v>0</v>
      </c>
      <c r="AE510" s="26">
        <f t="shared" si="45"/>
        <v>0</v>
      </c>
      <c r="AF510" s="26">
        <f t="shared" si="46"/>
        <v>0</v>
      </c>
      <c r="AG510" s="26">
        <f t="shared" si="47"/>
        <v>0</v>
      </c>
    </row>
    <row r="511" spans="1:33" x14ac:dyDescent="0.2">
      <c r="A511" s="89"/>
      <c r="B511" s="89"/>
      <c r="C511" s="89"/>
      <c r="D511" s="89"/>
      <c r="E511" s="89"/>
      <c r="F511" s="89"/>
      <c r="G511" s="89"/>
      <c r="H511" s="89"/>
      <c r="I511" s="33"/>
      <c r="J511" s="9"/>
      <c r="K511" s="9"/>
      <c r="AB511" s="26">
        <f t="shared" si="42"/>
        <v>0</v>
      </c>
      <c r="AC511" s="26">
        <f t="shared" si="43"/>
        <v>0</v>
      </c>
      <c r="AD511" s="26">
        <f t="shared" si="44"/>
        <v>0</v>
      </c>
      <c r="AE511" s="26">
        <f t="shared" si="45"/>
        <v>0</v>
      </c>
      <c r="AF511" s="26">
        <f t="shared" si="46"/>
        <v>0</v>
      </c>
      <c r="AG511" s="26">
        <f t="shared" si="47"/>
        <v>0</v>
      </c>
    </row>
    <row r="512" spans="1:33" x14ac:dyDescent="0.2">
      <c r="A512" s="89"/>
      <c r="B512" s="89"/>
      <c r="C512" s="89"/>
      <c r="D512" s="89"/>
      <c r="E512" s="89"/>
      <c r="F512" s="89"/>
      <c r="G512" s="89"/>
      <c r="H512" s="89"/>
      <c r="I512" s="33"/>
      <c r="J512" s="9"/>
      <c r="K512" s="9"/>
      <c r="AB512" s="26">
        <f t="shared" si="42"/>
        <v>0</v>
      </c>
      <c r="AC512" s="26">
        <f t="shared" si="43"/>
        <v>0</v>
      </c>
      <c r="AD512" s="26">
        <f t="shared" si="44"/>
        <v>0</v>
      </c>
      <c r="AE512" s="26">
        <f t="shared" si="45"/>
        <v>0</v>
      </c>
      <c r="AF512" s="26">
        <f t="shared" si="46"/>
        <v>0</v>
      </c>
      <c r="AG512" s="26">
        <f t="shared" si="47"/>
        <v>0</v>
      </c>
    </row>
    <row r="513" spans="1:33" x14ac:dyDescent="0.2">
      <c r="A513" s="89"/>
      <c r="B513" s="89"/>
      <c r="C513" s="89"/>
      <c r="D513" s="89"/>
      <c r="E513" s="89"/>
      <c r="F513" s="89"/>
      <c r="G513" s="89"/>
      <c r="H513" s="89"/>
      <c r="I513" s="33"/>
      <c r="J513" s="9"/>
      <c r="K513" s="9"/>
      <c r="AB513" s="26">
        <f t="shared" si="42"/>
        <v>0</v>
      </c>
      <c r="AC513" s="26">
        <f t="shared" si="43"/>
        <v>0</v>
      </c>
      <c r="AD513" s="26">
        <f t="shared" si="44"/>
        <v>0</v>
      </c>
      <c r="AE513" s="26">
        <f t="shared" si="45"/>
        <v>0</v>
      </c>
      <c r="AF513" s="26">
        <f t="shared" si="46"/>
        <v>0</v>
      </c>
      <c r="AG513" s="26">
        <f t="shared" si="47"/>
        <v>0</v>
      </c>
    </row>
    <row r="514" spans="1:33" x14ac:dyDescent="0.2">
      <c r="A514" s="89"/>
      <c r="B514" s="89"/>
      <c r="C514" s="89"/>
      <c r="D514" s="89"/>
      <c r="E514" s="89"/>
      <c r="F514" s="89"/>
      <c r="G514" s="89"/>
      <c r="H514" s="89"/>
      <c r="I514" s="33"/>
      <c r="J514" s="9"/>
      <c r="K514" s="9"/>
      <c r="AB514" s="26">
        <f t="shared" si="42"/>
        <v>0</v>
      </c>
      <c r="AC514" s="26">
        <f t="shared" si="43"/>
        <v>0</v>
      </c>
      <c r="AD514" s="26">
        <f t="shared" si="44"/>
        <v>0</v>
      </c>
      <c r="AE514" s="26">
        <f t="shared" si="45"/>
        <v>0</v>
      </c>
      <c r="AF514" s="26">
        <f t="shared" si="46"/>
        <v>0</v>
      </c>
      <c r="AG514" s="26">
        <f t="shared" si="47"/>
        <v>0</v>
      </c>
    </row>
    <row r="515" spans="1:33" x14ac:dyDescent="0.2">
      <c r="A515" s="89"/>
      <c r="B515" s="89"/>
      <c r="C515" s="89"/>
      <c r="D515" s="89"/>
      <c r="E515" s="89"/>
      <c r="F515" s="89"/>
      <c r="G515" s="89"/>
      <c r="H515" s="89"/>
      <c r="I515" s="33"/>
      <c r="J515" s="9"/>
      <c r="K515" s="9"/>
      <c r="AB515" s="26">
        <f t="shared" si="42"/>
        <v>0</v>
      </c>
      <c r="AC515" s="26">
        <f t="shared" si="43"/>
        <v>0</v>
      </c>
      <c r="AD515" s="26">
        <f t="shared" si="44"/>
        <v>0</v>
      </c>
      <c r="AE515" s="26">
        <f t="shared" si="45"/>
        <v>0</v>
      </c>
      <c r="AF515" s="26">
        <f t="shared" si="46"/>
        <v>0</v>
      </c>
      <c r="AG515" s="26">
        <f t="shared" si="47"/>
        <v>0</v>
      </c>
    </row>
    <row r="516" spans="1:33" x14ac:dyDescent="0.2">
      <c r="A516" s="89"/>
      <c r="B516" s="89"/>
      <c r="C516" s="89"/>
      <c r="D516" s="89"/>
      <c r="E516" s="89"/>
      <c r="F516" s="89"/>
      <c r="G516" s="89"/>
      <c r="H516" s="89"/>
      <c r="I516" s="33"/>
      <c r="J516" s="9"/>
      <c r="K516" s="9"/>
      <c r="AB516" s="26">
        <f t="shared" si="42"/>
        <v>0</v>
      </c>
      <c r="AC516" s="26">
        <f t="shared" si="43"/>
        <v>0</v>
      </c>
      <c r="AD516" s="26">
        <f t="shared" si="44"/>
        <v>0</v>
      </c>
      <c r="AE516" s="26">
        <f t="shared" si="45"/>
        <v>0</v>
      </c>
      <c r="AF516" s="26">
        <f t="shared" si="46"/>
        <v>0</v>
      </c>
      <c r="AG516" s="26">
        <f t="shared" si="47"/>
        <v>0</v>
      </c>
    </row>
    <row r="517" spans="1:33" x14ac:dyDescent="0.2">
      <c r="A517" s="89"/>
      <c r="B517" s="89"/>
      <c r="C517" s="89"/>
      <c r="D517" s="89"/>
      <c r="E517" s="89"/>
      <c r="F517" s="89"/>
      <c r="G517" s="89"/>
      <c r="H517" s="89"/>
      <c r="I517" s="33"/>
      <c r="J517" s="9"/>
      <c r="K517" s="9"/>
      <c r="AB517" s="26">
        <f t="shared" si="42"/>
        <v>0</v>
      </c>
      <c r="AC517" s="26">
        <f t="shared" si="43"/>
        <v>0</v>
      </c>
      <c r="AD517" s="26">
        <f t="shared" si="44"/>
        <v>0</v>
      </c>
      <c r="AE517" s="26">
        <f t="shared" si="45"/>
        <v>0</v>
      </c>
      <c r="AF517" s="26">
        <f t="shared" si="46"/>
        <v>0</v>
      </c>
      <c r="AG517" s="26">
        <f t="shared" si="47"/>
        <v>0</v>
      </c>
    </row>
    <row r="518" spans="1:33" x14ac:dyDescent="0.2">
      <c r="A518" s="89"/>
      <c r="B518" s="89"/>
      <c r="C518" s="89"/>
      <c r="D518" s="89"/>
      <c r="E518" s="89"/>
      <c r="F518" s="89"/>
      <c r="G518" s="89"/>
      <c r="H518" s="89"/>
      <c r="I518" s="33"/>
      <c r="J518" s="9"/>
      <c r="K518" s="9"/>
      <c r="AB518" s="26">
        <f t="shared" si="42"/>
        <v>0</v>
      </c>
      <c r="AC518" s="26">
        <f t="shared" si="43"/>
        <v>0</v>
      </c>
      <c r="AD518" s="26">
        <f t="shared" si="44"/>
        <v>0</v>
      </c>
      <c r="AE518" s="26">
        <f t="shared" si="45"/>
        <v>0</v>
      </c>
      <c r="AF518" s="26">
        <f t="shared" si="46"/>
        <v>0</v>
      </c>
      <c r="AG518" s="26">
        <f t="shared" si="47"/>
        <v>0</v>
      </c>
    </row>
    <row r="519" spans="1:33" x14ac:dyDescent="0.2">
      <c r="A519" s="89"/>
      <c r="B519" s="89"/>
      <c r="C519" s="89"/>
      <c r="D519" s="89"/>
      <c r="E519" s="89"/>
      <c r="F519" s="89"/>
      <c r="G519" s="89"/>
      <c r="H519" s="89"/>
      <c r="I519" s="33"/>
      <c r="J519" s="9"/>
      <c r="K519" s="9"/>
      <c r="AB519" s="26">
        <f t="shared" si="42"/>
        <v>0</v>
      </c>
      <c r="AC519" s="26">
        <f t="shared" si="43"/>
        <v>0</v>
      </c>
      <c r="AD519" s="26">
        <f t="shared" si="44"/>
        <v>0</v>
      </c>
      <c r="AE519" s="26">
        <f t="shared" si="45"/>
        <v>0</v>
      </c>
      <c r="AF519" s="26">
        <f t="shared" si="46"/>
        <v>0</v>
      </c>
      <c r="AG519" s="26">
        <f t="shared" si="47"/>
        <v>0</v>
      </c>
    </row>
    <row r="520" spans="1:33" x14ac:dyDescent="0.2">
      <c r="A520" s="89"/>
      <c r="B520" s="89"/>
      <c r="C520" s="89"/>
      <c r="D520" s="89"/>
      <c r="E520" s="89"/>
      <c r="F520" s="89"/>
      <c r="G520" s="89"/>
      <c r="H520" s="89"/>
      <c r="I520" s="33"/>
      <c r="J520" s="9"/>
      <c r="K520" s="9"/>
      <c r="AB520" s="26">
        <f t="shared" si="42"/>
        <v>0</v>
      </c>
      <c r="AC520" s="26">
        <f t="shared" si="43"/>
        <v>0</v>
      </c>
      <c r="AD520" s="26">
        <f t="shared" si="44"/>
        <v>0</v>
      </c>
      <c r="AE520" s="26">
        <f t="shared" si="45"/>
        <v>0</v>
      </c>
      <c r="AF520" s="26">
        <f t="shared" si="46"/>
        <v>0</v>
      </c>
      <c r="AG520" s="26">
        <f t="shared" si="47"/>
        <v>0</v>
      </c>
    </row>
    <row r="521" spans="1:33" x14ac:dyDescent="0.2">
      <c r="A521" s="89"/>
      <c r="B521" s="89"/>
      <c r="C521" s="89"/>
      <c r="D521" s="89"/>
      <c r="E521" s="89"/>
      <c r="F521" s="89"/>
      <c r="G521" s="89"/>
      <c r="H521" s="89"/>
      <c r="I521" s="33"/>
      <c r="J521" s="9"/>
      <c r="K521" s="9"/>
      <c r="AB521" s="26">
        <f t="shared" si="42"/>
        <v>0</v>
      </c>
      <c r="AC521" s="26">
        <f t="shared" si="43"/>
        <v>0</v>
      </c>
      <c r="AD521" s="26">
        <f t="shared" si="44"/>
        <v>0</v>
      </c>
      <c r="AE521" s="26">
        <f t="shared" si="45"/>
        <v>0</v>
      </c>
      <c r="AF521" s="26">
        <f t="shared" si="46"/>
        <v>0</v>
      </c>
      <c r="AG521" s="26">
        <f t="shared" si="47"/>
        <v>0</v>
      </c>
    </row>
    <row r="522" spans="1:33" x14ac:dyDescent="0.2">
      <c r="A522" s="89"/>
      <c r="B522" s="89"/>
      <c r="C522" s="89"/>
      <c r="D522" s="89"/>
      <c r="E522" s="89"/>
      <c r="F522" s="89"/>
      <c r="G522" s="89"/>
      <c r="H522" s="89"/>
      <c r="I522" s="33"/>
      <c r="J522" s="9"/>
      <c r="K522" s="9"/>
      <c r="AB522" s="26">
        <f t="shared" si="42"/>
        <v>0</v>
      </c>
      <c r="AC522" s="26">
        <f t="shared" si="43"/>
        <v>0</v>
      </c>
      <c r="AD522" s="26">
        <f t="shared" si="44"/>
        <v>0</v>
      </c>
      <c r="AE522" s="26">
        <f t="shared" si="45"/>
        <v>0</v>
      </c>
      <c r="AF522" s="26">
        <f t="shared" si="46"/>
        <v>0</v>
      </c>
      <c r="AG522" s="26">
        <f t="shared" si="47"/>
        <v>0</v>
      </c>
    </row>
    <row r="523" spans="1:33" x14ac:dyDescent="0.2">
      <c r="A523" s="89"/>
      <c r="B523" s="89"/>
      <c r="C523" s="89"/>
      <c r="D523" s="89"/>
      <c r="E523" s="89"/>
      <c r="F523" s="89"/>
      <c r="G523" s="89"/>
      <c r="H523" s="89"/>
      <c r="I523" s="33"/>
      <c r="J523" s="9"/>
      <c r="K523" s="9"/>
      <c r="AB523" s="26">
        <f t="shared" si="42"/>
        <v>0</v>
      </c>
      <c r="AC523" s="26">
        <f t="shared" si="43"/>
        <v>0</v>
      </c>
      <c r="AD523" s="26">
        <f t="shared" si="44"/>
        <v>0</v>
      </c>
      <c r="AE523" s="26">
        <f t="shared" si="45"/>
        <v>0</v>
      </c>
      <c r="AF523" s="26">
        <f t="shared" si="46"/>
        <v>0</v>
      </c>
      <c r="AG523" s="26">
        <f t="shared" si="47"/>
        <v>0</v>
      </c>
    </row>
    <row r="524" spans="1:33" x14ac:dyDescent="0.2">
      <c r="A524" s="89"/>
      <c r="B524" s="89"/>
      <c r="C524" s="89"/>
      <c r="D524" s="89"/>
      <c r="E524" s="89"/>
      <c r="F524" s="89"/>
      <c r="G524" s="89"/>
      <c r="H524" s="89"/>
      <c r="I524" s="33"/>
      <c r="J524" s="9"/>
      <c r="K524" s="9"/>
      <c r="AB524" s="26">
        <f t="shared" si="42"/>
        <v>0</v>
      </c>
      <c r="AC524" s="26">
        <f t="shared" si="43"/>
        <v>0</v>
      </c>
      <c r="AD524" s="26">
        <f t="shared" si="44"/>
        <v>0</v>
      </c>
      <c r="AE524" s="26">
        <f t="shared" si="45"/>
        <v>0</v>
      </c>
      <c r="AF524" s="26">
        <f t="shared" si="46"/>
        <v>0</v>
      </c>
      <c r="AG524" s="26">
        <f t="shared" si="47"/>
        <v>0</v>
      </c>
    </row>
    <row r="525" spans="1:33" x14ac:dyDescent="0.2">
      <c r="A525" s="89"/>
      <c r="B525" s="89"/>
      <c r="C525" s="89"/>
      <c r="D525" s="89"/>
      <c r="E525" s="89"/>
      <c r="F525" s="89"/>
      <c r="G525" s="89"/>
      <c r="H525" s="89"/>
      <c r="I525" s="33"/>
      <c r="J525" s="9"/>
      <c r="K525" s="9"/>
      <c r="AB525" s="26">
        <f t="shared" si="42"/>
        <v>0</v>
      </c>
      <c r="AC525" s="26">
        <f t="shared" si="43"/>
        <v>0</v>
      </c>
      <c r="AD525" s="26">
        <f t="shared" si="44"/>
        <v>0</v>
      </c>
      <c r="AE525" s="26">
        <f t="shared" si="45"/>
        <v>0</v>
      </c>
      <c r="AF525" s="26">
        <f t="shared" si="46"/>
        <v>0</v>
      </c>
      <c r="AG525" s="26">
        <f t="shared" si="47"/>
        <v>0</v>
      </c>
    </row>
    <row r="526" spans="1:33" x14ac:dyDescent="0.2">
      <c r="A526" s="89"/>
      <c r="B526" s="89"/>
      <c r="C526" s="89"/>
      <c r="D526" s="89"/>
      <c r="E526" s="89"/>
      <c r="F526" s="89"/>
      <c r="G526" s="89"/>
      <c r="H526" s="89"/>
      <c r="I526" s="33"/>
      <c r="J526" s="9"/>
      <c r="K526" s="9"/>
      <c r="AB526" s="26">
        <f t="shared" si="42"/>
        <v>0</v>
      </c>
      <c r="AC526" s="26">
        <f t="shared" si="43"/>
        <v>0</v>
      </c>
      <c r="AD526" s="26">
        <f t="shared" si="44"/>
        <v>0</v>
      </c>
      <c r="AE526" s="26">
        <f t="shared" si="45"/>
        <v>0</v>
      </c>
      <c r="AF526" s="26">
        <f t="shared" si="46"/>
        <v>0</v>
      </c>
      <c r="AG526" s="26">
        <f t="shared" si="47"/>
        <v>0</v>
      </c>
    </row>
    <row r="527" spans="1:33" x14ac:dyDescent="0.2">
      <c r="A527" s="89"/>
      <c r="B527" s="89"/>
      <c r="C527" s="89"/>
      <c r="D527" s="89"/>
      <c r="E527" s="89"/>
      <c r="F527" s="89"/>
      <c r="G527" s="89"/>
      <c r="H527" s="89"/>
      <c r="I527" s="33"/>
      <c r="J527" s="9"/>
      <c r="K527" s="9"/>
      <c r="AB527" s="26">
        <f t="shared" ref="AB527:AB581" si="48">IF(AND($D527="Question",$H527="OK"),1,0)</f>
        <v>0</v>
      </c>
      <c r="AC527" s="26">
        <f t="shared" ref="AC527:AC581" si="49">IF(AND($D527="Question",$H527="OK with hints"),1,0)</f>
        <v>0</v>
      </c>
      <c r="AD527" s="26">
        <f t="shared" ref="AD527:AD581" si="50">IF(AND($D527="Question",$H527="Minor non-conformity"),1,0)</f>
        <v>0</v>
      </c>
      <c r="AE527" s="26">
        <f t="shared" ref="AE527:AE581" si="51">IF(AND($D527="Question",$H527="Major non-conformity"),1,0)</f>
        <v>0</v>
      </c>
      <c r="AF527" s="26">
        <f t="shared" ref="AF527:AF581" si="52">IF(AND($D527="Question",$H527="Not applicable"),1,0)</f>
        <v>0</v>
      </c>
      <c r="AG527" s="26">
        <f t="shared" ref="AG527:AG581" si="53">IF(AND($D527="Question",$H527=""),1,0)</f>
        <v>0</v>
      </c>
    </row>
    <row r="528" spans="1:33" x14ac:dyDescent="0.2">
      <c r="A528" s="89"/>
      <c r="B528" s="89"/>
      <c r="C528" s="89"/>
      <c r="D528" s="89"/>
      <c r="E528" s="89"/>
      <c r="F528" s="89"/>
      <c r="G528" s="89"/>
      <c r="H528" s="89"/>
      <c r="I528" s="33"/>
      <c r="J528" s="9"/>
      <c r="K528" s="9"/>
      <c r="AB528" s="26">
        <f t="shared" si="48"/>
        <v>0</v>
      </c>
      <c r="AC528" s="26">
        <f t="shared" si="49"/>
        <v>0</v>
      </c>
      <c r="AD528" s="26">
        <f t="shared" si="50"/>
        <v>0</v>
      </c>
      <c r="AE528" s="26">
        <f t="shared" si="51"/>
        <v>0</v>
      </c>
      <c r="AF528" s="26">
        <f t="shared" si="52"/>
        <v>0</v>
      </c>
      <c r="AG528" s="26">
        <f t="shared" si="53"/>
        <v>0</v>
      </c>
    </row>
    <row r="529" spans="1:33" x14ac:dyDescent="0.2">
      <c r="A529" s="89"/>
      <c r="B529" s="89"/>
      <c r="C529" s="89"/>
      <c r="D529" s="89"/>
      <c r="E529" s="89"/>
      <c r="F529" s="89"/>
      <c r="G529" s="89"/>
      <c r="H529" s="89"/>
      <c r="I529" s="33"/>
      <c r="J529" s="9"/>
      <c r="K529" s="9"/>
      <c r="AB529" s="26">
        <f t="shared" si="48"/>
        <v>0</v>
      </c>
      <c r="AC529" s="26">
        <f t="shared" si="49"/>
        <v>0</v>
      </c>
      <c r="AD529" s="26">
        <f t="shared" si="50"/>
        <v>0</v>
      </c>
      <c r="AE529" s="26">
        <f t="shared" si="51"/>
        <v>0</v>
      </c>
      <c r="AF529" s="26">
        <f t="shared" si="52"/>
        <v>0</v>
      </c>
      <c r="AG529" s="26">
        <f t="shared" si="53"/>
        <v>0</v>
      </c>
    </row>
    <row r="530" spans="1:33" x14ac:dyDescent="0.2">
      <c r="A530" s="89"/>
      <c r="B530" s="89"/>
      <c r="C530" s="89"/>
      <c r="D530" s="89"/>
      <c r="E530" s="89"/>
      <c r="F530" s="89"/>
      <c r="G530" s="89"/>
      <c r="H530" s="89"/>
      <c r="I530" s="33"/>
      <c r="J530" s="9"/>
      <c r="K530" s="9"/>
      <c r="AB530" s="26">
        <f t="shared" si="48"/>
        <v>0</v>
      </c>
      <c r="AC530" s="26">
        <f t="shared" si="49"/>
        <v>0</v>
      </c>
      <c r="AD530" s="26">
        <f t="shared" si="50"/>
        <v>0</v>
      </c>
      <c r="AE530" s="26">
        <f t="shared" si="51"/>
        <v>0</v>
      </c>
      <c r="AF530" s="26">
        <f t="shared" si="52"/>
        <v>0</v>
      </c>
      <c r="AG530" s="26">
        <f t="shared" si="53"/>
        <v>0</v>
      </c>
    </row>
    <row r="531" spans="1:33" x14ac:dyDescent="0.2">
      <c r="A531" s="89"/>
      <c r="B531" s="89"/>
      <c r="C531" s="89"/>
      <c r="D531" s="89"/>
      <c r="E531" s="89"/>
      <c r="F531" s="89"/>
      <c r="G531" s="89"/>
      <c r="H531" s="89"/>
      <c r="I531" s="33"/>
      <c r="J531" s="9"/>
      <c r="K531" s="9"/>
      <c r="AB531" s="26">
        <f t="shared" si="48"/>
        <v>0</v>
      </c>
      <c r="AC531" s="26">
        <f t="shared" si="49"/>
        <v>0</v>
      </c>
      <c r="AD531" s="26">
        <f t="shared" si="50"/>
        <v>0</v>
      </c>
      <c r="AE531" s="26">
        <f t="shared" si="51"/>
        <v>0</v>
      </c>
      <c r="AF531" s="26">
        <f t="shared" si="52"/>
        <v>0</v>
      </c>
      <c r="AG531" s="26">
        <f t="shared" si="53"/>
        <v>0</v>
      </c>
    </row>
    <row r="532" spans="1:33" x14ac:dyDescent="0.2">
      <c r="A532" s="89"/>
      <c r="B532" s="89"/>
      <c r="C532" s="89"/>
      <c r="D532" s="89"/>
      <c r="E532" s="89"/>
      <c r="F532" s="89"/>
      <c r="G532" s="89"/>
      <c r="H532" s="89"/>
      <c r="I532" s="33"/>
      <c r="J532" s="9"/>
      <c r="K532" s="9"/>
      <c r="AB532" s="26">
        <f t="shared" si="48"/>
        <v>0</v>
      </c>
      <c r="AC532" s="26">
        <f t="shared" si="49"/>
        <v>0</v>
      </c>
      <c r="AD532" s="26">
        <f t="shared" si="50"/>
        <v>0</v>
      </c>
      <c r="AE532" s="26">
        <f t="shared" si="51"/>
        <v>0</v>
      </c>
      <c r="AF532" s="26">
        <f t="shared" si="52"/>
        <v>0</v>
      </c>
      <c r="AG532" s="26">
        <f t="shared" si="53"/>
        <v>0</v>
      </c>
    </row>
    <row r="533" spans="1:33" x14ac:dyDescent="0.2">
      <c r="A533" s="89"/>
      <c r="B533" s="89"/>
      <c r="C533" s="89"/>
      <c r="D533" s="89"/>
      <c r="E533" s="89"/>
      <c r="F533" s="89"/>
      <c r="G533" s="89"/>
      <c r="H533" s="89"/>
      <c r="I533" s="33"/>
      <c r="J533" s="9"/>
      <c r="K533" s="9"/>
      <c r="AB533" s="26">
        <f t="shared" si="48"/>
        <v>0</v>
      </c>
      <c r="AC533" s="26">
        <f t="shared" si="49"/>
        <v>0</v>
      </c>
      <c r="AD533" s="26">
        <f t="shared" si="50"/>
        <v>0</v>
      </c>
      <c r="AE533" s="26">
        <f t="shared" si="51"/>
        <v>0</v>
      </c>
      <c r="AF533" s="26">
        <f t="shared" si="52"/>
        <v>0</v>
      </c>
      <c r="AG533" s="26">
        <f t="shared" si="53"/>
        <v>0</v>
      </c>
    </row>
    <row r="534" spans="1:33" x14ac:dyDescent="0.2">
      <c r="A534" s="89"/>
      <c r="B534" s="89"/>
      <c r="C534" s="89"/>
      <c r="D534" s="89"/>
      <c r="E534" s="89"/>
      <c r="F534" s="89"/>
      <c r="G534" s="89"/>
      <c r="H534" s="89"/>
      <c r="I534" s="33"/>
      <c r="J534" s="9"/>
      <c r="K534" s="9"/>
      <c r="AB534" s="26">
        <f t="shared" si="48"/>
        <v>0</v>
      </c>
      <c r="AC534" s="26">
        <f t="shared" si="49"/>
        <v>0</v>
      </c>
      <c r="AD534" s="26">
        <f t="shared" si="50"/>
        <v>0</v>
      </c>
      <c r="AE534" s="26">
        <f t="shared" si="51"/>
        <v>0</v>
      </c>
      <c r="AF534" s="26">
        <f t="shared" si="52"/>
        <v>0</v>
      </c>
      <c r="AG534" s="26">
        <f t="shared" si="53"/>
        <v>0</v>
      </c>
    </row>
    <row r="535" spans="1:33" x14ac:dyDescent="0.2">
      <c r="A535" s="89"/>
      <c r="B535" s="89"/>
      <c r="C535" s="89"/>
      <c r="D535" s="89"/>
      <c r="E535" s="89"/>
      <c r="F535" s="89"/>
      <c r="G535" s="89"/>
      <c r="H535" s="89"/>
      <c r="I535" s="33"/>
      <c r="J535" s="9"/>
      <c r="K535" s="9"/>
      <c r="AB535" s="26">
        <f t="shared" si="48"/>
        <v>0</v>
      </c>
      <c r="AC535" s="26">
        <f t="shared" si="49"/>
        <v>0</v>
      </c>
      <c r="AD535" s="26">
        <f t="shared" si="50"/>
        <v>0</v>
      </c>
      <c r="AE535" s="26">
        <f t="shared" si="51"/>
        <v>0</v>
      </c>
      <c r="AF535" s="26">
        <f t="shared" si="52"/>
        <v>0</v>
      </c>
      <c r="AG535" s="26">
        <f t="shared" si="53"/>
        <v>0</v>
      </c>
    </row>
    <row r="536" spans="1:33" x14ac:dyDescent="0.2">
      <c r="A536" s="89"/>
      <c r="B536" s="89"/>
      <c r="C536" s="89"/>
      <c r="D536" s="89"/>
      <c r="E536" s="89"/>
      <c r="F536" s="89"/>
      <c r="G536" s="89"/>
      <c r="H536" s="89"/>
      <c r="I536" s="33"/>
      <c r="J536" s="9"/>
      <c r="K536" s="9"/>
      <c r="AB536" s="26">
        <f t="shared" si="48"/>
        <v>0</v>
      </c>
      <c r="AC536" s="26">
        <f t="shared" si="49"/>
        <v>0</v>
      </c>
      <c r="AD536" s="26">
        <f t="shared" si="50"/>
        <v>0</v>
      </c>
      <c r="AE536" s="26">
        <f t="shared" si="51"/>
        <v>0</v>
      </c>
      <c r="AF536" s="26">
        <f t="shared" si="52"/>
        <v>0</v>
      </c>
      <c r="AG536" s="26">
        <f t="shared" si="53"/>
        <v>0</v>
      </c>
    </row>
    <row r="537" spans="1:33" x14ac:dyDescent="0.2">
      <c r="A537" s="89"/>
      <c r="B537" s="89"/>
      <c r="C537" s="89"/>
      <c r="D537" s="89"/>
      <c r="E537" s="89"/>
      <c r="F537" s="89"/>
      <c r="G537" s="89"/>
      <c r="H537" s="89"/>
      <c r="I537" s="33"/>
      <c r="J537" s="9"/>
      <c r="K537" s="9"/>
      <c r="AB537" s="26">
        <f t="shared" si="48"/>
        <v>0</v>
      </c>
      <c r="AC537" s="26">
        <f t="shared" si="49"/>
        <v>0</v>
      </c>
      <c r="AD537" s="26">
        <f t="shared" si="50"/>
        <v>0</v>
      </c>
      <c r="AE537" s="26">
        <f t="shared" si="51"/>
        <v>0</v>
      </c>
      <c r="AF537" s="26">
        <f t="shared" si="52"/>
        <v>0</v>
      </c>
      <c r="AG537" s="26">
        <f t="shared" si="53"/>
        <v>0</v>
      </c>
    </row>
    <row r="538" spans="1:33" x14ac:dyDescent="0.2">
      <c r="A538" s="89"/>
      <c r="B538" s="89"/>
      <c r="C538" s="89"/>
      <c r="D538" s="89"/>
      <c r="E538" s="89"/>
      <c r="F538" s="89"/>
      <c r="G538" s="89"/>
      <c r="H538" s="89"/>
      <c r="I538" s="33"/>
      <c r="J538" s="9"/>
      <c r="K538" s="9"/>
      <c r="AB538" s="26">
        <f t="shared" si="48"/>
        <v>0</v>
      </c>
      <c r="AC538" s="26">
        <f t="shared" si="49"/>
        <v>0</v>
      </c>
      <c r="AD538" s="26">
        <f t="shared" si="50"/>
        <v>0</v>
      </c>
      <c r="AE538" s="26">
        <f t="shared" si="51"/>
        <v>0</v>
      </c>
      <c r="AF538" s="26">
        <f t="shared" si="52"/>
        <v>0</v>
      </c>
      <c r="AG538" s="26">
        <f t="shared" si="53"/>
        <v>0</v>
      </c>
    </row>
    <row r="539" spans="1:33" x14ac:dyDescent="0.2">
      <c r="A539" s="89"/>
      <c r="B539" s="89"/>
      <c r="C539" s="89"/>
      <c r="D539" s="89"/>
      <c r="E539" s="89"/>
      <c r="F539" s="89"/>
      <c r="G539" s="89"/>
      <c r="H539" s="89"/>
      <c r="I539" s="33"/>
      <c r="J539" s="9"/>
      <c r="K539" s="9"/>
      <c r="AB539" s="26">
        <f t="shared" si="48"/>
        <v>0</v>
      </c>
      <c r="AC539" s="26">
        <f t="shared" si="49"/>
        <v>0</v>
      </c>
      <c r="AD539" s="26">
        <f t="shared" si="50"/>
        <v>0</v>
      </c>
      <c r="AE539" s="26">
        <f t="shared" si="51"/>
        <v>0</v>
      </c>
      <c r="AF539" s="26">
        <f t="shared" si="52"/>
        <v>0</v>
      </c>
      <c r="AG539" s="26">
        <f t="shared" si="53"/>
        <v>0</v>
      </c>
    </row>
    <row r="540" spans="1:33" x14ac:dyDescent="0.2">
      <c r="A540" s="89"/>
      <c r="B540" s="89"/>
      <c r="C540" s="89"/>
      <c r="D540" s="89"/>
      <c r="E540" s="89"/>
      <c r="F540" s="89"/>
      <c r="G540" s="89"/>
      <c r="H540" s="89"/>
      <c r="I540" s="33"/>
      <c r="J540" s="9"/>
      <c r="K540" s="9"/>
      <c r="AB540" s="26">
        <f t="shared" si="48"/>
        <v>0</v>
      </c>
      <c r="AC540" s="26">
        <f t="shared" si="49"/>
        <v>0</v>
      </c>
      <c r="AD540" s="26">
        <f t="shared" si="50"/>
        <v>0</v>
      </c>
      <c r="AE540" s="26">
        <f t="shared" si="51"/>
        <v>0</v>
      </c>
      <c r="AF540" s="26">
        <f t="shared" si="52"/>
        <v>0</v>
      </c>
      <c r="AG540" s="26">
        <f t="shared" si="53"/>
        <v>0</v>
      </c>
    </row>
    <row r="541" spans="1:33" x14ac:dyDescent="0.2">
      <c r="A541" s="89"/>
      <c r="B541" s="89"/>
      <c r="C541" s="89"/>
      <c r="D541" s="89"/>
      <c r="E541" s="89"/>
      <c r="F541" s="89"/>
      <c r="G541" s="89"/>
      <c r="H541" s="89"/>
      <c r="I541" s="33"/>
      <c r="J541" s="9"/>
      <c r="K541" s="9"/>
      <c r="AB541" s="26">
        <f t="shared" si="48"/>
        <v>0</v>
      </c>
      <c r="AC541" s="26">
        <f t="shared" si="49"/>
        <v>0</v>
      </c>
      <c r="AD541" s="26">
        <f t="shared" si="50"/>
        <v>0</v>
      </c>
      <c r="AE541" s="26">
        <f t="shared" si="51"/>
        <v>0</v>
      </c>
      <c r="AF541" s="26">
        <f t="shared" si="52"/>
        <v>0</v>
      </c>
      <c r="AG541" s="26">
        <f t="shared" si="53"/>
        <v>0</v>
      </c>
    </row>
    <row r="542" spans="1:33" x14ac:dyDescent="0.2">
      <c r="A542" s="89"/>
      <c r="B542" s="89"/>
      <c r="C542" s="89"/>
      <c r="D542" s="89"/>
      <c r="E542" s="89"/>
      <c r="F542" s="89"/>
      <c r="G542" s="89"/>
      <c r="H542" s="89"/>
      <c r="I542" s="33"/>
      <c r="J542" s="9"/>
      <c r="K542" s="9"/>
      <c r="AB542" s="26">
        <f t="shared" si="48"/>
        <v>0</v>
      </c>
      <c r="AC542" s="26">
        <f t="shared" si="49"/>
        <v>0</v>
      </c>
      <c r="AD542" s="26">
        <f t="shared" si="50"/>
        <v>0</v>
      </c>
      <c r="AE542" s="26">
        <f t="shared" si="51"/>
        <v>0</v>
      </c>
      <c r="AF542" s="26">
        <f t="shared" si="52"/>
        <v>0</v>
      </c>
      <c r="AG542" s="26">
        <f t="shared" si="53"/>
        <v>0</v>
      </c>
    </row>
    <row r="543" spans="1:33" x14ac:dyDescent="0.2">
      <c r="A543" s="89"/>
      <c r="B543" s="89"/>
      <c r="C543" s="89"/>
      <c r="D543" s="89"/>
      <c r="E543" s="89"/>
      <c r="F543" s="89"/>
      <c r="G543" s="89"/>
      <c r="H543" s="89"/>
      <c r="I543" s="33"/>
      <c r="J543" s="9"/>
      <c r="K543" s="9"/>
      <c r="AB543" s="26">
        <f t="shared" si="48"/>
        <v>0</v>
      </c>
      <c r="AC543" s="26">
        <f t="shared" si="49"/>
        <v>0</v>
      </c>
      <c r="AD543" s="26">
        <f t="shared" si="50"/>
        <v>0</v>
      </c>
      <c r="AE543" s="26">
        <f t="shared" si="51"/>
        <v>0</v>
      </c>
      <c r="AF543" s="26">
        <f t="shared" si="52"/>
        <v>0</v>
      </c>
      <c r="AG543" s="26">
        <f t="shared" si="53"/>
        <v>0</v>
      </c>
    </row>
    <row r="544" spans="1:33" x14ac:dyDescent="0.2">
      <c r="A544" s="89"/>
      <c r="B544" s="89"/>
      <c r="C544" s="89"/>
      <c r="D544" s="89"/>
      <c r="E544" s="89"/>
      <c r="F544" s="89"/>
      <c r="G544" s="89"/>
      <c r="H544" s="89"/>
      <c r="I544" s="33"/>
      <c r="J544" s="9"/>
      <c r="K544" s="9"/>
      <c r="AB544" s="26">
        <f t="shared" si="48"/>
        <v>0</v>
      </c>
      <c r="AC544" s="26">
        <f t="shared" si="49"/>
        <v>0</v>
      </c>
      <c r="AD544" s="26">
        <f t="shared" si="50"/>
        <v>0</v>
      </c>
      <c r="AE544" s="26">
        <f t="shared" si="51"/>
        <v>0</v>
      </c>
      <c r="AF544" s="26">
        <f t="shared" si="52"/>
        <v>0</v>
      </c>
      <c r="AG544" s="26">
        <f t="shared" si="53"/>
        <v>0</v>
      </c>
    </row>
    <row r="545" spans="1:33" x14ac:dyDescent="0.2">
      <c r="A545" s="89"/>
      <c r="B545" s="89"/>
      <c r="C545" s="89"/>
      <c r="D545" s="89"/>
      <c r="E545" s="89"/>
      <c r="F545" s="89"/>
      <c r="G545" s="89"/>
      <c r="H545" s="89"/>
      <c r="I545" s="33"/>
      <c r="J545" s="9"/>
      <c r="K545" s="9"/>
      <c r="AB545" s="26">
        <f t="shared" si="48"/>
        <v>0</v>
      </c>
      <c r="AC545" s="26">
        <f t="shared" si="49"/>
        <v>0</v>
      </c>
      <c r="AD545" s="26">
        <f t="shared" si="50"/>
        <v>0</v>
      </c>
      <c r="AE545" s="26">
        <f t="shared" si="51"/>
        <v>0</v>
      </c>
      <c r="AF545" s="26">
        <f t="shared" si="52"/>
        <v>0</v>
      </c>
      <c r="AG545" s="26">
        <f t="shared" si="53"/>
        <v>0</v>
      </c>
    </row>
    <row r="546" spans="1:33" x14ac:dyDescent="0.2">
      <c r="A546" s="89"/>
      <c r="B546" s="89"/>
      <c r="C546" s="89"/>
      <c r="D546" s="89"/>
      <c r="E546" s="89"/>
      <c r="F546" s="89"/>
      <c r="G546" s="89"/>
      <c r="H546" s="89"/>
      <c r="I546" s="33"/>
      <c r="J546" s="9"/>
      <c r="K546" s="9"/>
      <c r="AB546" s="26">
        <f t="shared" si="48"/>
        <v>0</v>
      </c>
      <c r="AC546" s="26">
        <f t="shared" si="49"/>
        <v>0</v>
      </c>
      <c r="AD546" s="26">
        <f t="shared" si="50"/>
        <v>0</v>
      </c>
      <c r="AE546" s="26">
        <f t="shared" si="51"/>
        <v>0</v>
      </c>
      <c r="AF546" s="26">
        <f t="shared" si="52"/>
        <v>0</v>
      </c>
      <c r="AG546" s="26">
        <f t="shared" si="53"/>
        <v>0</v>
      </c>
    </row>
    <row r="547" spans="1:33" x14ac:dyDescent="0.2">
      <c r="A547" s="89"/>
      <c r="B547" s="89"/>
      <c r="C547" s="89"/>
      <c r="D547" s="89"/>
      <c r="E547" s="89"/>
      <c r="F547" s="89"/>
      <c r="G547" s="89"/>
      <c r="H547" s="89"/>
      <c r="I547" s="33"/>
      <c r="J547" s="9"/>
      <c r="K547" s="9"/>
      <c r="AB547" s="26">
        <f t="shared" si="48"/>
        <v>0</v>
      </c>
      <c r="AC547" s="26">
        <f t="shared" si="49"/>
        <v>0</v>
      </c>
      <c r="AD547" s="26">
        <f t="shared" si="50"/>
        <v>0</v>
      </c>
      <c r="AE547" s="26">
        <f t="shared" si="51"/>
        <v>0</v>
      </c>
      <c r="AF547" s="26">
        <f t="shared" si="52"/>
        <v>0</v>
      </c>
      <c r="AG547" s="26">
        <f t="shared" si="53"/>
        <v>0</v>
      </c>
    </row>
    <row r="548" spans="1:33" x14ac:dyDescent="0.2">
      <c r="A548" s="89"/>
      <c r="B548" s="89"/>
      <c r="C548" s="89"/>
      <c r="D548" s="89"/>
      <c r="E548" s="89"/>
      <c r="F548" s="89"/>
      <c r="G548" s="89"/>
      <c r="H548" s="89"/>
      <c r="I548" s="33"/>
      <c r="J548" s="9"/>
      <c r="K548" s="9"/>
      <c r="AB548" s="26">
        <f t="shared" si="48"/>
        <v>0</v>
      </c>
      <c r="AC548" s="26">
        <f t="shared" si="49"/>
        <v>0</v>
      </c>
      <c r="AD548" s="26">
        <f t="shared" si="50"/>
        <v>0</v>
      </c>
      <c r="AE548" s="26">
        <f t="shared" si="51"/>
        <v>0</v>
      </c>
      <c r="AF548" s="26">
        <f t="shared" si="52"/>
        <v>0</v>
      </c>
      <c r="AG548" s="26">
        <f t="shared" si="53"/>
        <v>0</v>
      </c>
    </row>
    <row r="549" spans="1:33" x14ac:dyDescent="0.2">
      <c r="A549" s="89"/>
      <c r="B549" s="89"/>
      <c r="C549" s="89"/>
      <c r="D549" s="89"/>
      <c r="E549" s="89"/>
      <c r="F549" s="89"/>
      <c r="G549" s="89"/>
      <c r="H549" s="89"/>
      <c r="I549" s="33"/>
      <c r="J549" s="9"/>
      <c r="K549" s="9"/>
      <c r="AB549" s="26">
        <f t="shared" si="48"/>
        <v>0</v>
      </c>
      <c r="AC549" s="26">
        <f t="shared" si="49"/>
        <v>0</v>
      </c>
      <c r="AD549" s="26">
        <f t="shared" si="50"/>
        <v>0</v>
      </c>
      <c r="AE549" s="26">
        <f t="shared" si="51"/>
        <v>0</v>
      </c>
      <c r="AF549" s="26">
        <f t="shared" si="52"/>
        <v>0</v>
      </c>
      <c r="AG549" s="26">
        <f t="shared" si="53"/>
        <v>0</v>
      </c>
    </row>
    <row r="550" spans="1:33" x14ac:dyDescent="0.2">
      <c r="A550" s="89"/>
      <c r="B550" s="89"/>
      <c r="C550" s="89"/>
      <c r="D550" s="89"/>
      <c r="E550" s="89"/>
      <c r="F550" s="89"/>
      <c r="G550" s="89"/>
      <c r="H550" s="89"/>
      <c r="I550" s="33"/>
      <c r="J550" s="9"/>
      <c r="K550" s="9"/>
      <c r="AB550" s="26">
        <f t="shared" si="48"/>
        <v>0</v>
      </c>
      <c r="AC550" s="26">
        <f t="shared" si="49"/>
        <v>0</v>
      </c>
      <c r="AD550" s="26">
        <f t="shared" si="50"/>
        <v>0</v>
      </c>
      <c r="AE550" s="26">
        <f t="shared" si="51"/>
        <v>0</v>
      </c>
      <c r="AF550" s="26">
        <f t="shared" si="52"/>
        <v>0</v>
      </c>
      <c r="AG550" s="26">
        <f t="shared" si="53"/>
        <v>0</v>
      </c>
    </row>
    <row r="551" spans="1:33" x14ac:dyDescent="0.2">
      <c r="A551" s="89"/>
      <c r="B551" s="89"/>
      <c r="C551" s="89"/>
      <c r="D551" s="89"/>
      <c r="E551" s="89"/>
      <c r="F551" s="89"/>
      <c r="G551" s="89"/>
      <c r="H551" s="89"/>
      <c r="I551" s="33"/>
      <c r="J551" s="9"/>
      <c r="K551" s="9"/>
      <c r="AB551" s="26">
        <f t="shared" si="48"/>
        <v>0</v>
      </c>
      <c r="AC551" s="26">
        <f t="shared" si="49"/>
        <v>0</v>
      </c>
      <c r="AD551" s="26">
        <f t="shared" si="50"/>
        <v>0</v>
      </c>
      <c r="AE551" s="26">
        <f t="shared" si="51"/>
        <v>0</v>
      </c>
      <c r="AF551" s="26">
        <f t="shared" si="52"/>
        <v>0</v>
      </c>
      <c r="AG551" s="26">
        <f t="shared" si="53"/>
        <v>0</v>
      </c>
    </row>
    <row r="552" spans="1:33" x14ac:dyDescent="0.2">
      <c r="A552" s="89"/>
      <c r="B552" s="89"/>
      <c r="C552" s="89"/>
      <c r="D552" s="89"/>
      <c r="E552" s="89"/>
      <c r="F552" s="89"/>
      <c r="G552" s="89"/>
      <c r="H552" s="89"/>
      <c r="I552" s="33"/>
      <c r="J552" s="9"/>
      <c r="K552" s="9"/>
      <c r="AB552" s="26">
        <f t="shared" si="48"/>
        <v>0</v>
      </c>
      <c r="AC552" s="26">
        <f t="shared" si="49"/>
        <v>0</v>
      </c>
      <c r="AD552" s="26">
        <f t="shared" si="50"/>
        <v>0</v>
      </c>
      <c r="AE552" s="26">
        <f t="shared" si="51"/>
        <v>0</v>
      </c>
      <c r="AF552" s="26">
        <f t="shared" si="52"/>
        <v>0</v>
      </c>
      <c r="AG552" s="26">
        <f t="shared" si="53"/>
        <v>0</v>
      </c>
    </row>
    <row r="553" spans="1:33" x14ac:dyDescent="0.2">
      <c r="A553" s="89"/>
      <c r="B553" s="89"/>
      <c r="C553" s="89"/>
      <c r="D553" s="89"/>
      <c r="E553" s="89"/>
      <c r="F553" s="89"/>
      <c r="G553" s="89"/>
      <c r="H553" s="89"/>
      <c r="I553" s="33"/>
      <c r="J553" s="9"/>
      <c r="K553" s="9"/>
      <c r="AB553" s="26">
        <f t="shared" si="48"/>
        <v>0</v>
      </c>
      <c r="AC553" s="26">
        <f t="shared" si="49"/>
        <v>0</v>
      </c>
      <c r="AD553" s="26">
        <f t="shared" si="50"/>
        <v>0</v>
      </c>
      <c r="AE553" s="26">
        <f t="shared" si="51"/>
        <v>0</v>
      </c>
      <c r="AF553" s="26">
        <f t="shared" si="52"/>
        <v>0</v>
      </c>
      <c r="AG553" s="26">
        <f t="shared" si="53"/>
        <v>0</v>
      </c>
    </row>
    <row r="554" spans="1:33" x14ac:dyDescent="0.2">
      <c r="A554" s="89"/>
      <c r="B554" s="89"/>
      <c r="C554" s="89"/>
      <c r="D554" s="89"/>
      <c r="E554" s="89"/>
      <c r="F554" s="89"/>
      <c r="G554" s="89"/>
      <c r="H554" s="89"/>
      <c r="I554" s="33"/>
      <c r="J554" s="9"/>
      <c r="K554" s="9"/>
      <c r="AB554" s="26">
        <f t="shared" si="48"/>
        <v>0</v>
      </c>
      <c r="AC554" s="26">
        <f t="shared" si="49"/>
        <v>0</v>
      </c>
      <c r="AD554" s="26">
        <f t="shared" si="50"/>
        <v>0</v>
      </c>
      <c r="AE554" s="26">
        <f t="shared" si="51"/>
        <v>0</v>
      </c>
      <c r="AF554" s="26">
        <f t="shared" si="52"/>
        <v>0</v>
      </c>
      <c r="AG554" s="26">
        <f t="shared" si="53"/>
        <v>0</v>
      </c>
    </row>
    <row r="555" spans="1:33" x14ac:dyDescent="0.2">
      <c r="A555" s="89"/>
      <c r="B555" s="89"/>
      <c r="C555" s="89"/>
      <c r="D555" s="89"/>
      <c r="E555" s="89"/>
      <c r="F555" s="89"/>
      <c r="G555" s="89"/>
      <c r="H555" s="89"/>
      <c r="I555" s="33"/>
      <c r="J555" s="9"/>
      <c r="K555" s="9"/>
      <c r="AB555" s="26">
        <f t="shared" si="48"/>
        <v>0</v>
      </c>
      <c r="AC555" s="26">
        <f t="shared" si="49"/>
        <v>0</v>
      </c>
      <c r="AD555" s="26">
        <f t="shared" si="50"/>
        <v>0</v>
      </c>
      <c r="AE555" s="26">
        <f t="shared" si="51"/>
        <v>0</v>
      </c>
      <c r="AF555" s="26">
        <f t="shared" si="52"/>
        <v>0</v>
      </c>
      <c r="AG555" s="26">
        <f t="shared" si="53"/>
        <v>0</v>
      </c>
    </row>
    <row r="556" spans="1:33" x14ac:dyDescent="0.2">
      <c r="A556" s="89"/>
      <c r="B556" s="89"/>
      <c r="C556" s="89"/>
      <c r="D556" s="89"/>
      <c r="E556" s="89"/>
      <c r="F556" s="89"/>
      <c r="G556" s="89"/>
      <c r="H556" s="89"/>
      <c r="I556" s="33"/>
      <c r="J556" s="9"/>
      <c r="K556" s="9"/>
      <c r="AB556" s="26">
        <f t="shared" si="48"/>
        <v>0</v>
      </c>
      <c r="AC556" s="26">
        <f t="shared" si="49"/>
        <v>0</v>
      </c>
      <c r="AD556" s="26">
        <f t="shared" si="50"/>
        <v>0</v>
      </c>
      <c r="AE556" s="26">
        <f t="shared" si="51"/>
        <v>0</v>
      </c>
      <c r="AF556" s="26">
        <f t="shared" si="52"/>
        <v>0</v>
      </c>
      <c r="AG556" s="26">
        <f t="shared" si="53"/>
        <v>0</v>
      </c>
    </row>
    <row r="557" spans="1:33" x14ac:dyDescent="0.2">
      <c r="A557" s="89"/>
      <c r="B557" s="89"/>
      <c r="C557" s="89"/>
      <c r="D557" s="89"/>
      <c r="E557" s="89"/>
      <c r="F557" s="89"/>
      <c r="G557" s="89"/>
      <c r="H557" s="89"/>
      <c r="I557" s="33"/>
      <c r="J557" s="9"/>
      <c r="K557" s="9"/>
      <c r="AB557" s="26">
        <f t="shared" si="48"/>
        <v>0</v>
      </c>
      <c r="AC557" s="26">
        <f t="shared" si="49"/>
        <v>0</v>
      </c>
      <c r="AD557" s="26">
        <f t="shared" si="50"/>
        <v>0</v>
      </c>
      <c r="AE557" s="26">
        <f t="shared" si="51"/>
        <v>0</v>
      </c>
      <c r="AF557" s="26">
        <f t="shared" si="52"/>
        <v>0</v>
      </c>
      <c r="AG557" s="26">
        <f t="shared" si="53"/>
        <v>0</v>
      </c>
    </row>
    <row r="558" spans="1:33" x14ac:dyDescent="0.2">
      <c r="A558" s="89"/>
      <c r="B558" s="89"/>
      <c r="C558" s="89"/>
      <c r="D558" s="89"/>
      <c r="E558" s="89"/>
      <c r="F558" s="89"/>
      <c r="G558" s="89"/>
      <c r="H558" s="89"/>
      <c r="I558" s="33"/>
      <c r="J558" s="9"/>
      <c r="K558" s="9"/>
      <c r="AB558" s="26">
        <f t="shared" si="48"/>
        <v>0</v>
      </c>
      <c r="AC558" s="26">
        <f t="shared" si="49"/>
        <v>0</v>
      </c>
      <c r="AD558" s="26">
        <f t="shared" si="50"/>
        <v>0</v>
      </c>
      <c r="AE558" s="26">
        <f t="shared" si="51"/>
        <v>0</v>
      </c>
      <c r="AF558" s="26">
        <f t="shared" si="52"/>
        <v>0</v>
      </c>
      <c r="AG558" s="26">
        <f t="shared" si="53"/>
        <v>0</v>
      </c>
    </row>
    <row r="559" spans="1:33" x14ac:dyDescent="0.2">
      <c r="A559" s="89"/>
      <c r="B559" s="89"/>
      <c r="C559" s="89"/>
      <c r="D559" s="89"/>
      <c r="E559" s="89"/>
      <c r="F559" s="89"/>
      <c r="G559" s="89"/>
      <c r="H559" s="89"/>
      <c r="I559" s="33"/>
      <c r="J559" s="9"/>
      <c r="K559" s="9"/>
      <c r="AB559" s="26">
        <f t="shared" si="48"/>
        <v>0</v>
      </c>
      <c r="AC559" s="26">
        <f t="shared" si="49"/>
        <v>0</v>
      </c>
      <c r="AD559" s="26">
        <f t="shared" si="50"/>
        <v>0</v>
      </c>
      <c r="AE559" s="26">
        <f t="shared" si="51"/>
        <v>0</v>
      </c>
      <c r="AF559" s="26">
        <f t="shared" si="52"/>
        <v>0</v>
      </c>
      <c r="AG559" s="26">
        <f t="shared" si="53"/>
        <v>0</v>
      </c>
    </row>
    <row r="560" spans="1:33" x14ac:dyDescent="0.2">
      <c r="A560" s="89"/>
      <c r="B560" s="89"/>
      <c r="C560" s="89"/>
      <c r="D560" s="89"/>
      <c r="E560" s="89"/>
      <c r="F560" s="89"/>
      <c r="G560" s="89"/>
      <c r="H560" s="89"/>
      <c r="I560" s="33"/>
      <c r="J560" s="9"/>
      <c r="K560" s="9"/>
      <c r="AB560" s="26">
        <f t="shared" si="48"/>
        <v>0</v>
      </c>
      <c r="AC560" s="26">
        <f t="shared" si="49"/>
        <v>0</v>
      </c>
      <c r="AD560" s="26">
        <f t="shared" si="50"/>
        <v>0</v>
      </c>
      <c r="AE560" s="26">
        <f t="shared" si="51"/>
        <v>0</v>
      </c>
      <c r="AF560" s="26">
        <f t="shared" si="52"/>
        <v>0</v>
      </c>
      <c r="AG560" s="26">
        <f t="shared" si="53"/>
        <v>0</v>
      </c>
    </row>
    <row r="561" spans="1:33" x14ac:dyDescent="0.2">
      <c r="A561" s="89"/>
      <c r="B561" s="89"/>
      <c r="C561" s="89"/>
      <c r="D561" s="89"/>
      <c r="E561" s="89"/>
      <c r="F561" s="89"/>
      <c r="G561" s="89"/>
      <c r="H561" s="89"/>
      <c r="I561" s="33"/>
      <c r="J561" s="9"/>
      <c r="K561" s="9"/>
      <c r="AB561" s="26">
        <f t="shared" si="48"/>
        <v>0</v>
      </c>
      <c r="AC561" s="26">
        <f t="shared" si="49"/>
        <v>0</v>
      </c>
      <c r="AD561" s="26">
        <f t="shared" si="50"/>
        <v>0</v>
      </c>
      <c r="AE561" s="26">
        <f t="shared" si="51"/>
        <v>0</v>
      </c>
      <c r="AF561" s="26">
        <f t="shared" si="52"/>
        <v>0</v>
      </c>
      <c r="AG561" s="26">
        <f t="shared" si="53"/>
        <v>0</v>
      </c>
    </row>
    <row r="562" spans="1:33" x14ac:dyDescent="0.2">
      <c r="A562" s="89"/>
      <c r="B562" s="89"/>
      <c r="C562" s="89"/>
      <c r="D562" s="89"/>
      <c r="E562" s="89"/>
      <c r="F562" s="89"/>
      <c r="G562" s="89"/>
      <c r="H562" s="89"/>
      <c r="I562" s="33"/>
      <c r="J562" s="9"/>
      <c r="K562" s="9"/>
      <c r="AB562" s="26">
        <f t="shared" si="48"/>
        <v>0</v>
      </c>
      <c r="AC562" s="26">
        <f t="shared" si="49"/>
        <v>0</v>
      </c>
      <c r="AD562" s="26">
        <f t="shared" si="50"/>
        <v>0</v>
      </c>
      <c r="AE562" s="26">
        <f t="shared" si="51"/>
        <v>0</v>
      </c>
      <c r="AF562" s="26">
        <f t="shared" si="52"/>
        <v>0</v>
      </c>
      <c r="AG562" s="26">
        <f t="shared" si="53"/>
        <v>0</v>
      </c>
    </row>
    <row r="563" spans="1:33" x14ac:dyDescent="0.2">
      <c r="A563" s="89"/>
      <c r="B563" s="89"/>
      <c r="C563" s="89"/>
      <c r="D563" s="89"/>
      <c r="E563" s="89"/>
      <c r="F563" s="89"/>
      <c r="G563" s="89"/>
      <c r="H563" s="89"/>
      <c r="I563" s="33"/>
      <c r="J563" s="9"/>
      <c r="K563" s="9"/>
      <c r="AB563" s="26">
        <f t="shared" si="48"/>
        <v>0</v>
      </c>
      <c r="AC563" s="26">
        <f t="shared" si="49"/>
        <v>0</v>
      </c>
      <c r="AD563" s="26">
        <f t="shared" si="50"/>
        <v>0</v>
      </c>
      <c r="AE563" s="26">
        <f t="shared" si="51"/>
        <v>0</v>
      </c>
      <c r="AF563" s="26">
        <f t="shared" si="52"/>
        <v>0</v>
      </c>
      <c r="AG563" s="26">
        <f t="shared" si="53"/>
        <v>0</v>
      </c>
    </row>
    <row r="564" spans="1:33" x14ac:dyDescent="0.2">
      <c r="A564" s="89"/>
      <c r="B564" s="89"/>
      <c r="C564" s="89"/>
      <c r="D564" s="89"/>
      <c r="E564" s="89"/>
      <c r="F564" s="89"/>
      <c r="G564" s="89"/>
      <c r="H564" s="89"/>
      <c r="I564" s="33"/>
      <c r="J564" s="9"/>
      <c r="K564" s="9"/>
      <c r="AB564" s="26">
        <f t="shared" si="48"/>
        <v>0</v>
      </c>
      <c r="AC564" s="26">
        <f t="shared" si="49"/>
        <v>0</v>
      </c>
      <c r="AD564" s="26">
        <f t="shared" si="50"/>
        <v>0</v>
      </c>
      <c r="AE564" s="26">
        <f t="shared" si="51"/>
        <v>0</v>
      </c>
      <c r="AF564" s="26">
        <f t="shared" si="52"/>
        <v>0</v>
      </c>
      <c r="AG564" s="26">
        <f t="shared" si="53"/>
        <v>0</v>
      </c>
    </row>
    <row r="565" spans="1:33" x14ac:dyDescent="0.2">
      <c r="A565" s="89"/>
      <c r="B565" s="89"/>
      <c r="C565" s="89"/>
      <c r="D565" s="89"/>
      <c r="E565" s="89"/>
      <c r="F565" s="89"/>
      <c r="G565" s="89"/>
      <c r="H565" s="89"/>
      <c r="I565" s="33"/>
      <c r="J565" s="9"/>
      <c r="K565" s="9"/>
      <c r="AB565" s="26">
        <f t="shared" si="48"/>
        <v>0</v>
      </c>
      <c r="AC565" s="26">
        <f t="shared" si="49"/>
        <v>0</v>
      </c>
      <c r="AD565" s="26">
        <f t="shared" si="50"/>
        <v>0</v>
      </c>
      <c r="AE565" s="26">
        <f t="shared" si="51"/>
        <v>0</v>
      </c>
      <c r="AF565" s="26">
        <f t="shared" si="52"/>
        <v>0</v>
      </c>
      <c r="AG565" s="26">
        <f t="shared" si="53"/>
        <v>0</v>
      </c>
    </row>
    <row r="566" spans="1:33" x14ac:dyDescent="0.2">
      <c r="A566" s="89"/>
      <c r="B566" s="89"/>
      <c r="C566" s="89"/>
      <c r="D566" s="89"/>
      <c r="E566" s="89"/>
      <c r="F566" s="89"/>
      <c r="G566" s="89"/>
      <c r="H566" s="89"/>
      <c r="I566" s="33"/>
      <c r="J566" s="9"/>
      <c r="K566" s="9"/>
      <c r="AB566" s="26">
        <f t="shared" si="48"/>
        <v>0</v>
      </c>
      <c r="AC566" s="26">
        <f t="shared" si="49"/>
        <v>0</v>
      </c>
      <c r="AD566" s="26">
        <f t="shared" si="50"/>
        <v>0</v>
      </c>
      <c r="AE566" s="26">
        <f t="shared" si="51"/>
        <v>0</v>
      </c>
      <c r="AF566" s="26">
        <f t="shared" si="52"/>
        <v>0</v>
      </c>
      <c r="AG566" s="26">
        <f t="shared" si="53"/>
        <v>0</v>
      </c>
    </row>
    <row r="567" spans="1:33" x14ac:dyDescent="0.2">
      <c r="A567" s="89"/>
      <c r="B567" s="89"/>
      <c r="C567" s="89"/>
      <c r="D567" s="89"/>
      <c r="E567" s="89"/>
      <c r="F567" s="89"/>
      <c r="G567" s="89"/>
      <c r="H567" s="89"/>
      <c r="I567" s="33"/>
      <c r="J567" s="9"/>
      <c r="K567" s="9"/>
      <c r="AB567" s="26">
        <f t="shared" si="48"/>
        <v>0</v>
      </c>
      <c r="AC567" s="26">
        <f t="shared" si="49"/>
        <v>0</v>
      </c>
      <c r="AD567" s="26">
        <f t="shared" si="50"/>
        <v>0</v>
      </c>
      <c r="AE567" s="26">
        <f t="shared" si="51"/>
        <v>0</v>
      </c>
      <c r="AF567" s="26">
        <f t="shared" si="52"/>
        <v>0</v>
      </c>
      <c r="AG567" s="26">
        <f t="shared" si="53"/>
        <v>0</v>
      </c>
    </row>
    <row r="568" spans="1:33" x14ac:dyDescent="0.2">
      <c r="A568" s="89"/>
      <c r="B568" s="89"/>
      <c r="C568" s="89"/>
      <c r="D568" s="89"/>
      <c r="E568" s="89"/>
      <c r="F568" s="89"/>
      <c r="G568" s="89"/>
      <c r="H568" s="89"/>
      <c r="I568" s="33"/>
      <c r="J568" s="9"/>
      <c r="K568" s="9"/>
      <c r="AB568" s="26">
        <f t="shared" si="48"/>
        <v>0</v>
      </c>
      <c r="AC568" s="26">
        <f t="shared" si="49"/>
        <v>0</v>
      </c>
      <c r="AD568" s="26">
        <f t="shared" si="50"/>
        <v>0</v>
      </c>
      <c r="AE568" s="26">
        <f t="shared" si="51"/>
        <v>0</v>
      </c>
      <c r="AF568" s="26">
        <f t="shared" si="52"/>
        <v>0</v>
      </c>
      <c r="AG568" s="26">
        <f t="shared" si="53"/>
        <v>0</v>
      </c>
    </row>
    <row r="569" spans="1:33" x14ac:dyDescent="0.2">
      <c r="A569" s="89"/>
      <c r="B569" s="89"/>
      <c r="C569" s="89"/>
      <c r="D569" s="89"/>
      <c r="E569" s="89"/>
      <c r="F569" s="89"/>
      <c r="G569" s="89"/>
      <c r="H569" s="89"/>
      <c r="I569" s="33"/>
      <c r="J569" s="9"/>
      <c r="K569" s="9"/>
      <c r="AB569" s="26">
        <f t="shared" si="48"/>
        <v>0</v>
      </c>
      <c r="AC569" s="26">
        <f t="shared" si="49"/>
        <v>0</v>
      </c>
      <c r="AD569" s="26">
        <f t="shared" si="50"/>
        <v>0</v>
      </c>
      <c r="AE569" s="26">
        <f t="shared" si="51"/>
        <v>0</v>
      </c>
      <c r="AF569" s="26">
        <f t="shared" si="52"/>
        <v>0</v>
      </c>
      <c r="AG569" s="26">
        <f t="shared" si="53"/>
        <v>0</v>
      </c>
    </row>
    <row r="570" spans="1:33" x14ac:dyDescent="0.2">
      <c r="A570" s="89"/>
      <c r="B570" s="89"/>
      <c r="C570" s="89"/>
      <c r="D570" s="89"/>
      <c r="E570" s="89"/>
      <c r="F570" s="89"/>
      <c r="G570" s="89"/>
      <c r="H570" s="89"/>
      <c r="I570" s="33"/>
      <c r="J570" s="9"/>
      <c r="K570" s="9"/>
      <c r="AB570" s="26">
        <f t="shared" si="48"/>
        <v>0</v>
      </c>
      <c r="AC570" s="26">
        <f t="shared" si="49"/>
        <v>0</v>
      </c>
      <c r="AD570" s="26">
        <f t="shared" si="50"/>
        <v>0</v>
      </c>
      <c r="AE570" s="26">
        <f t="shared" si="51"/>
        <v>0</v>
      </c>
      <c r="AF570" s="26">
        <f t="shared" si="52"/>
        <v>0</v>
      </c>
      <c r="AG570" s="26">
        <f t="shared" si="53"/>
        <v>0</v>
      </c>
    </row>
    <row r="571" spans="1:33" x14ac:dyDescent="0.2">
      <c r="A571" s="89"/>
      <c r="B571" s="89"/>
      <c r="C571" s="89"/>
      <c r="D571" s="89"/>
      <c r="E571" s="89"/>
      <c r="F571" s="89"/>
      <c r="G571" s="89"/>
      <c r="H571" s="89"/>
      <c r="I571" s="33"/>
      <c r="J571" s="9"/>
      <c r="K571" s="9"/>
      <c r="AB571" s="26">
        <f t="shared" si="48"/>
        <v>0</v>
      </c>
      <c r="AC571" s="26">
        <f t="shared" si="49"/>
        <v>0</v>
      </c>
      <c r="AD571" s="26">
        <f t="shared" si="50"/>
        <v>0</v>
      </c>
      <c r="AE571" s="26">
        <f t="shared" si="51"/>
        <v>0</v>
      </c>
      <c r="AF571" s="26">
        <f t="shared" si="52"/>
        <v>0</v>
      </c>
      <c r="AG571" s="26">
        <f t="shared" si="53"/>
        <v>0</v>
      </c>
    </row>
    <row r="572" spans="1:33" x14ac:dyDescent="0.2">
      <c r="A572" s="89"/>
      <c r="B572" s="89"/>
      <c r="C572" s="89"/>
      <c r="D572" s="89"/>
      <c r="E572" s="89"/>
      <c r="F572" s="89"/>
      <c r="G572" s="89"/>
      <c r="H572" s="89"/>
      <c r="I572" s="33"/>
      <c r="J572" s="9"/>
      <c r="K572" s="9"/>
      <c r="AB572" s="26">
        <f t="shared" si="48"/>
        <v>0</v>
      </c>
      <c r="AC572" s="26">
        <f t="shared" si="49"/>
        <v>0</v>
      </c>
      <c r="AD572" s="26">
        <f t="shared" si="50"/>
        <v>0</v>
      </c>
      <c r="AE572" s="26">
        <f t="shared" si="51"/>
        <v>0</v>
      </c>
      <c r="AF572" s="26">
        <f t="shared" si="52"/>
        <v>0</v>
      </c>
      <c r="AG572" s="26">
        <f t="shared" si="53"/>
        <v>0</v>
      </c>
    </row>
    <row r="573" spans="1:33" x14ac:dyDescent="0.2">
      <c r="A573" s="89"/>
      <c r="B573" s="89"/>
      <c r="C573" s="89"/>
      <c r="D573" s="89"/>
      <c r="E573" s="89"/>
      <c r="F573" s="89"/>
      <c r="G573" s="89"/>
      <c r="H573" s="89"/>
      <c r="I573" s="33"/>
      <c r="J573" s="9"/>
      <c r="K573" s="9"/>
      <c r="AB573" s="26">
        <f t="shared" si="48"/>
        <v>0</v>
      </c>
      <c r="AC573" s="26">
        <f t="shared" si="49"/>
        <v>0</v>
      </c>
      <c r="AD573" s="26">
        <f t="shared" si="50"/>
        <v>0</v>
      </c>
      <c r="AE573" s="26">
        <f t="shared" si="51"/>
        <v>0</v>
      </c>
      <c r="AF573" s="26">
        <f t="shared" si="52"/>
        <v>0</v>
      </c>
      <c r="AG573" s="26">
        <f t="shared" si="53"/>
        <v>0</v>
      </c>
    </row>
    <row r="574" spans="1:33" x14ac:dyDescent="0.2">
      <c r="A574" s="89"/>
      <c r="B574" s="89"/>
      <c r="C574" s="89"/>
      <c r="D574" s="89"/>
      <c r="E574" s="89"/>
      <c r="F574" s="89"/>
      <c r="G574" s="89"/>
      <c r="H574" s="89"/>
      <c r="I574" s="33"/>
      <c r="J574" s="9"/>
      <c r="K574" s="9"/>
      <c r="AB574" s="26">
        <f t="shared" si="48"/>
        <v>0</v>
      </c>
      <c r="AC574" s="26">
        <f t="shared" si="49"/>
        <v>0</v>
      </c>
      <c r="AD574" s="26">
        <f t="shared" si="50"/>
        <v>0</v>
      </c>
      <c r="AE574" s="26">
        <f t="shared" si="51"/>
        <v>0</v>
      </c>
      <c r="AF574" s="26">
        <f t="shared" si="52"/>
        <v>0</v>
      </c>
      <c r="AG574" s="26">
        <f t="shared" si="53"/>
        <v>0</v>
      </c>
    </row>
    <row r="575" spans="1:33" x14ac:dyDescent="0.2">
      <c r="A575" s="89"/>
      <c r="B575" s="89"/>
      <c r="C575" s="89"/>
      <c r="D575" s="89"/>
      <c r="E575" s="89"/>
      <c r="F575" s="89"/>
      <c r="G575" s="89"/>
      <c r="H575" s="89"/>
      <c r="I575" s="33"/>
      <c r="J575" s="9"/>
      <c r="K575" s="9"/>
      <c r="AB575" s="26">
        <f t="shared" si="48"/>
        <v>0</v>
      </c>
      <c r="AC575" s="26">
        <f t="shared" si="49"/>
        <v>0</v>
      </c>
      <c r="AD575" s="26">
        <f t="shared" si="50"/>
        <v>0</v>
      </c>
      <c r="AE575" s="26">
        <f t="shared" si="51"/>
        <v>0</v>
      </c>
      <c r="AF575" s="26">
        <f t="shared" si="52"/>
        <v>0</v>
      </c>
      <c r="AG575" s="26">
        <f t="shared" si="53"/>
        <v>0</v>
      </c>
    </row>
    <row r="576" spans="1:33" x14ac:dyDescent="0.2">
      <c r="A576" s="89"/>
      <c r="B576" s="89"/>
      <c r="C576" s="89"/>
      <c r="D576" s="89"/>
      <c r="E576" s="89"/>
      <c r="F576" s="89"/>
      <c r="G576" s="89"/>
      <c r="H576" s="89"/>
      <c r="I576" s="33"/>
      <c r="J576" s="9"/>
      <c r="K576" s="9"/>
      <c r="AB576" s="26">
        <f t="shared" si="48"/>
        <v>0</v>
      </c>
      <c r="AC576" s="26">
        <f t="shared" si="49"/>
        <v>0</v>
      </c>
      <c r="AD576" s="26">
        <f t="shared" si="50"/>
        <v>0</v>
      </c>
      <c r="AE576" s="26">
        <f t="shared" si="51"/>
        <v>0</v>
      </c>
      <c r="AF576" s="26">
        <f t="shared" si="52"/>
        <v>0</v>
      </c>
      <c r="AG576" s="26">
        <f t="shared" si="53"/>
        <v>0</v>
      </c>
    </row>
    <row r="577" spans="1:33" x14ac:dyDescent="0.2">
      <c r="A577" s="89"/>
      <c r="B577" s="89"/>
      <c r="C577" s="89"/>
      <c r="D577" s="89"/>
      <c r="E577" s="89"/>
      <c r="F577" s="89"/>
      <c r="G577" s="89"/>
      <c r="H577" s="89"/>
      <c r="I577" s="33"/>
      <c r="J577" s="9"/>
      <c r="K577" s="9"/>
      <c r="AB577" s="26">
        <f t="shared" si="48"/>
        <v>0</v>
      </c>
      <c r="AC577" s="26">
        <f t="shared" si="49"/>
        <v>0</v>
      </c>
      <c r="AD577" s="26">
        <f t="shared" si="50"/>
        <v>0</v>
      </c>
      <c r="AE577" s="26">
        <f t="shared" si="51"/>
        <v>0</v>
      </c>
      <c r="AF577" s="26">
        <f t="shared" si="52"/>
        <v>0</v>
      </c>
      <c r="AG577" s="26">
        <f t="shared" si="53"/>
        <v>0</v>
      </c>
    </row>
    <row r="578" spans="1:33" x14ac:dyDescent="0.2">
      <c r="A578" s="89"/>
      <c r="B578" s="89"/>
      <c r="C578" s="89"/>
      <c r="D578" s="89"/>
      <c r="E578" s="89"/>
      <c r="F578" s="89"/>
      <c r="G578" s="89"/>
      <c r="H578" s="89"/>
      <c r="I578" s="33"/>
      <c r="J578" s="9"/>
      <c r="K578" s="9"/>
      <c r="AB578" s="26">
        <f t="shared" si="48"/>
        <v>0</v>
      </c>
      <c r="AC578" s="26">
        <f t="shared" si="49"/>
        <v>0</v>
      </c>
      <c r="AD578" s="26">
        <f t="shared" si="50"/>
        <v>0</v>
      </c>
      <c r="AE578" s="26">
        <f t="shared" si="51"/>
        <v>0</v>
      </c>
      <c r="AF578" s="26">
        <f t="shared" si="52"/>
        <v>0</v>
      </c>
      <c r="AG578" s="26">
        <f t="shared" si="53"/>
        <v>0</v>
      </c>
    </row>
    <row r="579" spans="1:33" x14ac:dyDescent="0.2">
      <c r="A579" s="89"/>
      <c r="B579" s="89"/>
      <c r="C579" s="89"/>
      <c r="D579" s="89"/>
      <c r="E579" s="89"/>
      <c r="F579" s="89"/>
      <c r="G579" s="89"/>
      <c r="H579" s="89"/>
      <c r="I579" s="33"/>
      <c r="J579" s="9"/>
      <c r="K579" s="9"/>
      <c r="AB579" s="26">
        <f t="shared" si="48"/>
        <v>0</v>
      </c>
      <c r="AC579" s="26">
        <f t="shared" si="49"/>
        <v>0</v>
      </c>
      <c r="AD579" s="26">
        <f t="shared" si="50"/>
        <v>0</v>
      </c>
      <c r="AE579" s="26">
        <f t="shared" si="51"/>
        <v>0</v>
      </c>
      <c r="AF579" s="26">
        <f t="shared" si="52"/>
        <v>0</v>
      </c>
      <c r="AG579" s="26">
        <f t="shared" si="53"/>
        <v>0</v>
      </c>
    </row>
    <row r="580" spans="1:33" x14ac:dyDescent="0.2">
      <c r="A580" s="89"/>
      <c r="B580" s="89"/>
      <c r="C580" s="89"/>
      <c r="D580" s="89"/>
      <c r="E580" s="89"/>
      <c r="F580" s="89"/>
      <c r="G580" s="89"/>
      <c r="H580" s="89"/>
      <c r="I580" s="33"/>
      <c r="J580" s="9"/>
      <c r="K580" s="9"/>
      <c r="AB580" s="26">
        <f t="shared" si="48"/>
        <v>0</v>
      </c>
      <c r="AC580" s="26">
        <f t="shared" si="49"/>
        <v>0</v>
      </c>
      <c r="AD580" s="26">
        <f t="shared" si="50"/>
        <v>0</v>
      </c>
      <c r="AE580" s="26">
        <f t="shared" si="51"/>
        <v>0</v>
      </c>
      <c r="AF580" s="26">
        <f t="shared" si="52"/>
        <v>0</v>
      </c>
      <c r="AG580" s="26">
        <f t="shared" si="53"/>
        <v>0</v>
      </c>
    </row>
    <row r="581" spans="1:33" x14ac:dyDescent="0.2">
      <c r="A581" s="89"/>
      <c r="B581" s="89"/>
      <c r="C581" s="89"/>
      <c r="D581" s="89"/>
      <c r="E581" s="89"/>
      <c r="F581" s="89"/>
      <c r="G581" s="89"/>
      <c r="H581" s="89"/>
      <c r="I581" s="33"/>
      <c r="J581" s="9"/>
      <c r="K581" s="9"/>
      <c r="AB581" s="26">
        <f t="shared" si="48"/>
        <v>0</v>
      </c>
      <c r="AC581" s="26">
        <f t="shared" si="49"/>
        <v>0</v>
      </c>
      <c r="AD581" s="26">
        <f t="shared" si="50"/>
        <v>0</v>
      </c>
      <c r="AE581" s="26">
        <f t="shared" si="51"/>
        <v>0</v>
      </c>
      <c r="AF581" s="26">
        <f t="shared" si="52"/>
        <v>0</v>
      </c>
      <c r="AG581" s="26">
        <f t="shared" si="53"/>
        <v>0</v>
      </c>
    </row>
    <row r="582" spans="1:33" x14ac:dyDescent="0.2">
      <c r="A582" s="89"/>
      <c r="B582" s="89"/>
      <c r="C582" s="89"/>
      <c r="D582" s="89"/>
      <c r="E582" s="89"/>
      <c r="F582" s="89"/>
      <c r="G582" s="89"/>
      <c r="H582" s="89"/>
      <c r="I582" s="33"/>
      <c r="J582" s="9"/>
      <c r="K582" s="9"/>
    </row>
    <row r="583" spans="1:33" x14ac:dyDescent="0.2">
      <c r="A583" s="89"/>
      <c r="B583" s="89"/>
      <c r="C583" s="89"/>
      <c r="D583" s="89"/>
      <c r="E583" s="89"/>
      <c r="F583" s="89"/>
      <c r="G583" s="89"/>
      <c r="H583" s="89"/>
      <c r="I583" s="33"/>
      <c r="J583" s="9"/>
      <c r="K583" s="9"/>
    </row>
    <row r="584" spans="1:33" x14ac:dyDescent="0.2">
      <c r="A584" s="89"/>
      <c r="B584" s="89"/>
      <c r="C584" s="89"/>
      <c r="D584" s="89"/>
      <c r="E584" s="89"/>
      <c r="F584" s="89"/>
      <c r="G584" s="89"/>
      <c r="H584" s="89"/>
      <c r="I584" s="33"/>
      <c r="J584" s="9"/>
      <c r="K584" s="9"/>
    </row>
    <row r="585" spans="1:33" x14ac:dyDescent="0.2">
      <c r="A585" s="89"/>
      <c r="B585" s="89"/>
      <c r="C585" s="89"/>
      <c r="D585" s="89"/>
      <c r="E585" s="89"/>
      <c r="F585" s="89"/>
      <c r="G585" s="89"/>
      <c r="H585" s="89"/>
      <c r="I585" s="33"/>
      <c r="J585" s="9"/>
      <c r="K585" s="9"/>
    </row>
    <row r="586" spans="1:33" x14ac:dyDescent="0.2">
      <c r="A586" s="89"/>
      <c r="B586" s="89"/>
      <c r="C586" s="89"/>
      <c r="D586" s="89"/>
      <c r="E586" s="89"/>
      <c r="F586" s="89"/>
      <c r="G586" s="89"/>
      <c r="H586" s="89"/>
      <c r="I586" s="33"/>
      <c r="J586" s="9"/>
      <c r="K586" s="9"/>
    </row>
    <row r="587" spans="1:33" x14ac:dyDescent="0.2">
      <c r="A587" s="89"/>
      <c r="B587" s="89"/>
      <c r="C587" s="89"/>
      <c r="D587" s="89"/>
      <c r="E587" s="89"/>
      <c r="F587" s="89"/>
      <c r="G587" s="89"/>
      <c r="H587" s="89"/>
      <c r="I587" s="33"/>
      <c r="J587" s="9"/>
      <c r="K587" s="9"/>
    </row>
    <row r="588" spans="1:33" x14ac:dyDescent="0.2">
      <c r="A588" s="89"/>
      <c r="B588" s="89"/>
      <c r="C588" s="89"/>
      <c r="D588" s="89"/>
      <c r="E588" s="89"/>
      <c r="F588" s="89"/>
      <c r="G588" s="89"/>
      <c r="H588" s="89"/>
      <c r="I588" s="33"/>
      <c r="J588" s="9"/>
      <c r="K588" s="9"/>
    </row>
    <row r="589" spans="1:33" x14ac:dyDescent="0.2">
      <c r="A589" s="89"/>
      <c r="B589" s="89"/>
      <c r="C589" s="89"/>
      <c r="D589" s="89"/>
      <c r="E589" s="89"/>
      <c r="F589" s="89"/>
      <c r="G589" s="89"/>
      <c r="H589" s="89"/>
      <c r="I589" s="33"/>
      <c r="J589" s="9"/>
      <c r="K589" s="9"/>
    </row>
    <row r="590" spans="1:33" x14ac:dyDescent="0.2">
      <c r="A590" s="89"/>
      <c r="B590" s="89"/>
      <c r="C590" s="89"/>
      <c r="D590" s="89"/>
      <c r="E590" s="89"/>
      <c r="F590" s="89"/>
      <c r="G590" s="89"/>
      <c r="H590" s="89"/>
      <c r="I590" s="33"/>
      <c r="J590" s="9"/>
      <c r="K590" s="9"/>
    </row>
    <row r="591" spans="1:33" x14ac:dyDescent="0.2">
      <c r="A591" s="89"/>
      <c r="B591" s="89"/>
      <c r="C591" s="89"/>
      <c r="D591" s="89"/>
      <c r="E591" s="89"/>
      <c r="F591" s="89"/>
      <c r="G591" s="89"/>
      <c r="H591" s="89"/>
      <c r="I591" s="33"/>
      <c r="J591" s="9"/>
      <c r="K591" s="9"/>
    </row>
    <row r="592" spans="1:33" x14ac:dyDescent="0.2">
      <c r="A592" s="89"/>
      <c r="B592" s="89"/>
      <c r="C592" s="89"/>
      <c r="D592" s="89"/>
      <c r="E592" s="89"/>
      <c r="F592" s="89"/>
      <c r="G592" s="89"/>
      <c r="H592" s="89"/>
      <c r="I592" s="33"/>
      <c r="J592" s="9"/>
      <c r="K592" s="9"/>
    </row>
    <row r="593" spans="1:11" x14ac:dyDescent="0.2">
      <c r="A593" s="89"/>
      <c r="B593" s="89"/>
      <c r="C593" s="89"/>
      <c r="D593" s="89"/>
      <c r="E593" s="89"/>
      <c r="F593" s="89"/>
      <c r="G593" s="89"/>
      <c r="H593" s="89"/>
      <c r="I593" s="33"/>
      <c r="J593" s="9"/>
      <c r="K593" s="9"/>
    </row>
    <row r="594" spans="1:11" x14ac:dyDescent="0.2">
      <c r="A594" s="89"/>
      <c r="B594" s="89"/>
      <c r="C594" s="89"/>
      <c r="D594" s="89"/>
      <c r="E594" s="89"/>
      <c r="F594" s="89"/>
      <c r="G594" s="89"/>
      <c r="H594" s="89"/>
      <c r="I594" s="33"/>
      <c r="J594" s="9"/>
      <c r="K594" s="9"/>
    </row>
    <row r="595" spans="1:11" x14ac:dyDescent="0.2">
      <c r="A595" s="89"/>
      <c r="B595" s="89"/>
      <c r="C595" s="89"/>
      <c r="D595" s="89"/>
      <c r="E595" s="89"/>
      <c r="F595" s="89"/>
      <c r="G595" s="89"/>
      <c r="H595" s="89"/>
      <c r="I595" s="33"/>
      <c r="J595" s="9"/>
      <c r="K595" s="9"/>
    </row>
    <row r="596" spans="1:11" x14ac:dyDescent="0.2">
      <c r="A596" s="89"/>
      <c r="B596" s="89"/>
      <c r="C596" s="89"/>
      <c r="D596" s="89"/>
      <c r="E596" s="89"/>
      <c r="F596" s="89"/>
      <c r="G596" s="89"/>
      <c r="H596" s="89"/>
      <c r="I596" s="33"/>
      <c r="J596" s="9"/>
      <c r="K596" s="9"/>
    </row>
    <row r="597" spans="1:11" x14ac:dyDescent="0.2">
      <c r="A597" s="89"/>
      <c r="B597" s="89"/>
      <c r="C597" s="89"/>
      <c r="D597" s="89"/>
      <c r="E597" s="89"/>
      <c r="F597" s="89"/>
      <c r="G597" s="89"/>
      <c r="H597" s="89"/>
      <c r="I597" s="33"/>
      <c r="J597" s="9"/>
      <c r="K597" s="9"/>
    </row>
    <row r="598" spans="1:11" x14ac:dyDescent="0.2">
      <c r="A598" s="89"/>
      <c r="B598" s="89"/>
      <c r="C598" s="89"/>
      <c r="D598" s="89"/>
      <c r="E598" s="89"/>
      <c r="F598" s="89"/>
      <c r="G598" s="89"/>
      <c r="H598" s="89"/>
      <c r="I598" s="33"/>
      <c r="J598" s="9"/>
      <c r="K598" s="9"/>
    </row>
    <row r="599" spans="1:11" x14ac:dyDescent="0.2">
      <c r="A599" s="89"/>
      <c r="B599" s="89"/>
      <c r="C599" s="89"/>
      <c r="D599" s="89"/>
      <c r="E599" s="89"/>
      <c r="F599" s="89"/>
      <c r="G599" s="89"/>
      <c r="H599" s="89"/>
      <c r="I599" s="33"/>
      <c r="J599" s="9"/>
      <c r="K599" s="9"/>
    </row>
    <row r="600" spans="1:11" x14ac:dyDescent="0.2">
      <c r="A600" s="89"/>
      <c r="B600" s="89"/>
      <c r="C600" s="89"/>
      <c r="D600" s="89"/>
      <c r="E600" s="89"/>
      <c r="F600" s="89"/>
      <c r="G600" s="89"/>
      <c r="H600" s="89"/>
      <c r="I600" s="33"/>
      <c r="J600" s="9"/>
      <c r="K600" s="9"/>
    </row>
    <row r="601" spans="1:11" x14ac:dyDescent="0.2">
      <c r="A601" s="89"/>
      <c r="B601" s="89"/>
      <c r="C601" s="89"/>
      <c r="D601" s="89"/>
      <c r="E601" s="89"/>
      <c r="F601" s="89"/>
      <c r="G601" s="89"/>
      <c r="H601" s="89"/>
      <c r="I601" s="33"/>
      <c r="J601" s="9"/>
      <c r="K601" s="9"/>
    </row>
    <row r="602" spans="1:11" x14ac:dyDescent="0.2">
      <c r="A602" s="89"/>
      <c r="B602" s="89"/>
      <c r="C602" s="89"/>
      <c r="D602" s="89"/>
      <c r="E602" s="89"/>
      <c r="F602" s="89"/>
      <c r="G602" s="89"/>
      <c r="H602" s="89"/>
      <c r="I602" s="33"/>
      <c r="J602" s="9"/>
      <c r="K602" s="9"/>
    </row>
    <row r="603" spans="1:11" x14ac:dyDescent="0.2">
      <c r="A603" s="89"/>
      <c r="B603" s="89"/>
      <c r="C603" s="89"/>
      <c r="D603" s="89"/>
      <c r="E603" s="89"/>
      <c r="F603" s="89"/>
      <c r="G603" s="89"/>
      <c r="H603" s="89"/>
      <c r="I603" s="33"/>
      <c r="J603" s="9"/>
      <c r="K603" s="9"/>
    </row>
    <row r="604" spans="1:11" x14ac:dyDescent="0.2">
      <c r="A604" s="89"/>
      <c r="B604" s="89"/>
      <c r="C604" s="89"/>
      <c r="D604" s="89"/>
      <c r="E604" s="89"/>
      <c r="F604" s="89"/>
      <c r="G604" s="89"/>
      <c r="H604" s="89"/>
      <c r="I604" s="33"/>
      <c r="J604" s="9"/>
      <c r="K604" s="9"/>
    </row>
    <row r="605" spans="1:11" x14ac:dyDescent="0.2">
      <c r="A605" s="89"/>
      <c r="B605" s="89"/>
      <c r="C605" s="89"/>
      <c r="D605" s="89"/>
      <c r="E605" s="89"/>
      <c r="F605" s="89"/>
      <c r="G605" s="89"/>
      <c r="H605" s="89"/>
      <c r="I605" s="33"/>
      <c r="J605" s="9"/>
      <c r="K605" s="9"/>
    </row>
    <row r="606" spans="1:11" x14ac:dyDescent="0.2">
      <c r="A606" s="89"/>
      <c r="B606" s="89"/>
      <c r="C606" s="89"/>
      <c r="D606" s="89"/>
      <c r="E606" s="89"/>
      <c r="F606" s="89"/>
      <c r="G606" s="89"/>
      <c r="H606" s="89"/>
      <c r="I606" s="33"/>
      <c r="J606" s="9"/>
      <c r="K606" s="9"/>
    </row>
    <row r="607" spans="1:11" x14ac:dyDescent="0.2">
      <c r="A607" s="89"/>
      <c r="B607" s="89"/>
      <c r="C607" s="89"/>
      <c r="D607" s="89"/>
      <c r="E607" s="89"/>
      <c r="F607" s="89"/>
      <c r="G607" s="89"/>
      <c r="H607" s="89"/>
      <c r="I607" s="33"/>
      <c r="J607" s="9"/>
      <c r="K607" s="9"/>
    </row>
    <row r="608" spans="1:11" x14ac:dyDescent="0.2">
      <c r="A608" s="89"/>
      <c r="B608" s="89"/>
      <c r="C608" s="89"/>
      <c r="D608" s="89"/>
      <c r="E608" s="89"/>
      <c r="F608" s="89"/>
      <c r="G608" s="89"/>
      <c r="H608" s="89"/>
      <c r="I608" s="33"/>
      <c r="J608" s="9"/>
      <c r="K608" s="9"/>
    </row>
    <row r="609" spans="1:11" x14ac:dyDescent="0.2">
      <c r="A609" s="89"/>
      <c r="B609" s="89"/>
      <c r="C609" s="89"/>
      <c r="D609" s="89"/>
      <c r="E609" s="89"/>
      <c r="F609" s="89"/>
      <c r="G609" s="89"/>
      <c r="H609" s="89"/>
      <c r="I609" s="33"/>
      <c r="J609" s="9"/>
      <c r="K609" s="9"/>
    </row>
    <row r="610" spans="1:11" x14ac:dyDescent="0.2">
      <c r="A610" s="89"/>
      <c r="B610" s="89"/>
      <c r="C610" s="89"/>
      <c r="D610" s="89"/>
      <c r="E610" s="89"/>
      <c r="F610" s="89"/>
      <c r="G610" s="89"/>
      <c r="H610" s="89"/>
      <c r="I610" s="33"/>
      <c r="J610" s="9"/>
      <c r="K610" s="9"/>
    </row>
    <row r="611" spans="1:11" x14ac:dyDescent="0.2">
      <c r="A611" s="89"/>
      <c r="B611" s="89"/>
      <c r="C611" s="89"/>
      <c r="D611" s="89"/>
      <c r="E611" s="89"/>
      <c r="F611" s="89"/>
      <c r="G611" s="89"/>
      <c r="H611" s="89"/>
      <c r="I611" s="33"/>
      <c r="J611" s="9"/>
      <c r="K611" s="9"/>
    </row>
    <row r="612" spans="1:11" x14ac:dyDescent="0.2">
      <c r="A612" s="89"/>
      <c r="B612" s="89"/>
      <c r="C612" s="89"/>
      <c r="D612" s="89"/>
      <c r="E612" s="89"/>
      <c r="F612" s="89"/>
      <c r="G612" s="89"/>
      <c r="H612" s="89"/>
      <c r="I612" s="33"/>
      <c r="J612" s="9"/>
      <c r="K612" s="9"/>
    </row>
    <row r="613" spans="1:11" x14ac:dyDescent="0.2">
      <c r="A613" s="89"/>
      <c r="B613" s="89"/>
      <c r="C613" s="89"/>
      <c r="D613" s="89"/>
      <c r="E613" s="89"/>
      <c r="F613" s="89"/>
      <c r="G613" s="89"/>
      <c r="H613" s="89"/>
      <c r="I613" s="33"/>
      <c r="J613" s="9"/>
      <c r="K613" s="9"/>
    </row>
    <row r="614" spans="1:11" x14ac:dyDescent="0.2">
      <c r="A614" s="89"/>
      <c r="B614" s="89"/>
      <c r="C614" s="89"/>
      <c r="D614" s="89"/>
      <c r="E614" s="89"/>
      <c r="F614" s="89"/>
      <c r="G614" s="89"/>
      <c r="H614" s="89"/>
      <c r="I614" s="33"/>
      <c r="J614" s="9"/>
      <c r="K614" s="9"/>
    </row>
    <row r="615" spans="1:11" x14ac:dyDescent="0.2">
      <c r="A615" s="89"/>
      <c r="B615" s="89"/>
      <c r="C615" s="89"/>
      <c r="D615" s="89"/>
      <c r="E615" s="89"/>
      <c r="F615" s="89"/>
      <c r="G615" s="89"/>
      <c r="H615" s="89"/>
      <c r="I615" s="33"/>
      <c r="J615" s="9"/>
      <c r="K615" s="9"/>
    </row>
    <row r="616" spans="1:11" x14ac:dyDescent="0.2">
      <c r="A616" s="89"/>
      <c r="B616" s="89"/>
      <c r="C616" s="89"/>
      <c r="D616" s="89"/>
      <c r="E616" s="89"/>
      <c r="F616" s="89"/>
      <c r="G616" s="89"/>
      <c r="H616" s="89"/>
      <c r="I616" s="33"/>
      <c r="J616" s="9"/>
      <c r="K616" s="9"/>
    </row>
    <row r="617" spans="1:11" x14ac:dyDescent="0.2">
      <c r="A617" s="89"/>
      <c r="B617" s="89"/>
      <c r="C617" s="89"/>
      <c r="D617" s="89"/>
      <c r="E617" s="89"/>
      <c r="F617" s="89"/>
      <c r="G617" s="89"/>
      <c r="H617" s="89"/>
      <c r="I617" s="33"/>
      <c r="J617" s="9"/>
      <c r="K617" s="9"/>
    </row>
    <row r="618" spans="1:11" x14ac:dyDescent="0.2">
      <c r="A618" s="89"/>
      <c r="B618" s="89"/>
      <c r="C618" s="89"/>
      <c r="D618" s="89"/>
      <c r="E618" s="89"/>
      <c r="F618" s="89"/>
      <c r="G618" s="89"/>
      <c r="H618" s="89"/>
      <c r="I618" s="33"/>
      <c r="J618" s="9"/>
      <c r="K618" s="9"/>
    </row>
    <row r="619" spans="1:11" x14ac:dyDescent="0.2">
      <c r="A619" s="89"/>
      <c r="B619" s="89"/>
      <c r="C619" s="89"/>
      <c r="D619" s="89"/>
      <c r="E619" s="89"/>
      <c r="F619" s="89"/>
      <c r="G619" s="89"/>
      <c r="H619" s="89"/>
      <c r="I619" s="33"/>
      <c r="J619" s="9"/>
      <c r="K619" s="9"/>
    </row>
    <row r="620" spans="1:11" x14ac:dyDescent="0.2">
      <c r="A620" s="89"/>
      <c r="B620" s="89"/>
      <c r="C620" s="89"/>
      <c r="D620" s="89"/>
      <c r="E620" s="89"/>
      <c r="F620" s="89"/>
      <c r="G620" s="89"/>
      <c r="H620" s="89"/>
      <c r="I620" s="33"/>
      <c r="J620" s="9"/>
      <c r="K620" s="9"/>
    </row>
    <row r="621" spans="1:11" x14ac:dyDescent="0.2">
      <c r="A621" s="89"/>
      <c r="B621" s="89"/>
      <c r="C621" s="89"/>
      <c r="D621" s="89"/>
      <c r="E621" s="89"/>
      <c r="F621" s="89"/>
      <c r="G621" s="89"/>
      <c r="H621" s="89"/>
      <c r="I621" s="33"/>
      <c r="J621" s="9"/>
      <c r="K621" s="9"/>
    </row>
    <row r="622" spans="1:11" x14ac:dyDescent="0.2">
      <c r="A622" s="89"/>
      <c r="B622" s="89"/>
      <c r="C622" s="89"/>
      <c r="D622" s="89"/>
      <c r="E622" s="89"/>
      <c r="F622" s="89"/>
      <c r="G622" s="89"/>
      <c r="H622" s="89"/>
      <c r="I622" s="33"/>
      <c r="J622" s="9"/>
      <c r="K622" s="9"/>
    </row>
    <row r="623" spans="1:11" x14ac:dyDescent="0.2">
      <c r="A623" s="89"/>
      <c r="B623" s="89"/>
      <c r="C623" s="89"/>
      <c r="D623" s="89"/>
      <c r="E623" s="89"/>
      <c r="F623" s="89"/>
      <c r="G623" s="89"/>
      <c r="H623" s="89"/>
      <c r="I623" s="33"/>
      <c r="J623" s="9"/>
      <c r="K623" s="9"/>
    </row>
    <row r="624" spans="1:11" x14ac:dyDescent="0.2">
      <c r="A624" s="89"/>
      <c r="B624" s="89"/>
      <c r="C624" s="89"/>
      <c r="D624" s="89"/>
      <c r="E624" s="89"/>
      <c r="F624" s="89"/>
      <c r="G624" s="89"/>
      <c r="H624" s="89"/>
      <c r="I624" s="33"/>
      <c r="J624" s="9"/>
      <c r="K624" s="9"/>
    </row>
    <row r="625" spans="1:11" x14ac:dyDescent="0.2">
      <c r="A625" s="89"/>
      <c r="B625" s="89"/>
      <c r="C625" s="89"/>
      <c r="D625" s="89"/>
      <c r="E625" s="89"/>
      <c r="F625" s="89"/>
      <c r="G625" s="89"/>
      <c r="H625" s="89"/>
      <c r="I625" s="33"/>
      <c r="J625" s="9"/>
      <c r="K625" s="9"/>
    </row>
    <row r="626" spans="1:11" x14ac:dyDescent="0.2">
      <c r="A626" s="89"/>
      <c r="B626" s="89"/>
      <c r="C626" s="89"/>
      <c r="D626" s="89"/>
      <c r="E626" s="89"/>
      <c r="F626" s="89"/>
      <c r="G626" s="89"/>
      <c r="H626" s="89"/>
      <c r="I626" s="33"/>
      <c r="J626" s="9"/>
      <c r="K626" s="9"/>
    </row>
    <row r="627" spans="1:11" x14ac:dyDescent="0.2">
      <c r="A627" s="89"/>
      <c r="B627" s="89"/>
      <c r="C627" s="89"/>
      <c r="D627" s="89"/>
      <c r="E627" s="89"/>
      <c r="F627" s="89"/>
      <c r="G627" s="89"/>
      <c r="H627" s="89"/>
      <c r="I627" s="33"/>
      <c r="J627" s="9"/>
      <c r="K627" s="9"/>
    </row>
    <row r="628" spans="1:11" x14ac:dyDescent="0.2">
      <c r="A628" s="89"/>
      <c r="B628" s="89"/>
      <c r="C628" s="89"/>
      <c r="D628" s="89"/>
      <c r="E628" s="89"/>
      <c r="F628" s="89"/>
      <c r="G628" s="89"/>
      <c r="H628" s="89"/>
      <c r="I628" s="33"/>
      <c r="J628" s="9"/>
      <c r="K628" s="9"/>
    </row>
    <row r="629" spans="1:11" x14ac:dyDescent="0.2">
      <c r="A629" s="89"/>
      <c r="B629" s="89"/>
      <c r="C629" s="89"/>
      <c r="D629" s="89"/>
      <c r="E629" s="89"/>
      <c r="F629" s="89"/>
      <c r="G629" s="89"/>
      <c r="H629" s="89"/>
      <c r="I629" s="33"/>
      <c r="J629" s="9"/>
      <c r="K629" s="9"/>
    </row>
    <row r="630" spans="1:11" x14ac:dyDescent="0.2">
      <c r="A630" s="89"/>
      <c r="B630" s="89"/>
      <c r="C630" s="89"/>
      <c r="D630" s="89"/>
      <c r="E630" s="89"/>
      <c r="F630" s="89"/>
      <c r="G630" s="89"/>
      <c r="H630" s="89"/>
      <c r="I630" s="33"/>
      <c r="J630" s="9"/>
      <c r="K630" s="9"/>
    </row>
    <row r="631" spans="1:11" x14ac:dyDescent="0.2">
      <c r="A631" s="89"/>
      <c r="B631" s="89"/>
      <c r="C631" s="89"/>
      <c r="D631" s="89"/>
      <c r="E631" s="89"/>
      <c r="F631" s="89"/>
      <c r="G631" s="89"/>
      <c r="H631" s="89"/>
      <c r="I631" s="33"/>
      <c r="J631" s="9"/>
      <c r="K631" s="9"/>
    </row>
    <row r="632" spans="1:11" x14ac:dyDescent="0.2">
      <c r="A632" s="89"/>
      <c r="B632" s="89"/>
      <c r="C632" s="89"/>
      <c r="D632" s="89"/>
      <c r="E632" s="89"/>
      <c r="F632" s="89"/>
      <c r="G632" s="89"/>
      <c r="H632" s="89"/>
      <c r="I632" s="33"/>
      <c r="J632" s="9"/>
      <c r="K632" s="9"/>
    </row>
    <row r="633" spans="1:11" x14ac:dyDescent="0.2">
      <c r="A633" s="89"/>
      <c r="B633" s="89"/>
      <c r="C633" s="89"/>
      <c r="D633" s="89"/>
      <c r="E633" s="89"/>
      <c r="F633" s="89"/>
      <c r="G633" s="89"/>
      <c r="H633" s="89"/>
      <c r="I633" s="33"/>
      <c r="J633" s="9"/>
      <c r="K633" s="9"/>
    </row>
    <row r="634" spans="1:11" x14ac:dyDescent="0.2">
      <c r="A634" s="89"/>
      <c r="B634" s="89"/>
      <c r="C634" s="89"/>
      <c r="D634" s="89"/>
      <c r="E634" s="89"/>
      <c r="F634" s="89"/>
      <c r="G634" s="89"/>
      <c r="H634" s="89"/>
      <c r="I634" s="33"/>
      <c r="J634" s="9"/>
      <c r="K634" s="9"/>
    </row>
    <row r="635" spans="1:11" x14ac:dyDescent="0.2">
      <c r="A635" s="89"/>
      <c r="B635" s="89"/>
      <c r="C635" s="89"/>
      <c r="D635" s="89"/>
      <c r="E635" s="89"/>
      <c r="F635" s="89"/>
      <c r="G635" s="89"/>
      <c r="H635" s="89"/>
      <c r="I635" s="33"/>
      <c r="J635" s="9"/>
      <c r="K635" s="9"/>
    </row>
    <row r="636" spans="1:11" x14ac:dyDescent="0.2">
      <c r="A636" s="89"/>
      <c r="B636" s="89"/>
      <c r="C636" s="89"/>
      <c r="D636" s="89"/>
      <c r="E636" s="89"/>
      <c r="F636" s="89"/>
      <c r="G636" s="89"/>
      <c r="H636" s="89"/>
      <c r="I636" s="33"/>
      <c r="J636" s="9"/>
      <c r="K636" s="9"/>
    </row>
    <row r="637" spans="1:11" x14ac:dyDescent="0.2">
      <c r="A637" s="89"/>
      <c r="B637" s="89"/>
      <c r="C637" s="89"/>
      <c r="D637" s="89"/>
      <c r="E637" s="89"/>
      <c r="F637" s="89"/>
      <c r="G637" s="89"/>
      <c r="H637" s="89"/>
      <c r="I637" s="33"/>
      <c r="J637" s="9"/>
      <c r="K637" s="9"/>
    </row>
    <row r="638" spans="1:11" x14ac:dyDescent="0.2">
      <c r="A638" s="89"/>
      <c r="B638" s="89"/>
      <c r="C638" s="89"/>
      <c r="D638" s="89"/>
      <c r="E638" s="89"/>
      <c r="F638" s="89"/>
      <c r="G638" s="89"/>
      <c r="H638" s="89"/>
      <c r="I638" s="33"/>
      <c r="J638" s="9"/>
      <c r="K638" s="9"/>
    </row>
    <row r="639" spans="1:11" x14ac:dyDescent="0.2">
      <c r="A639" s="89"/>
      <c r="B639" s="89"/>
      <c r="C639" s="89"/>
      <c r="D639" s="89"/>
      <c r="E639" s="89"/>
      <c r="F639" s="89"/>
      <c r="G639" s="89"/>
      <c r="H639" s="89"/>
      <c r="I639" s="33"/>
      <c r="J639" s="9"/>
      <c r="K639" s="9"/>
    </row>
    <row r="640" spans="1:11" x14ac:dyDescent="0.2">
      <c r="A640" s="89"/>
      <c r="B640" s="89"/>
      <c r="C640" s="89"/>
      <c r="D640" s="89"/>
      <c r="E640" s="89"/>
      <c r="F640" s="89"/>
      <c r="G640" s="89"/>
      <c r="H640" s="89"/>
      <c r="I640" s="33"/>
      <c r="J640" s="9"/>
      <c r="K640" s="9"/>
    </row>
    <row r="641" spans="1:11" x14ac:dyDescent="0.2">
      <c r="A641" s="89"/>
      <c r="B641" s="89"/>
      <c r="C641" s="89"/>
      <c r="D641" s="89"/>
      <c r="E641" s="89"/>
      <c r="F641" s="89"/>
      <c r="G641" s="89"/>
      <c r="H641" s="89"/>
      <c r="I641" s="33"/>
      <c r="J641" s="9"/>
      <c r="K641" s="9"/>
    </row>
    <row r="642" spans="1:11" x14ac:dyDescent="0.2">
      <c r="A642" s="89"/>
      <c r="B642" s="89"/>
      <c r="C642" s="89"/>
      <c r="D642" s="89"/>
      <c r="E642" s="89"/>
      <c r="F642" s="89"/>
      <c r="G642" s="89"/>
      <c r="H642" s="89"/>
      <c r="I642" s="33"/>
      <c r="J642" s="9"/>
      <c r="K642" s="9"/>
    </row>
    <row r="643" spans="1:11" x14ac:dyDescent="0.2">
      <c r="A643" s="89"/>
      <c r="B643" s="89"/>
      <c r="C643" s="89"/>
      <c r="D643" s="89"/>
      <c r="E643" s="89"/>
      <c r="F643" s="89"/>
      <c r="G643" s="89"/>
      <c r="H643" s="89"/>
      <c r="I643" s="33"/>
      <c r="J643" s="9"/>
      <c r="K643" s="9"/>
    </row>
    <row r="644" spans="1:11" x14ac:dyDescent="0.2">
      <c r="A644" s="89"/>
      <c r="B644" s="89"/>
      <c r="C644" s="89"/>
      <c r="D644" s="89"/>
      <c r="E644" s="89"/>
      <c r="F644" s="89"/>
      <c r="G644" s="89"/>
      <c r="H644" s="89"/>
      <c r="I644" s="33"/>
      <c r="J644" s="9"/>
      <c r="K644" s="9"/>
    </row>
    <row r="645" spans="1:11" x14ac:dyDescent="0.2">
      <c r="A645" s="89"/>
      <c r="B645" s="89"/>
      <c r="C645" s="89"/>
      <c r="D645" s="89"/>
      <c r="E645" s="89"/>
      <c r="F645" s="89"/>
      <c r="G645" s="89"/>
      <c r="H645" s="89"/>
      <c r="I645" s="33"/>
      <c r="J645" s="9"/>
      <c r="K645" s="9"/>
    </row>
    <row r="646" spans="1:11" x14ac:dyDescent="0.2">
      <c r="A646" s="89"/>
      <c r="B646" s="89"/>
      <c r="C646" s="89"/>
      <c r="D646" s="89"/>
      <c r="E646" s="89"/>
      <c r="F646" s="89"/>
      <c r="G646" s="89"/>
      <c r="H646" s="89"/>
      <c r="I646" s="33"/>
      <c r="J646" s="9"/>
      <c r="K646" s="9"/>
    </row>
    <row r="647" spans="1:11" x14ac:dyDescent="0.2">
      <c r="A647" s="89"/>
      <c r="B647" s="89"/>
      <c r="C647" s="89"/>
      <c r="D647" s="89"/>
      <c r="E647" s="89"/>
      <c r="F647" s="89"/>
      <c r="G647" s="89"/>
      <c r="H647" s="89"/>
      <c r="I647" s="33"/>
      <c r="J647" s="9"/>
      <c r="K647" s="9"/>
    </row>
    <row r="648" spans="1:11" x14ac:dyDescent="0.2">
      <c r="A648" s="89"/>
      <c r="B648" s="89"/>
      <c r="C648" s="89"/>
      <c r="D648" s="89"/>
      <c r="E648" s="89"/>
      <c r="F648" s="89"/>
      <c r="G648" s="89"/>
      <c r="H648" s="89"/>
      <c r="I648" s="33"/>
      <c r="J648" s="9"/>
      <c r="K648" s="9"/>
    </row>
    <row r="649" spans="1:11" x14ac:dyDescent="0.2">
      <c r="A649" s="89"/>
      <c r="B649" s="89"/>
      <c r="C649" s="89"/>
      <c r="D649" s="89"/>
      <c r="E649" s="89"/>
      <c r="F649" s="89"/>
      <c r="G649" s="89"/>
      <c r="H649" s="89"/>
      <c r="I649" s="33"/>
      <c r="J649" s="9"/>
      <c r="K649" s="9"/>
    </row>
    <row r="650" spans="1:11" x14ac:dyDescent="0.2">
      <c r="A650" s="89"/>
      <c r="B650" s="89"/>
      <c r="C650" s="89"/>
      <c r="D650" s="89"/>
      <c r="E650" s="89"/>
      <c r="F650" s="89"/>
      <c r="G650" s="89"/>
      <c r="H650" s="89"/>
      <c r="I650" s="33"/>
      <c r="J650" s="9"/>
      <c r="K650" s="9"/>
    </row>
    <row r="651" spans="1:11" x14ac:dyDescent="0.2">
      <c r="A651" s="89"/>
      <c r="B651" s="89"/>
      <c r="C651" s="89"/>
      <c r="D651" s="89"/>
      <c r="E651" s="89"/>
      <c r="F651" s="89"/>
      <c r="G651" s="89"/>
      <c r="H651" s="89"/>
      <c r="I651" s="33"/>
      <c r="J651" s="9"/>
      <c r="K651" s="9"/>
    </row>
    <row r="652" spans="1:11" x14ac:dyDescent="0.2">
      <c r="A652" s="89"/>
      <c r="B652" s="89"/>
      <c r="C652" s="89"/>
      <c r="D652" s="89"/>
      <c r="E652" s="89"/>
      <c r="F652" s="89"/>
      <c r="G652" s="89"/>
      <c r="H652" s="89"/>
      <c r="I652" s="33"/>
      <c r="J652" s="9"/>
      <c r="K652" s="9"/>
    </row>
    <row r="653" spans="1:11" x14ac:dyDescent="0.2">
      <c r="A653" s="89"/>
      <c r="B653" s="89"/>
      <c r="C653" s="89"/>
      <c r="D653" s="89"/>
      <c r="E653" s="89"/>
      <c r="F653" s="89"/>
      <c r="G653" s="89"/>
      <c r="H653" s="89"/>
      <c r="I653" s="33"/>
      <c r="J653" s="9"/>
      <c r="K653" s="9"/>
    </row>
    <row r="654" spans="1:11" x14ac:dyDescent="0.2">
      <c r="A654" s="89"/>
      <c r="B654" s="89"/>
      <c r="C654" s="89"/>
      <c r="D654" s="89"/>
      <c r="E654" s="89"/>
      <c r="F654" s="89"/>
      <c r="G654" s="89"/>
      <c r="H654" s="89"/>
      <c r="I654" s="33"/>
      <c r="J654" s="9"/>
      <c r="K654" s="9"/>
    </row>
    <row r="655" spans="1:11" x14ac:dyDescent="0.2">
      <c r="A655" s="89"/>
      <c r="B655" s="89"/>
      <c r="C655" s="89"/>
      <c r="D655" s="89"/>
      <c r="E655" s="89"/>
      <c r="F655" s="89"/>
      <c r="G655" s="89"/>
      <c r="H655" s="89"/>
      <c r="I655" s="33"/>
      <c r="J655" s="9"/>
      <c r="K655" s="9"/>
    </row>
    <row r="656" spans="1:11" x14ac:dyDescent="0.2">
      <c r="A656" s="89"/>
      <c r="B656" s="89"/>
      <c r="C656" s="89"/>
      <c r="D656" s="89"/>
      <c r="E656" s="89"/>
      <c r="F656" s="89"/>
      <c r="G656" s="89"/>
      <c r="H656" s="89"/>
      <c r="I656" s="33"/>
      <c r="J656" s="9"/>
      <c r="K656" s="9"/>
    </row>
    <row r="657" spans="1:11" x14ac:dyDescent="0.2">
      <c r="A657" s="89"/>
      <c r="B657" s="89"/>
      <c r="C657" s="89"/>
      <c r="D657" s="89"/>
      <c r="E657" s="89"/>
      <c r="F657" s="89"/>
      <c r="G657" s="89"/>
      <c r="H657" s="89"/>
      <c r="I657" s="33"/>
      <c r="J657" s="9"/>
      <c r="K657" s="9"/>
    </row>
    <row r="658" spans="1:11" x14ac:dyDescent="0.2">
      <c r="A658" s="89"/>
      <c r="B658" s="89"/>
      <c r="C658" s="89"/>
      <c r="D658" s="89"/>
      <c r="E658" s="89"/>
      <c r="F658" s="89"/>
      <c r="G658" s="89"/>
      <c r="H658" s="89"/>
      <c r="I658" s="33"/>
      <c r="J658" s="9"/>
      <c r="K658" s="9"/>
    </row>
    <row r="659" spans="1:11" x14ac:dyDescent="0.2">
      <c r="A659" s="89"/>
      <c r="B659" s="89"/>
      <c r="C659" s="89"/>
      <c r="D659" s="89"/>
      <c r="E659" s="89"/>
      <c r="F659" s="89"/>
      <c r="G659" s="89"/>
      <c r="H659" s="89"/>
      <c r="I659" s="33"/>
      <c r="J659" s="9"/>
      <c r="K659" s="9"/>
    </row>
    <row r="660" spans="1:11" x14ac:dyDescent="0.2">
      <c r="A660" s="89"/>
      <c r="B660" s="89"/>
      <c r="C660" s="89"/>
      <c r="D660" s="89"/>
      <c r="E660" s="89"/>
      <c r="F660" s="89"/>
      <c r="G660" s="89"/>
      <c r="H660" s="89"/>
      <c r="I660" s="33"/>
      <c r="J660" s="9"/>
      <c r="K660" s="9"/>
    </row>
    <row r="661" spans="1:11" x14ac:dyDescent="0.2">
      <c r="A661" s="89"/>
      <c r="B661" s="89"/>
      <c r="C661" s="89"/>
      <c r="D661" s="89"/>
      <c r="E661" s="89"/>
      <c r="F661" s="89"/>
      <c r="G661" s="89"/>
      <c r="H661" s="89"/>
      <c r="I661" s="33"/>
      <c r="J661" s="9"/>
      <c r="K661" s="9"/>
    </row>
    <row r="662" spans="1:11" x14ac:dyDescent="0.2">
      <c r="A662" s="89"/>
      <c r="B662" s="89"/>
      <c r="C662" s="89"/>
      <c r="D662" s="89"/>
      <c r="E662" s="89"/>
      <c r="F662" s="89"/>
      <c r="G662" s="89"/>
      <c r="H662" s="89"/>
      <c r="I662" s="33"/>
      <c r="J662" s="9"/>
      <c r="K662" s="9"/>
    </row>
    <row r="663" spans="1:11" x14ac:dyDescent="0.2">
      <c r="A663" s="89"/>
      <c r="B663" s="89"/>
      <c r="C663" s="89"/>
      <c r="D663" s="89"/>
      <c r="E663" s="89"/>
      <c r="F663" s="89"/>
      <c r="G663" s="89"/>
      <c r="H663" s="89"/>
      <c r="I663" s="33"/>
      <c r="J663" s="9"/>
      <c r="K663" s="9"/>
    </row>
    <row r="664" spans="1:11" x14ac:dyDescent="0.2">
      <c r="A664" s="89"/>
      <c r="B664" s="89"/>
      <c r="C664" s="89"/>
      <c r="D664" s="89"/>
      <c r="E664" s="89"/>
      <c r="F664" s="89"/>
      <c r="G664" s="89"/>
      <c r="H664" s="89"/>
      <c r="I664" s="33"/>
      <c r="J664" s="9"/>
      <c r="K664" s="9"/>
    </row>
    <row r="665" spans="1:11" x14ac:dyDescent="0.2">
      <c r="A665" s="89"/>
      <c r="B665" s="89"/>
      <c r="C665" s="89"/>
      <c r="D665" s="89"/>
      <c r="E665" s="89"/>
      <c r="F665" s="89"/>
      <c r="G665" s="89"/>
      <c r="H665" s="89"/>
      <c r="I665" s="33"/>
      <c r="J665" s="9"/>
      <c r="K665" s="9"/>
    </row>
    <row r="666" spans="1:11" x14ac:dyDescent="0.2">
      <c r="A666" s="89"/>
      <c r="B666" s="89"/>
      <c r="C666" s="89"/>
      <c r="D666" s="89"/>
      <c r="E666" s="89"/>
      <c r="F666" s="89"/>
      <c r="G666" s="89"/>
      <c r="H666" s="89"/>
      <c r="I666" s="33"/>
      <c r="J666" s="9"/>
      <c r="K666" s="9"/>
    </row>
    <row r="667" spans="1:11" x14ac:dyDescent="0.2">
      <c r="A667" s="89"/>
      <c r="B667" s="89"/>
      <c r="C667" s="89"/>
      <c r="D667" s="89"/>
      <c r="E667" s="89"/>
      <c r="F667" s="89"/>
      <c r="G667" s="89"/>
      <c r="H667" s="89"/>
      <c r="I667" s="33"/>
      <c r="J667" s="9"/>
      <c r="K667" s="9"/>
    </row>
    <row r="668" spans="1:11" x14ac:dyDescent="0.2">
      <c r="A668" s="89"/>
      <c r="B668" s="89"/>
      <c r="C668" s="89"/>
      <c r="D668" s="89"/>
      <c r="E668" s="89"/>
      <c r="F668" s="89"/>
      <c r="G668" s="89"/>
      <c r="H668" s="89"/>
      <c r="I668" s="33"/>
      <c r="J668" s="9"/>
      <c r="K668" s="9"/>
    </row>
    <row r="669" spans="1:11" x14ac:dyDescent="0.2">
      <c r="A669" s="89"/>
      <c r="B669" s="89"/>
      <c r="C669" s="89"/>
      <c r="D669" s="89"/>
      <c r="E669" s="89"/>
      <c r="F669" s="89"/>
      <c r="G669" s="89"/>
      <c r="H669" s="89"/>
      <c r="I669" s="33"/>
      <c r="J669" s="9"/>
      <c r="K669" s="9"/>
    </row>
    <row r="670" spans="1:11" x14ac:dyDescent="0.2">
      <c r="A670" s="89"/>
      <c r="B670" s="89"/>
      <c r="C670" s="89"/>
      <c r="D670" s="89"/>
      <c r="E670" s="89"/>
      <c r="F670" s="89"/>
      <c r="G670" s="89"/>
      <c r="H670" s="89"/>
      <c r="I670" s="33"/>
      <c r="J670" s="9"/>
      <c r="K670" s="9"/>
    </row>
    <row r="671" spans="1:11" x14ac:dyDescent="0.2">
      <c r="A671" s="89"/>
      <c r="B671" s="89"/>
      <c r="C671" s="89"/>
      <c r="D671" s="89"/>
      <c r="E671" s="89"/>
      <c r="F671" s="89"/>
      <c r="G671" s="89"/>
      <c r="H671" s="89"/>
      <c r="I671" s="33"/>
      <c r="J671" s="9"/>
      <c r="K671" s="9"/>
    </row>
    <row r="672" spans="1:11" x14ac:dyDescent="0.2">
      <c r="A672" s="89"/>
      <c r="B672" s="89"/>
      <c r="C672" s="89"/>
      <c r="D672" s="89"/>
      <c r="E672" s="89"/>
      <c r="F672" s="89"/>
      <c r="G672" s="89"/>
      <c r="H672" s="89"/>
      <c r="I672" s="33"/>
      <c r="J672" s="9"/>
      <c r="K672" s="9"/>
    </row>
    <row r="673" spans="1:11" x14ac:dyDescent="0.2">
      <c r="A673" s="89"/>
      <c r="B673" s="89"/>
      <c r="C673" s="89"/>
      <c r="D673" s="89"/>
      <c r="E673" s="89"/>
      <c r="F673" s="89"/>
      <c r="G673" s="89"/>
      <c r="H673" s="89"/>
      <c r="I673" s="33"/>
      <c r="J673" s="9"/>
      <c r="K673" s="9"/>
    </row>
    <row r="674" spans="1:11" x14ac:dyDescent="0.2">
      <c r="A674" s="89"/>
      <c r="B674" s="89"/>
      <c r="C674" s="89"/>
      <c r="D674" s="89"/>
      <c r="E674" s="89"/>
      <c r="F674" s="89"/>
      <c r="G674" s="89"/>
      <c r="H674" s="89"/>
      <c r="I674" s="33"/>
      <c r="J674" s="9"/>
      <c r="K674" s="9"/>
    </row>
    <row r="675" spans="1:11" x14ac:dyDescent="0.2">
      <c r="A675" s="89"/>
      <c r="B675" s="89"/>
      <c r="C675" s="89"/>
      <c r="D675" s="89"/>
      <c r="E675" s="89"/>
      <c r="F675" s="89"/>
      <c r="G675" s="89"/>
      <c r="H675" s="89"/>
      <c r="I675" s="33"/>
      <c r="J675" s="9"/>
      <c r="K675" s="9"/>
    </row>
    <row r="676" spans="1:11" x14ac:dyDescent="0.2">
      <c r="A676" s="89"/>
      <c r="B676" s="89"/>
      <c r="C676" s="89"/>
      <c r="D676" s="89"/>
      <c r="E676" s="89"/>
      <c r="F676" s="89"/>
      <c r="G676" s="89"/>
      <c r="H676" s="89"/>
      <c r="I676" s="33"/>
      <c r="J676" s="9"/>
      <c r="K676" s="9"/>
    </row>
    <row r="677" spans="1:11" x14ac:dyDescent="0.2">
      <c r="A677" s="89"/>
      <c r="B677" s="89"/>
      <c r="C677" s="89"/>
      <c r="D677" s="89"/>
      <c r="E677" s="89"/>
      <c r="F677" s="89"/>
      <c r="G677" s="89"/>
      <c r="H677" s="89"/>
      <c r="I677" s="33"/>
      <c r="J677" s="9"/>
      <c r="K677" s="9"/>
    </row>
    <row r="678" spans="1:11" x14ac:dyDescent="0.2">
      <c r="A678" s="89"/>
      <c r="B678" s="89"/>
      <c r="C678" s="89"/>
      <c r="D678" s="89"/>
      <c r="E678" s="89"/>
      <c r="F678" s="89"/>
      <c r="G678" s="89"/>
      <c r="H678" s="89"/>
      <c r="I678" s="33"/>
      <c r="J678" s="9"/>
      <c r="K678" s="9"/>
    </row>
    <row r="679" spans="1:11" x14ac:dyDescent="0.2">
      <c r="A679" s="89"/>
      <c r="B679" s="89"/>
      <c r="C679" s="89"/>
      <c r="D679" s="89"/>
      <c r="E679" s="89"/>
      <c r="F679" s="89"/>
      <c r="G679" s="89"/>
      <c r="H679" s="89"/>
      <c r="I679" s="33"/>
      <c r="J679" s="9"/>
      <c r="K679" s="9"/>
    </row>
    <row r="680" spans="1:11" x14ac:dyDescent="0.2">
      <c r="A680" s="89"/>
      <c r="B680" s="89"/>
      <c r="C680" s="89"/>
      <c r="D680" s="89"/>
      <c r="E680" s="89"/>
      <c r="F680" s="89"/>
      <c r="G680" s="89"/>
      <c r="H680" s="89"/>
      <c r="I680" s="33"/>
      <c r="J680" s="9"/>
      <c r="K680" s="9"/>
    </row>
    <row r="681" spans="1:11" x14ac:dyDescent="0.2">
      <c r="A681" s="89"/>
      <c r="B681" s="89"/>
      <c r="C681" s="89"/>
      <c r="D681" s="89"/>
      <c r="E681" s="89"/>
      <c r="F681" s="89"/>
      <c r="G681" s="89"/>
      <c r="H681" s="89"/>
      <c r="I681" s="33"/>
      <c r="J681" s="9"/>
      <c r="K681" s="9"/>
    </row>
    <row r="682" spans="1:11" x14ac:dyDescent="0.2">
      <c r="A682" s="89"/>
      <c r="B682" s="89"/>
      <c r="C682" s="89"/>
      <c r="D682" s="89"/>
      <c r="E682" s="89"/>
      <c r="F682" s="89"/>
      <c r="G682" s="89"/>
      <c r="H682" s="89"/>
      <c r="I682" s="33"/>
      <c r="J682" s="9"/>
      <c r="K682" s="9"/>
    </row>
    <row r="683" spans="1:11" x14ac:dyDescent="0.2">
      <c r="A683" s="89"/>
      <c r="B683" s="89"/>
      <c r="C683" s="89"/>
      <c r="D683" s="89"/>
      <c r="E683" s="89"/>
      <c r="F683" s="89"/>
      <c r="G683" s="89"/>
      <c r="H683" s="89"/>
      <c r="I683" s="33"/>
      <c r="J683" s="9"/>
      <c r="K683" s="9"/>
    </row>
    <row r="684" spans="1:11" x14ac:dyDescent="0.2">
      <c r="A684" s="89"/>
      <c r="B684" s="89"/>
      <c r="C684" s="89"/>
      <c r="D684" s="89"/>
      <c r="E684" s="89"/>
      <c r="F684" s="89"/>
      <c r="G684" s="89"/>
      <c r="H684" s="89"/>
      <c r="I684" s="33"/>
      <c r="J684" s="9"/>
      <c r="K684" s="9"/>
    </row>
    <row r="685" spans="1:11" x14ac:dyDescent="0.2">
      <c r="A685" s="89"/>
      <c r="B685" s="89"/>
      <c r="C685" s="89"/>
      <c r="D685" s="89"/>
      <c r="E685" s="89"/>
      <c r="F685" s="89"/>
      <c r="G685" s="89"/>
      <c r="H685" s="89"/>
      <c r="I685" s="33"/>
      <c r="J685" s="9"/>
      <c r="K685" s="9"/>
    </row>
    <row r="686" spans="1:11" x14ac:dyDescent="0.2">
      <c r="A686" s="89"/>
      <c r="B686" s="89"/>
      <c r="C686" s="89"/>
      <c r="D686" s="89"/>
      <c r="E686" s="89"/>
      <c r="F686" s="89"/>
      <c r="G686" s="89"/>
      <c r="H686" s="89"/>
      <c r="I686" s="33"/>
      <c r="J686" s="9"/>
      <c r="K686" s="9"/>
    </row>
    <row r="687" spans="1:11" x14ac:dyDescent="0.2">
      <c r="A687" s="89"/>
      <c r="B687" s="89"/>
      <c r="C687" s="89"/>
      <c r="D687" s="89"/>
      <c r="E687" s="89"/>
      <c r="F687" s="89"/>
      <c r="G687" s="89"/>
      <c r="H687" s="89"/>
      <c r="I687" s="33"/>
      <c r="J687" s="9"/>
      <c r="K687" s="9"/>
    </row>
    <row r="688" spans="1:11" x14ac:dyDescent="0.2">
      <c r="A688" s="89"/>
      <c r="B688" s="89"/>
      <c r="C688" s="89"/>
      <c r="D688" s="89"/>
      <c r="E688" s="89"/>
      <c r="F688" s="89"/>
      <c r="G688" s="89"/>
      <c r="H688" s="89"/>
      <c r="I688" s="33"/>
      <c r="J688" s="9"/>
      <c r="K688" s="9"/>
    </row>
    <row r="689" spans="1:11" x14ac:dyDescent="0.2">
      <c r="A689" s="89"/>
      <c r="B689" s="89"/>
      <c r="C689" s="89"/>
      <c r="D689" s="89"/>
      <c r="E689" s="89"/>
      <c r="F689" s="89"/>
      <c r="G689" s="89"/>
      <c r="H689" s="89"/>
      <c r="I689" s="33"/>
      <c r="J689" s="9"/>
      <c r="K689" s="9"/>
    </row>
    <row r="690" spans="1:11" x14ac:dyDescent="0.2">
      <c r="A690" s="89"/>
      <c r="B690" s="89"/>
      <c r="C690" s="89"/>
      <c r="D690" s="89"/>
      <c r="E690" s="89"/>
      <c r="F690" s="89"/>
      <c r="G690" s="89"/>
      <c r="H690" s="89"/>
      <c r="I690" s="33"/>
      <c r="J690" s="9"/>
      <c r="K690" s="9"/>
    </row>
    <row r="691" spans="1:11" x14ac:dyDescent="0.2">
      <c r="A691" s="89"/>
      <c r="B691" s="89"/>
      <c r="C691" s="89"/>
      <c r="D691" s="89"/>
      <c r="E691" s="89"/>
      <c r="F691" s="89"/>
      <c r="G691" s="89"/>
      <c r="H691" s="89"/>
      <c r="I691" s="33"/>
      <c r="J691" s="9"/>
      <c r="K691" s="9"/>
    </row>
    <row r="692" spans="1:11" x14ac:dyDescent="0.2">
      <c r="A692" s="89"/>
      <c r="B692" s="89"/>
      <c r="C692" s="89"/>
      <c r="D692" s="89"/>
      <c r="E692" s="89"/>
      <c r="F692" s="89"/>
      <c r="G692" s="89"/>
      <c r="H692" s="89"/>
      <c r="I692" s="33"/>
      <c r="J692" s="9"/>
      <c r="K692" s="9"/>
    </row>
    <row r="693" spans="1:11" x14ac:dyDescent="0.2">
      <c r="A693" s="89"/>
      <c r="B693" s="89"/>
      <c r="C693" s="89"/>
      <c r="D693" s="89"/>
      <c r="E693" s="89"/>
      <c r="F693" s="89"/>
      <c r="G693" s="89"/>
      <c r="H693" s="89"/>
      <c r="I693" s="33"/>
      <c r="J693" s="9"/>
      <c r="K693" s="9"/>
    </row>
    <row r="694" spans="1:11" x14ac:dyDescent="0.2">
      <c r="A694" s="89"/>
      <c r="B694" s="89"/>
      <c r="C694" s="89"/>
      <c r="D694" s="89"/>
      <c r="E694" s="89"/>
      <c r="F694" s="89"/>
      <c r="G694" s="89"/>
      <c r="H694" s="89"/>
      <c r="I694" s="33"/>
      <c r="J694" s="9"/>
      <c r="K694" s="9"/>
    </row>
    <row r="695" spans="1:11" x14ac:dyDescent="0.2">
      <c r="A695" s="89"/>
      <c r="B695" s="89"/>
      <c r="C695" s="89"/>
      <c r="D695" s="89"/>
      <c r="E695" s="89"/>
      <c r="F695" s="89"/>
      <c r="G695" s="89"/>
      <c r="H695" s="89"/>
      <c r="I695" s="33"/>
      <c r="J695" s="9"/>
      <c r="K695" s="9"/>
    </row>
    <row r="696" spans="1:11" x14ac:dyDescent="0.2">
      <c r="A696" s="89"/>
      <c r="B696" s="89"/>
      <c r="C696" s="89"/>
      <c r="D696" s="89"/>
      <c r="E696" s="89"/>
      <c r="F696" s="89"/>
      <c r="G696" s="89"/>
      <c r="H696" s="89"/>
      <c r="I696" s="33"/>
      <c r="J696" s="9"/>
      <c r="K696" s="9"/>
    </row>
    <row r="697" spans="1:11" x14ac:dyDescent="0.2">
      <c r="A697" s="89"/>
      <c r="B697" s="89"/>
      <c r="C697" s="89"/>
      <c r="D697" s="89"/>
      <c r="E697" s="89"/>
      <c r="F697" s="89"/>
      <c r="G697" s="89"/>
      <c r="H697" s="89"/>
      <c r="I697" s="33"/>
      <c r="J697" s="9"/>
      <c r="K697" s="9"/>
    </row>
    <row r="698" spans="1:11" x14ac:dyDescent="0.2">
      <c r="A698" s="89"/>
      <c r="B698" s="89"/>
      <c r="C698" s="89"/>
      <c r="D698" s="89"/>
      <c r="E698" s="89"/>
      <c r="F698" s="89"/>
      <c r="G698" s="89"/>
      <c r="H698" s="89"/>
      <c r="I698" s="33"/>
      <c r="J698" s="9"/>
      <c r="K698" s="9"/>
    </row>
    <row r="699" spans="1:11" x14ac:dyDescent="0.2">
      <c r="A699" s="89"/>
      <c r="B699" s="89"/>
      <c r="C699" s="89"/>
      <c r="D699" s="89"/>
      <c r="E699" s="89"/>
      <c r="F699" s="89"/>
      <c r="G699" s="89"/>
      <c r="H699" s="89"/>
      <c r="I699" s="33"/>
      <c r="J699" s="9"/>
      <c r="K699" s="9"/>
    </row>
    <row r="700" spans="1:11" x14ac:dyDescent="0.2">
      <c r="A700" s="89"/>
      <c r="B700" s="89"/>
      <c r="C700" s="89"/>
      <c r="D700" s="89"/>
      <c r="E700" s="89"/>
      <c r="F700" s="89"/>
      <c r="G700" s="89"/>
      <c r="H700" s="89"/>
      <c r="I700" s="33"/>
      <c r="J700" s="9"/>
      <c r="K700" s="9"/>
    </row>
    <row r="701" spans="1:11" x14ac:dyDescent="0.2">
      <c r="A701" s="89"/>
      <c r="B701" s="89"/>
      <c r="C701" s="89"/>
      <c r="D701" s="89"/>
      <c r="E701" s="89"/>
      <c r="F701" s="89"/>
      <c r="G701" s="89"/>
      <c r="H701" s="89"/>
      <c r="I701" s="33"/>
      <c r="J701" s="9"/>
      <c r="K701" s="9"/>
    </row>
    <row r="702" spans="1:11" x14ac:dyDescent="0.2">
      <c r="A702" s="89"/>
      <c r="B702" s="89"/>
      <c r="C702" s="89"/>
      <c r="D702" s="89"/>
      <c r="E702" s="89"/>
      <c r="F702" s="89"/>
      <c r="G702" s="89"/>
      <c r="H702" s="89"/>
      <c r="I702" s="33"/>
      <c r="J702" s="9"/>
      <c r="K702" s="9"/>
    </row>
    <row r="703" spans="1:11" x14ac:dyDescent="0.2">
      <c r="A703" s="89"/>
      <c r="B703" s="89"/>
      <c r="C703" s="89"/>
      <c r="D703" s="89"/>
      <c r="E703" s="89"/>
      <c r="F703" s="89"/>
      <c r="G703" s="89"/>
      <c r="H703" s="89"/>
      <c r="I703" s="33"/>
      <c r="J703" s="9"/>
      <c r="K703" s="9"/>
    </row>
    <row r="704" spans="1:11" x14ac:dyDescent="0.2">
      <c r="A704" s="89"/>
      <c r="B704" s="89"/>
      <c r="C704" s="89"/>
      <c r="D704" s="89"/>
      <c r="E704" s="89"/>
      <c r="F704" s="89"/>
      <c r="G704" s="89"/>
      <c r="H704" s="89"/>
      <c r="I704" s="33"/>
      <c r="J704" s="9"/>
      <c r="K704" s="9"/>
    </row>
    <row r="705" spans="1:11" x14ac:dyDescent="0.2">
      <c r="A705" s="89"/>
      <c r="B705" s="89"/>
      <c r="C705" s="89"/>
      <c r="D705" s="89"/>
      <c r="E705" s="89"/>
      <c r="F705" s="89"/>
      <c r="G705" s="89"/>
      <c r="H705" s="89"/>
      <c r="I705" s="33"/>
      <c r="J705" s="9"/>
      <c r="K705" s="9"/>
    </row>
    <row r="706" spans="1:11" x14ac:dyDescent="0.2">
      <c r="A706" s="89"/>
      <c r="B706" s="89"/>
      <c r="C706" s="89"/>
      <c r="D706" s="89"/>
      <c r="E706" s="89"/>
      <c r="F706" s="89"/>
      <c r="G706" s="89"/>
      <c r="H706" s="89"/>
      <c r="I706" s="33"/>
      <c r="J706" s="9"/>
      <c r="K706" s="9"/>
    </row>
    <row r="707" spans="1:11" x14ac:dyDescent="0.2">
      <c r="A707" s="89"/>
      <c r="B707" s="89"/>
      <c r="C707" s="89"/>
      <c r="D707" s="89"/>
      <c r="E707" s="89"/>
      <c r="F707" s="89"/>
      <c r="G707" s="89"/>
      <c r="H707" s="89"/>
      <c r="I707" s="33"/>
      <c r="J707" s="9"/>
      <c r="K707" s="9"/>
    </row>
    <row r="708" spans="1:11" x14ac:dyDescent="0.2">
      <c r="A708" s="89"/>
      <c r="B708" s="89"/>
      <c r="C708" s="89"/>
      <c r="D708" s="89"/>
      <c r="E708" s="89"/>
      <c r="F708" s="89"/>
      <c r="G708" s="89"/>
      <c r="H708" s="89"/>
      <c r="I708" s="33"/>
      <c r="J708" s="9"/>
      <c r="K708" s="9"/>
    </row>
    <row r="709" spans="1:11" x14ac:dyDescent="0.2">
      <c r="A709" s="89"/>
      <c r="B709" s="89"/>
      <c r="C709" s="89"/>
      <c r="D709" s="89"/>
      <c r="E709" s="89"/>
      <c r="F709" s="89"/>
      <c r="G709" s="89"/>
      <c r="H709" s="89"/>
      <c r="I709" s="33"/>
      <c r="J709" s="9"/>
      <c r="K709" s="9"/>
    </row>
    <row r="710" spans="1:11" x14ac:dyDescent="0.2">
      <c r="A710" s="89"/>
      <c r="B710" s="89"/>
      <c r="C710" s="89"/>
      <c r="D710" s="89"/>
      <c r="E710" s="89"/>
      <c r="F710" s="89"/>
      <c r="G710" s="89"/>
      <c r="H710" s="89"/>
      <c r="I710" s="33"/>
      <c r="J710" s="9"/>
      <c r="K710" s="9"/>
    </row>
    <row r="711" spans="1:11" x14ac:dyDescent="0.2">
      <c r="A711" s="89"/>
      <c r="B711" s="89"/>
      <c r="C711" s="89"/>
      <c r="D711" s="89"/>
      <c r="E711" s="89"/>
      <c r="F711" s="89"/>
      <c r="G711" s="89"/>
      <c r="H711" s="89"/>
      <c r="I711" s="33"/>
      <c r="J711" s="9"/>
      <c r="K711" s="9"/>
    </row>
    <row r="712" spans="1:11" x14ac:dyDescent="0.2">
      <c r="A712" s="89"/>
      <c r="B712" s="89"/>
      <c r="C712" s="89"/>
      <c r="D712" s="89"/>
      <c r="E712" s="89"/>
      <c r="F712" s="89"/>
      <c r="G712" s="89"/>
      <c r="H712" s="89"/>
      <c r="I712" s="33"/>
      <c r="J712" s="9"/>
      <c r="K712" s="9"/>
    </row>
    <row r="713" spans="1:11" x14ac:dyDescent="0.2">
      <c r="A713" s="89"/>
      <c r="B713" s="89"/>
      <c r="C713" s="89"/>
      <c r="D713" s="89"/>
      <c r="E713" s="89"/>
      <c r="F713" s="89"/>
      <c r="G713" s="89"/>
      <c r="H713" s="89"/>
      <c r="I713" s="33"/>
      <c r="J713" s="9"/>
      <c r="K713" s="9"/>
    </row>
    <row r="714" spans="1:11" x14ac:dyDescent="0.2">
      <c r="A714" s="89"/>
      <c r="B714" s="89"/>
      <c r="C714" s="89"/>
      <c r="D714" s="89"/>
      <c r="E714" s="89"/>
      <c r="F714" s="89"/>
      <c r="G714" s="89"/>
      <c r="H714" s="89"/>
      <c r="I714" s="33"/>
      <c r="J714" s="9"/>
      <c r="K714" s="9"/>
    </row>
    <row r="715" spans="1:11" x14ac:dyDescent="0.2">
      <c r="A715" s="89"/>
      <c r="B715" s="89"/>
      <c r="C715" s="89"/>
      <c r="D715" s="89"/>
      <c r="E715" s="89"/>
      <c r="F715" s="89"/>
      <c r="G715" s="89"/>
      <c r="H715" s="89"/>
      <c r="I715" s="33"/>
      <c r="J715" s="9"/>
      <c r="K715" s="9"/>
    </row>
    <row r="716" spans="1:11" x14ac:dyDescent="0.2">
      <c r="A716" s="89"/>
      <c r="B716" s="89"/>
      <c r="C716" s="89"/>
      <c r="D716" s="89"/>
      <c r="E716" s="89"/>
      <c r="F716" s="89"/>
      <c r="G716" s="89"/>
      <c r="H716" s="89"/>
      <c r="I716" s="33"/>
      <c r="J716" s="9"/>
      <c r="K716" s="9"/>
    </row>
    <row r="717" spans="1:11" x14ac:dyDescent="0.2">
      <c r="A717" s="89"/>
      <c r="B717" s="89"/>
      <c r="C717" s="89"/>
      <c r="D717" s="89"/>
      <c r="E717" s="89"/>
      <c r="F717" s="89"/>
      <c r="G717" s="89"/>
      <c r="H717" s="89"/>
      <c r="I717" s="33"/>
      <c r="J717" s="9"/>
      <c r="K717" s="9"/>
    </row>
    <row r="718" spans="1:11" x14ac:dyDescent="0.2">
      <c r="A718" s="89"/>
      <c r="B718" s="89"/>
      <c r="C718" s="89"/>
      <c r="D718" s="89"/>
      <c r="E718" s="89"/>
      <c r="F718" s="89"/>
      <c r="G718" s="89"/>
      <c r="H718" s="89"/>
      <c r="I718" s="33"/>
      <c r="J718" s="9"/>
      <c r="K718" s="9"/>
    </row>
    <row r="719" spans="1:11" x14ac:dyDescent="0.2">
      <c r="A719" s="89"/>
      <c r="B719" s="89"/>
      <c r="C719" s="89"/>
      <c r="D719" s="89"/>
      <c r="E719" s="89"/>
      <c r="F719" s="89"/>
      <c r="G719" s="89"/>
      <c r="H719" s="89"/>
      <c r="I719" s="33"/>
      <c r="J719" s="9"/>
      <c r="K719" s="9"/>
    </row>
    <row r="720" spans="1:11" x14ac:dyDescent="0.2">
      <c r="A720" s="89"/>
      <c r="B720" s="89"/>
      <c r="C720" s="89"/>
      <c r="D720" s="89"/>
      <c r="E720" s="89"/>
      <c r="F720" s="89"/>
      <c r="G720" s="89"/>
      <c r="H720" s="89"/>
      <c r="I720" s="33"/>
      <c r="J720" s="9"/>
      <c r="K720" s="9"/>
    </row>
    <row r="721" spans="1:11" x14ac:dyDescent="0.2">
      <c r="A721" s="89"/>
      <c r="B721" s="89"/>
      <c r="C721" s="89"/>
      <c r="D721" s="89"/>
      <c r="E721" s="89"/>
      <c r="F721" s="89"/>
      <c r="G721" s="89"/>
      <c r="H721" s="89"/>
      <c r="I721" s="33"/>
      <c r="J721" s="9"/>
      <c r="K721" s="9"/>
    </row>
    <row r="722" spans="1:11" x14ac:dyDescent="0.2">
      <c r="A722" s="89"/>
      <c r="B722" s="89"/>
      <c r="C722" s="89"/>
      <c r="D722" s="89"/>
      <c r="E722" s="89"/>
      <c r="F722" s="89"/>
      <c r="G722" s="89"/>
      <c r="H722" s="89"/>
      <c r="I722" s="33"/>
      <c r="J722" s="9"/>
      <c r="K722" s="9"/>
    </row>
    <row r="723" spans="1:11" x14ac:dyDescent="0.2">
      <c r="A723" s="89"/>
      <c r="B723" s="89"/>
      <c r="C723" s="89"/>
      <c r="D723" s="89"/>
      <c r="E723" s="89"/>
      <c r="F723" s="89"/>
      <c r="G723" s="89"/>
      <c r="H723" s="89"/>
      <c r="I723" s="33"/>
      <c r="J723" s="9"/>
      <c r="K723" s="9"/>
    </row>
    <row r="724" spans="1:11" x14ac:dyDescent="0.2">
      <c r="A724" s="89"/>
      <c r="B724" s="89"/>
      <c r="C724" s="89"/>
      <c r="D724" s="89"/>
      <c r="E724" s="89"/>
      <c r="F724" s="89"/>
      <c r="G724" s="89"/>
      <c r="H724" s="89"/>
      <c r="I724" s="33"/>
      <c r="J724" s="9"/>
      <c r="K724" s="9"/>
    </row>
    <row r="725" spans="1:11" x14ac:dyDescent="0.2">
      <c r="A725" s="89"/>
      <c r="B725" s="89"/>
      <c r="C725" s="89"/>
      <c r="D725" s="89"/>
      <c r="E725" s="89"/>
      <c r="F725" s="89"/>
      <c r="G725" s="89"/>
      <c r="H725" s="89"/>
      <c r="I725" s="33"/>
      <c r="J725" s="9"/>
      <c r="K725" s="9"/>
    </row>
    <row r="726" spans="1:11" x14ac:dyDescent="0.2">
      <c r="A726" s="89"/>
      <c r="B726" s="89"/>
      <c r="C726" s="89"/>
      <c r="D726" s="89"/>
      <c r="E726" s="89"/>
      <c r="F726" s="89"/>
      <c r="G726" s="89"/>
      <c r="H726" s="89"/>
      <c r="I726" s="33"/>
      <c r="J726" s="9"/>
      <c r="K726" s="9"/>
    </row>
    <row r="727" spans="1:11" x14ac:dyDescent="0.2">
      <c r="A727" s="89"/>
      <c r="B727" s="89"/>
      <c r="C727" s="89"/>
      <c r="D727" s="89"/>
      <c r="E727" s="89"/>
      <c r="F727" s="89"/>
      <c r="G727" s="89"/>
      <c r="H727" s="89"/>
      <c r="I727" s="33"/>
      <c r="J727" s="9"/>
      <c r="K727" s="9"/>
    </row>
    <row r="728" spans="1:11" x14ac:dyDescent="0.2">
      <c r="A728" s="89"/>
      <c r="B728" s="89"/>
      <c r="C728" s="89"/>
      <c r="D728" s="89"/>
      <c r="E728" s="89"/>
      <c r="F728" s="89"/>
      <c r="G728" s="89"/>
      <c r="H728" s="89"/>
      <c r="I728" s="33"/>
      <c r="J728" s="9"/>
      <c r="K728" s="9"/>
    </row>
    <row r="729" spans="1:11" x14ac:dyDescent="0.2">
      <c r="A729" s="89"/>
      <c r="B729" s="89"/>
      <c r="C729" s="89"/>
      <c r="D729" s="89"/>
      <c r="E729" s="89"/>
      <c r="F729" s="89"/>
      <c r="G729" s="89"/>
      <c r="H729" s="89"/>
      <c r="I729" s="33"/>
      <c r="J729" s="9"/>
      <c r="K729" s="9"/>
    </row>
    <row r="730" spans="1:11" x14ac:dyDescent="0.2">
      <c r="A730" s="89"/>
      <c r="B730" s="89"/>
      <c r="C730" s="89"/>
      <c r="D730" s="89"/>
      <c r="E730" s="89"/>
      <c r="F730" s="89"/>
      <c r="G730" s="89"/>
      <c r="H730" s="89"/>
      <c r="I730" s="33"/>
      <c r="J730" s="9"/>
      <c r="K730" s="9"/>
    </row>
    <row r="731" spans="1:11" x14ac:dyDescent="0.2">
      <c r="A731" s="89"/>
      <c r="B731" s="89"/>
      <c r="C731" s="89"/>
      <c r="D731" s="89"/>
      <c r="E731" s="89"/>
      <c r="F731" s="89"/>
      <c r="G731" s="89"/>
      <c r="H731" s="89"/>
      <c r="I731" s="33"/>
      <c r="J731" s="9"/>
      <c r="K731" s="9"/>
    </row>
    <row r="732" spans="1:11" x14ac:dyDescent="0.2">
      <c r="A732" s="89"/>
      <c r="B732" s="89"/>
      <c r="C732" s="89"/>
      <c r="D732" s="89"/>
      <c r="E732" s="89"/>
      <c r="F732" s="89"/>
      <c r="G732" s="89"/>
      <c r="H732" s="89"/>
      <c r="I732" s="33"/>
      <c r="J732" s="9"/>
      <c r="K732" s="9"/>
    </row>
    <row r="733" spans="1:11" x14ac:dyDescent="0.2">
      <c r="A733" s="89"/>
      <c r="B733" s="89"/>
      <c r="C733" s="89"/>
      <c r="D733" s="89"/>
      <c r="E733" s="89"/>
      <c r="F733" s="89"/>
      <c r="G733" s="89"/>
      <c r="H733" s="89"/>
      <c r="I733" s="33"/>
      <c r="J733" s="9"/>
      <c r="K733" s="9"/>
    </row>
    <row r="734" spans="1:11" x14ac:dyDescent="0.2">
      <c r="A734" s="89"/>
      <c r="B734" s="89"/>
      <c r="C734" s="89"/>
      <c r="D734" s="89"/>
      <c r="E734" s="89"/>
      <c r="F734" s="89"/>
      <c r="G734" s="89"/>
      <c r="H734" s="89"/>
      <c r="I734" s="33"/>
      <c r="J734" s="9"/>
      <c r="K734" s="9"/>
    </row>
    <row r="735" spans="1:11" x14ac:dyDescent="0.2">
      <c r="A735" s="89"/>
      <c r="B735" s="89"/>
      <c r="C735" s="89"/>
      <c r="D735" s="89"/>
      <c r="E735" s="89"/>
      <c r="F735" s="89"/>
      <c r="G735" s="89"/>
      <c r="H735" s="89"/>
      <c r="I735" s="33"/>
      <c r="J735" s="9"/>
      <c r="K735" s="9"/>
    </row>
    <row r="736" spans="1:11" x14ac:dyDescent="0.2">
      <c r="A736" s="89"/>
      <c r="B736" s="89"/>
      <c r="C736" s="89"/>
      <c r="D736" s="89"/>
      <c r="E736" s="89"/>
      <c r="F736" s="89"/>
      <c r="G736" s="89"/>
      <c r="H736" s="89"/>
      <c r="I736" s="33"/>
      <c r="J736" s="9"/>
      <c r="K736" s="9"/>
    </row>
    <row r="737" spans="1:11" x14ac:dyDescent="0.2">
      <c r="A737" s="89"/>
      <c r="B737" s="89"/>
      <c r="C737" s="89"/>
      <c r="D737" s="89"/>
      <c r="E737" s="89"/>
      <c r="F737" s="89"/>
      <c r="G737" s="89"/>
      <c r="H737" s="89"/>
      <c r="I737" s="33"/>
      <c r="J737" s="9"/>
      <c r="K737" s="9"/>
    </row>
    <row r="738" spans="1:11" x14ac:dyDescent="0.2">
      <c r="A738" s="89"/>
      <c r="B738" s="89"/>
      <c r="C738" s="89"/>
      <c r="D738" s="89"/>
      <c r="E738" s="89"/>
      <c r="F738" s="89"/>
      <c r="G738" s="89"/>
      <c r="H738" s="89"/>
      <c r="I738" s="33"/>
      <c r="J738" s="9"/>
      <c r="K738" s="9"/>
    </row>
    <row r="739" spans="1:11" x14ac:dyDescent="0.2">
      <c r="A739" s="89"/>
      <c r="B739" s="89"/>
      <c r="C739" s="89"/>
      <c r="D739" s="89"/>
      <c r="E739" s="89"/>
      <c r="F739" s="89"/>
      <c r="G739" s="89"/>
      <c r="H739" s="89"/>
      <c r="I739" s="33"/>
      <c r="J739" s="9"/>
      <c r="K739" s="9"/>
    </row>
    <row r="740" spans="1:11" x14ac:dyDescent="0.2">
      <c r="A740" s="89"/>
      <c r="B740" s="89"/>
      <c r="C740" s="89"/>
      <c r="D740" s="89"/>
      <c r="E740" s="89"/>
      <c r="F740" s="89"/>
      <c r="G740" s="89"/>
      <c r="H740" s="89"/>
      <c r="I740" s="33"/>
      <c r="J740" s="9"/>
      <c r="K740" s="9"/>
    </row>
    <row r="741" spans="1:11" x14ac:dyDescent="0.2">
      <c r="A741" s="89"/>
      <c r="B741" s="89"/>
      <c r="C741" s="89"/>
      <c r="D741" s="89"/>
      <c r="E741" s="89"/>
      <c r="F741" s="89"/>
      <c r="G741" s="89"/>
      <c r="H741" s="89"/>
      <c r="I741" s="33"/>
      <c r="J741" s="9"/>
      <c r="K741" s="9"/>
    </row>
    <row r="742" spans="1:11" x14ac:dyDescent="0.2">
      <c r="A742" s="89"/>
      <c r="B742" s="89"/>
      <c r="C742" s="89"/>
      <c r="D742" s="89"/>
      <c r="E742" s="89"/>
      <c r="F742" s="89"/>
      <c r="G742" s="89"/>
      <c r="H742" s="89"/>
      <c r="I742" s="33"/>
      <c r="J742" s="9"/>
      <c r="K742" s="9"/>
    </row>
    <row r="743" spans="1:11" x14ac:dyDescent="0.2">
      <c r="A743" s="89"/>
      <c r="B743" s="89"/>
      <c r="C743" s="89"/>
      <c r="D743" s="89"/>
      <c r="E743" s="89"/>
      <c r="F743" s="89"/>
      <c r="G743" s="89"/>
      <c r="H743" s="89"/>
      <c r="I743" s="33"/>
      <c r="J743" s="9"/>
      <c r="K743" s="9"/>
    </row>
    <row r="744" spans="1:11" x14ac:dyDescent="0.2">
      <c r="A744" s="89"/>
      <c r="B744" s="89"/>
      <c r="C744" s="89"/>
      <c r="D744" s="89"/>
      <c r="E744" s="89"/>
      <c r="F744" s="89"/>
      <c r="G744" s="89"/>
      <c r="H744" s="89"/>
      <c r="I744" s="33"/>
      <c r="J744" s="9"/>
      <c r="K744" s="9"/>
    </row>
    <row r="745" spans="1:11" x14ac:dyDescent="0.2">
      <c r="A745" s="89"/>
      <c r="B745" s="89"/>
      <c r="C745" s="89"/>
      <c r="D745" s="89"/>
      <c r="E745" s="89"/>
      <c r="F745" s="89"/>
      <c r="G745" s="89"/>
      <c r="H745" s="89"/>
      <c r="I745" s="33"/>
      <c r="J745" s="9"/>
      <c r="K745" s="9"/>
    </row>
    <row r="746" spans="1:11" x14ac:dyDescent="0.2">
      <c r="A746" s="89"/>
      <c r="B746" s="89"/>
      <c r="C746" s="89"/>
      <c r="D746" s="89"/>
      <c r="E746" s="89"/>
      <c r="F746" s="89"/>
      <c r="G746" s="89"/>
      <c r="H746" s="89"/>
      <c r="I746" s="33"/>
      <c r="J746" s="9"/>
      <c r="K746" s="9"/>
    </row>
    <row r="747" spans="1:11" x14ac:dyDescent="0.2">
      <c r="A747" s="89"/>
      <c r="B747" s="89"/>
      <c r="C747" s="89"/>
      <c r="D747" s="89"/>
      <c r="E747" s="89"/>
      <c r="F747" s="89"/>
      <c r="G747" s="89"/>
      <c r="H747" s="89"/>
      <c r="I747" s="33"/>
      <c r="J747" s="9"/>
      <c r="K747" s="9"/>
    </row>
    <row r="748" spans="1:11" x14ac:dyDescent="0.2">
      <c r="A748" s="89"/>
      <c r="B748" s="89"/>
      <c r="C748" s="89"/>
      <c r="D748" s="89"/>
      <c r="E748" s="89"/>
      <c r="F748" s="89"/>
      <c r="G748" s="89"/>
      <c r="H748" s="89"/>
      <c r="I748" s="33"/>
      <c r="J748" s="9"/>
      <c r="K748" s="9"/>
    </row>
    <row r="749" spans="1:11" x14ac:dyDescent="0.2">
      <c r="A749" s="89"/>
      <c r="B749" s="89"/>
      <c r="C749" s="89"/>
      <c r="D749" s="89"/>
      <c r="E749" s="89"/>
      <c r="F749" s="89"/>
      <c r="G749" s="89"/>
      <c r="H749" s="89"/>
      <c r="I749" s="33"/>
      <c r="J749" s="9"/>
      <c r="K749" s="9"/>
    </row>
    <row r="750" spans="1:11" x14ac:dyDescent="0.2">
      <c r="A750" s="89"/>
      <c r="B750" s="89"/>
      <c r="C750" s="89"/>
      <c r="D750" s="89"/>
      <c r="E750" s="89"/>
      <c r="F750" s="89"/>
      <c r="G750" s="89"/>
      <c r="H750" s="89"/>
      <c r="I750" s="33"/>
      <c r="J750" s="9"/>
      <c r="K750" s="9"/>
    </row>
    <row r="751" spans="1:11" x14ac:dyDescent="0.2">
      <c r="A751" s="89"/>
      <c r="B751" s="89"/>
      <c r="C751" s="89"/>
      <c r="D751" s="89"/>
      <c r="E751" s="89"/>
      <c r="F751" s="89"/>
      <c r="G751" s="89"/>
      <c r="H751" s="89"/>
      <c r="I751" s="33"/>
      <c r="J751" s="9"/>
      <c r="K751" s="9"/>
    </row>
    <row r="752" spans="1:11" x14ac:dyDescent="0.2">
      <c r="A752" s="89"/>
      <c r="B752" s="89"/>
      <c r="C752" s="89"/>
      <c r="D752" s="89"/>
      <c r="E752" s="89"/>
      <c r="F752" s="89"/>
      <c r="G752" s="89"/>
      <c r="H752" s="89"/>
      <c r="I752" s="33"/>
      <c r="J752" s="9"/>
      <c r="K752" s="9"/>
    </row>
    <row r="753" spans="1:11" x14ac:dyDescent="0.2">
      <c r="A753" s="89"/>
      <c r="B753" s="89"/>
      <c r="C753" s="89"/>
      <c r="D753" s="89"/>
      <c r="E753" s="89"/>
      <c r="F753" s="89"/>
      <c r="G753" s="89"/>
      <c r="H753" s="89"/>
      <c r="I753" s="33"/>
      <c r="J753" s="9"/>
      <c r="K753" s="9"/>
    </row>
    <row r="754" spans="1:11" x14ac:dyDescent="0.2">
      <c r="A754" s="89"/>
      <c r="B754" s="89"/>
      <c r="C754" s="89"/>
      <c r="D754" s="89"/>
      <c r="E754" s="89"/>
      <c r="F754" s="89"/>
      <c r="G754" s="89"/>
      <c r="H754" s="89"/>
      <c r="I754" s="33"/>
      <c r="J754" s="9"/>
      <c r="K754" s="9"/>
    </row>
    <row r="755" spans="1:11" x14ac:dyDescent="0.2">
      <c r="A755" s="89"/>
      <c r="B755" s="89"/>
      <c r="C755" s="89"/>
      <c r="D755" s="89"/>
      <c r="E755" s="89"/>
      <c r="F755" s="89"/>
      <c r="G755" s="89"/>
      <c r="H755" s="89"/>
      <c r="I755" s="33"/>
      <c r="J755" s="9"/>
      <c r="K755" s="9"/>
    </row>
    <row r="756" spans="1:11" x14ac:dyDescent="0.2">
      <c r="A756" s="89"/>
      <c r="B756" s="89"/>
      <c r="C756" s="89"/>
      <c r="D756" s="89"/>
      <c r="E756" s="89"/>
      <c r="F756" s="89"/>
      <c r="G756" s="89"/>
      <c r="H756" s="89"/>
      <c r="I756" s="33"/>
      <c r="J756" s="9"/>
      <c r="K756" s="9"/>
    </row>
    <row r="757" spans="1:11" x14ac:dyDescent="0.2">
      <c r="A757" s="89"/>
      <c r="B757" s="89"/>
      <c r="C757" s="89"/>
      <c r="D757" s="89"/>
      <c r="E757" s="89"/>
      <c r="F757" s="89"/>
      <c r="G757" s="89"/>
      <c r="H757" s="89"/>
      <c r="I757" s="33"/>
      <c r="J757" s="9"/>
      <c r="K757" s="9"/>
    </row>
    <row r="758" spans="1:11" x14ac:dyDescent="0.2">
      <c r="A758" s="89"/>
      <c r="B758" s="89"/>
      <c r="C758" s="89"/>
      <c r="D758" s="89"/>
      <c r="E758" s="89"/>
      <c r="F758" s="89"/>
      <c r="G758" s="89"/>
      <c r="H758" s="89"/>
      <c r="I758" s="33"/>
      <c r="J758" s="9"/>
      <c r="K758" s="9"/>
    </row>
    <row r="759" spans="1:11" x14ac:dyDescent="0.2">
      <c r="A759" s="89"/>
      <c r="B759" s="89"/>
      <c r="C759" s="89"/>
      <c r="D759" s="89"/>
      <c r="E759" s="89"/>
      <c r="F759" s="89"/>
      <c r="G759" s="89"/>
      <c r="H759" s="89"/>
      <c r="I759" s="33"/>
      <c r="J759" s="9"/>
      <c r="K759" s="9"/>
    </row>
    <row r="760" spans="1:11" x14ac:dyDescent="0.2">
      <c r="A760" s="89"/>
      <c r="B760" s="89"/>
      <c r="C760" s="89"/>
      <c r="D760" s="89"/>
      <c r="E760" s="89"/>
      <c r="F760" s="89"/>
      <c r="G760" s="89"/>
      <c r="H760" s="89"/>
      <c r="I760" s="33"/>
      <c r="J760" s="9"/>
      <c r="K760" s="9"/>
    </row>
    <row r="761" spans="1:11" x14ac:dyDescent="0.2">
      <c r="A761" s="89"/>
      <c r="B761" s="89"/>
      <c r="C761" s="89"/>
      <c r="D761" s="89"/>
      <c r="E761" s="89"/>
      <c r="F761" s="89"/>
      <c r="G761" s="89"/>
      <c r="H761" s="89"/>
      <c r="I761" s="33"/>
      <c r="J761" s="9"/>
      <c r="K761" s="9"/>
    </row>
    <row r="762" spans="1:11" x14ac:dyDescent="0.2">
      <c r="A762" s="89"/>
      <c r="B762" s="89"/>
      <c r="C762" s="89"/>
      <c r="D762" s="89"/>
      <c r="E762" s="89"/>
      <c r="F762" s="89"/>
      <c r="G762" s="89"/>
      <c r="H762" s="89"/>
      <c r="I762" s="33"/>
      <c r="J762" s="9"/>
      <c r="K762" s="9"/>
    </row>
    <row r="763" spans="1:11" x14ac:dyDescent="0.2">
      <c r="A763" s="89"/>
      <c r="B763" s="89"/>
      <c r="C763" s="89"/>
      <c r="D763" s="89"/>
      <c r="E763" s="89"/>
      <c r="F763" s="89"/>
      <c r="G763" s="89"/>
      <c r="H763" s="89"/>
      <c r="I763" s="33"/>
      <c r="J763" s="9"/>
      <c r="K763" s="9"/>
    </row>
    <row r="764" spans="1:11" x14ac:dyDescent="0.2">
      <c r="A764" s="89"/>
      <c r="B764" s="89"/>
      <c r="C764" s="89"/>
      <c r="D764" s="89"/>
      <c r="E764" s="89"/>
      <c r="F764" s="89"/>
      <c r="G764" s="89"/>
      <c r="H764" s="89"/>
      <c r="I764" s="33"/>
      <c r="J764" s="9"/>
      <c r="K764" s="9"/>
    </row>
    <row r="765" spans="1:11" x14ac:dyDescent="0.2">
      <c r="A765" s="89"/>
      <c r="B765" s="89"/>
      <c r="C765" s="89"/>
      <c r="D765" s="89"/>
      <c r="E765" s="89"/>
      <c r="F765" s="89"/>
      <c r="G765" s="89"/>
      <c r="H765" s="89"/>
      <c r="I765" s="33"/>
      <c r="J765" s="9"/>
      <c r="K765" s="9"/>
    </row>
    <row r="766" spans="1:11" x14ac:dyDescent="0.2">
      <c r="A766" s="89"/>
      <c r="B766" s="89"/>
      <c r="C766" s="89"/>
      <c r="D766" s="89"/>
      <c r="E766" s="89"/>
      <c r="F766" s="89"/>
      <c r="G766" s="89"/>
      <c r="H766" s="89"/>
      <c r="I766" s="33"/>
      <c r="J766" s="9"/>
      <c r="K766" s="9"/>
    </row>
    <row r="767" spans="1:11" x14ac:dyDescent="0.2">
      <c r="A767" s="89"/>
      <c r="B767" s="89"/>
      <c r="C767" s="89"/>
      <c r="D767" s="89"/>
      <c r="E767" s="89"/>
      <c r="F767" s="89"/>
      <c r="G767" s="89"/>
      <c r="H767" s="89"/>
      <c r="I767" s="33"/>
      <c r="J767" s="9"/>
      <c r="K767" s="9"/>
    </row>
    <row r="768" spans="1:11" x14ac:dyDescent="0.2">
      <c r="A768" s="89"/>
      <c r="B768" s="89"/>
      <c r="C768" s="89"/>
      <c r="D768" s="89"/>
      <c r="E768" s="89"/>
      <c r="F768" s="89"/>
      <c r="G768" s="89"/>
      <c r="H768" s="89"/>
      <c r="I768" s="33"/>
      <c r="J768" s="9"/>
      <c r="K768" s="9"/>
    </row>
    <row r="769" spans="1:11" x14ac:dyDescent="0.2">
      <c r="A769" s="89"/>
      <c r="B769" s="89"/>
      <c r="C769" s="89"/>
      <c r="D769" s="89"/>
      <c r="E769" s="89"/>
      <c r="F769" s="89"/>
      <c r="G769" s="89"/>
      <c r="H769" s="89"/>
      <c r="I769" s="33"/>
      <c r="J769" s="9"/>
      <c r="K769" s="9"/>
    </row>
    <row r="770" spans="1:11" x14ac:dyDescent="0.2">
      <c r="A770" s="89"/>
      <c r="B770" s="89"/>
      <c r="C770" s="89"/>
      <c r="D770" s="89"/>
      <c r="E770" s="89"/>
      <c r="F770" s="89"/>
      <c r="G770" s="89"/>
      <c r="H770" s="89"/>
      <c r="I770" s="33"/>
      <c r="J770" s="9"/>
      <c r="K770" s="9"/>
    </row>
    <row r="771" spans="1:11" x14ac:dyDescent="0.2">
      <c r="A771" s="89"/>
      <c r="B771" s="89"/>
      <c r="C771" s="89"/>
      <c r="D771" s="89"/>
      <c r="E771" s="89"/>
      <c r="F771" s="89"/>
      <c r="G771" s="89"/>
      <c r="H771" s="89"/>
      <c r="I771" s="33"/>
      <c r="J771" s="9"/>
      <c r="K771" s="9"/>
    </row>
    <row r="772" spans="1:11" x14ac:dyDescent="0.2">
      <c r="A772" s="89"/>
      <c r="B772" s="89"/>
      <c r="C772" s="89"/>
      <c r="D772" s="89"/>
      <c r="E772" s="89"/>
      <c r="F772" s="89"/>
      <c r="G772" s="89"/>
      <c r="H772" s="89"/>
      <c r="I772" s="33"/>
      <c r="J772" s="9"/>
      <c r="K772" s="9"/>
    </row>
    <row r="773" spans="1:11" x14ac:dyDescent="0.2">
      <c r="A773" s="89"/>
      <c r="B773" s="89"/>
      <c r="C773" s="89"/>
      <c r="D773" s="89"/>
      <c r="E773" s="89"/>
      <c r="F773" s="89"/>
      <c r="G773" s="89"/>
      <c r="H773" s="89"/>
      <c r="I773" s="33"/>
      <c r="J773" s="9"/>
      <c r="K773" s="9"/>
    </row>
    <row r="774" spans="1:11" x14ac:dyDescent="0.2">
      <c r="A774" s="89"/>
      <c r="B774" s="89"/>
      <c r="C774" s="89"/>
      <c r="D774" s="89"/>
      <c r="E774" s="89"/>
      <c r="F774" s="89"/>
      <c r="G774" s="89"/>
      <c r="H774" s="89"/>
      <c r="I774" s="33"/>
      <c r="J774" s="9"/>
      <c r="K774" s="9"/>
    </row>
    <row r="775" spans="1:11" x14ac:dyDescent="0.2">
      <c r="A775" s="89"/>
      <c r="B775" s="89"/>
      <c r="C775" s="89"/>
      <c r="D775" s="89"/>
      <c r="E775" s="89"/>
      <c r="F775" s="89"/>
      <c r="G775" s="89"/>
      <c r="H775" s="89"/>
      <c r="I775" s="33"/>
      <c r="J775" s="9"/>
      <c r="K775" s="9"/>
    </row>
    <row r="776" spans="1:11" x14ac:dyDescent="0.2">
      <c r="A776" s="89"/>
      <c r="B776" s="89"/>
      <c r="C776" s="89"/>
      <c r="D776" s="89"/>
      <c r="E776" s="89"/>
      <c r="F776" s="89"/>
      <c r="G776" s="89"/>
      <c r="H776" s="89"/>
      <c r="I776" s="33"/>
      <c r="J776" s="9"/>
      <c r="K776" s="9"/>
    </row>
    <row r="777" spans="1:11" x14ac:dyDescent="0.2">
      <c r="A777" s="89"/>
      <c r="B777" s="89"/>
      <c r="C777" s="89"/>
      <c r="D777" s="89"/>
      <c r="E777" s="89"/>
      <c r="F777" s="89"/>
      <c r="G777" s="89"/>
      <c r="H777" s="89"/>
      <c r="I777" s="33"/>
      <c r="J777" s="9"/>
      <c r="K777" s="9"/>
    </row>
    <row r="778" spans="1:11" x14ac:dyDescent="0.2">
      <c r="A778" s="89"/>
      <c r="B778" s="89"/>
      <c r="C778" s="89"/>
      <c r="D778" s="89"/>
      <c r="E778" s="89"/>
      <c r="F778" s="89"/>
      <c r="G778" s="89"/>
      <c r="H778" s="89"/>
      <c r="I778" s="33"/>
      <c r="J778" s="9"/>
      <c r="K778" s="9"/>
    </row>
    <row r="779" spans="1:11" x14ac:dyDescent="0.2">
      <c r="A779" s="89"/>
      <c r="B779" s="89"/>
      <c r="C779" s="89"/>
      <c r="D779" s="89"/>
      <c r="E779" s="89"/>
      <c r="F779" s="89"/>
      <c r="G779" s="89"/>
      <c r="H779" s="89"/>
      <c r="I779" s="33"/>
      <c r="J779" s="9"/>
      <c r="K779" s="9"/>
    </row>
    <row r="780" spans="1:11" x14ac:dyDescent="0.2">
      <c r="A780" s="89"/>
      <c r="B780" s="89"/>
      <c r="C780" s="89"/>
      <c r="D780" s="89"/>
      <c r="E780" s="89"/>
      <c r="F780" s="89"/>
      <c r="G780" s="89"/>
      <c r="H780" s="89"/>
      <c r="I780" s="33"/>
      <c r="J780" s="9"/>
      <c r="K780" s="9"/>
    </row>
    <row r="781" spans="1:11" x14ac:dyDescent="0.2">
      <c r="A781" s="89"/>
      <c r="B781" s="89"/>
      <c r="C781" s="89"/>
      <c r="D781" s="89"/>
      <c r="E781" s="89"/>
      <c r="F781" s="89"/>
      <c r="G781" s="89"/>
      <c r="H781" s="89"/>
      <c r="I781" s="33"/>
      <c r="J781" s="9"/>
      <c r="K781" s="9"/>
    </row>
    <row r="782" spans="1:11" x14ac:dyDescent="0.2">
      <c r="A782" s="89"/>
      <c r="B782" s="89"/>
      <c r="C782" s="89"/>
      <c r="D782" s="89"/>
      <c r="E782" s="89"/>
      <c r="F782" s="89"/>
      <c r="G782" s="89"/>
      <c r="H782" s="89"/>
      <c r="I782" s="33"/>
      <c r="J782" s="9"/>
      <c r="K782" s="9"/>
    </row>
    <row r="783" spans="1:11" x14ac:dyDescent="0.2">
      <c r="A783" s="89"/>
      <c r="B783" s="89"/>
      <c r="C783" s="89"/>
      <c r="D783" s="89"/>
      <c r="E783" s="89"/>
      <c r="F783" s="89"/>
      <c r="G783" s="89"/>
      <c r="H783" s="89"/>
      <c r="I783" s="33"/>
      <c r="J783" s="9"/>
      <c r="K783" s="9"/>
    </row>
    <row r="784" spans="1:11" x14ac:dyDescent="0.2">
      <c r="A784" s="89"/>
      <c r="B784" s="89"/>
      <c r="C784" s="89"/>
      <c r="D784" s="89"/>
      <c r="E784" s="89"/>
      <c r="F784" s="89"/>
      <c r="G784" s="89"/>
      <c r="H784" s="89"/>
      <c r="I784" s="33"/>
      <c r="J784" s="9"/>
      <c r="K784" s="9"/>
    </row>
    <row r="785" spans="1:11" x14ac:dyDescent="0.2">
      <c r="A785" s="89"/>
      <c r="B785" s="89"/>
      <c r="C785" s="89"/>
      <c r="D785" s="89"/>
      <c r="E785" s="89"/>
      <c r="F785" s="89"/>
      <c r="G785" s="89"/>
      <c r="H785" s="89"/>
      <c r="I785" s="33"/>
      <c r="J785" s="9"/>
      <c r="K785" s="9"/>
    </row>
    <row r="786" spans="1:11" x14ac:dyDescent="0.2">
      <c r="A786" s="89"/>
      <c r="B786" s="89"/>
      <c r="C786" s="89"/>
      <c r="D786" s="89"/>
      <c r="E786" s="89"/>
      <c r="F786" s="89"/>
      <c r="G786" s="89"/>
      <c r="H786" s="89"/>
      <c r="I786" s="33"/>
      <c r="J786" s="9"/>
      <c r="K786" s="9"/>
    </row>
    <row r="787" spans="1:11" x14ac:dyDescent="0.2">
      <c r="A787" s="89"/>
      <c r="B787" s="89"/>
      <c r="C787" s="89"/>
      <c r="D787" s="89"/>
      <c r="E787" s="89"/>
      <c r="F787" s="89"/>
      <c r="G787" s="89"/>
      <c r="H787" s="89"/>
      <c r="I787" s="33"/>
      <c r="J787" s="9"/>
      <c r="K787" s="9"/>
    </row>
    <row r="788" spans="1:11" x14ac:dyDescent="0.2">
      <c r="A788" s="89"/>
      <c r="B788" s="89"/>
      <c r="C788" s="89"/>
      <c r="D788" s="89"/>
      <c r="E788" s="89"/>
      <c r="F788" s="89"/>
      <c r="G788" s="89"/>
      <c r="H788" s="89"/>
      <c r="I788" s="33"/>
      <c r="J788" s="9"/>
      <c r="K788" s="9"/>
    </row>
    <row r="789" spans="1:11" x14ac:dyDescent="0.2">
      <c r="A789" s="89"/>
      <c r="B789" s="89"/>
      <c r="C789" s="89"/>
      <c r="D789" s="89"/>
      <c r="E789" s="89"/>
      <c r="F789" s="89"/>
      <c r="G789" s="89"/>
      <c r="H789" s="89"/>
      <c r="I789" s="33"/>
      <c r="J789" s="9"/>
      <c r="K789" s="9"/>
    </row>
    <row r="790" spans="1:11" x14ac:dyDescent="0.2">
      <c r="A790" s="89"/>
      <c r="B790" s="89"/>
      <c r="C790" s="89"/>
      <c r="D790" s="89"/>
      <c r="E790" s="89"/>
      <c r="F790" s="89"/>
      <c r="G790" s="89"/>
      <c r="H790" s="89"/>
      <c r="I790" s="33"/>
      <c r="J790" s="9"/>
      <c r="K790" s="9"/>
    </row>
    <row r="791" spans="1:11" x14ac:dyDescent="0.2">
      <c r="A791" s="89"/>
      <c r="B791" s="89"/>
      <c r="C791" s="89"/>
      <c r="D791" s="89"/>
      <c r="E791" s="89"/>
      <c r="F791" s="89"/>
      <c r="G791" s="89"/>
      <c r="H791" s="89"/>
      <c r="I791" s="33"/>
      <c r="J791" s="9"/>
      <c r="K791" s="9"/>
    </row>
    <row r="792" spans="1:11" x14ac:dyDescent="0.2">
      <c r="A792" s="89"/>
      <c r="B792" s="89"/>
      <c r="C792" s="89"/>
      <c r="D792" s="89"/>
      <c r="E792" s="89"/>
      <c r="F792" s="89"/>
      <c r="G792" s="89"/>
      <c r="H792" s="89"/>
      <c r="I792" s="33"/>
      <c r="J792" s="9"/>
      <c r="K792" s="9"/>
    </row>
    <row r="793" spans="1:11" x14ac:dyDescent="0.2">
      <c r="A793" s="89"/>
      <c r="B793" s="89"/>
      <c r="C793" s="89"/>
      <c r="D793" s="89"/>
      <c r="E793" s="89"/>
      <c r="F793" s="89"/>
      <c r="G793" s="89"/>
      <c r="H793" s="89"/>
      <c r="I793" s="33"/>
      <c r="J793" s="9"/>
      <c r="K793" s="9"/>
    </row>
    <row r="794" spans="1:11" x14ac:dyDescent="0.2">
      <c r="A794" s="89"/>
      <c r="B794" s="89"/>
      <c r="C794" s="89"/>
      <c r="D794" s="89"/>
      <c r="E794" s="89"/>
      <c r="F794" s="89"/>
      <c r="G794" s="89"/>
      <c r="H794" s="89"/>
      <c r="I794" s="33"/>
      <c r="J794" s="9"/>
      <c r="K794" s="9"/>
    </row>
    <row r="795" spans="1:11" x14ac:dyDescent="0.2">
      <c r="A795" s="89"/>
      <c r="B795" s="89"/>
      <c r="C795" s="89"/>
      <c r="D795" s="89"/>
      <c r="E795" s="89"/>
      <c r="F795" s="89"/>
      <c r="G795" s="89"/>
      <c r="H795" s="89"/>
      <c r="I795" s="33"/>
      <c r="J795" s="9"/>
      <c r="K795" s="9"/>
    </row>
    <row r="796" spans="1:11" x14ac:dyDescent="0.2">
      <c r="A796" s="89"/>
      <c r="B796" s="89"/>
      <c r="C796" s="89"/>
      <c r="D796" s="89"/>
      <c r="E796" s="89"/>
      <c r="F796" s="89"/>
      <c r="G796" s="89"/>
      <c r="H796" s="89"/>
      <c r="I796" s="33"/>
      <c r="J796" s="9"/>
      <c r="K796" s="9"/>
    </row>
    <row r="797" spans="1:11" x14ac:dyDescent="0.2">
      <c r="A797" s="89"/>
      <c r="B797" s="89"/>
      <c r="C797" s="89"/>
      <c r="D797" s="89"/>
      <c r="E797" s="89"/>
      <c r="F797" s="89"/>
      <c r="G797" s="89"/>
      <c r="H797" s="89"/>
      <c r="I797" s="33"/>
      <c r="J797" s="9"/>
      <c r="K797" s="9"/>
    </row>
    <row r="798" spans="1:11" x14ac:dyDescent="0.2">
      <c r="A798" s="89"/>
      <c r="B798" s="89"/>
      <c r="C798" s="89"/>
      <c r="D798" s="89"/>
      <c r="E798" s="89"/>
      <c r="F798" s="89"/>
      <c r="G798" s="89"/>
      <c r="H798" s="89"/>
      <c r="I798" s="33"/>
      <c r="J798" s="9"/>
      <c r="K798" s="9"/>
    </row>
    <row r="799" spans="1:11" x14ac:dyDescent="0.2">
      <c r="A799" s="89"/>
      <c r="B799" s="89"/>
      <c r="C799" s="89"/>
      <c r="D799" s="89"/>
      <c r="E799" s="89"/>
      <c r="F799" s="89"/>
      <c r="G799" s="89"/>
      <c r="H799" s="89"/>
      <c r="I799" s="33"/>
      <c r="J799" s="9"/>
      <c r="K799" s="9"/>
    </row>
    <row r="800" spans="1:11" x14ac:dyDescent="0.2">
      <c r="A800" s="89"/>
      <c r="B800" s="89"/>
      <c r="C800" s="89"/>
      <c r="D800" s="89"/>
      <c r="E800" s="89"/>
      <c r="F800" s="89"/>
      <c r="G800" s="89"/>
      <c r="H800" s="89"/>
      <c r="I800" s="33"/>
      <c r="J800" s="9"/>
      <c r="K800" s="9"/>
    </row>
    <row r="801" spans="1:11" x14ac:dyDescent="0.2">
      <c r="A801" s="89"/>
      <c r="B801" s="89"/>
      <c r="C801" s="89"/>
      <c r="D801" s="89"/>
      <c r="E801" s="89"/>
      <c r="F801" s="89"/>
      <c r="G801" s="89"/>
      <c r="H801" s="89"/>
      <c r="I801" s="33"/>
      <c r="J801" s="9"/>
      <c r="K801" s="9"/>
    </row>
    <row r="802" spans="1:11" x14ac:dyDescent="0.2">
      <c r="A802" s="89"/>
      <c r="B802" s="89"/>
      <c r="C802" s="89"/>
      <c r="D802" s="89"/>
      <c r="E802" s="89"/>
      <c r="F802" s="89"/>
      <c r="G802" s="89"/>
      <c r="H802" s="89"/>
      <c r="I802" s="33"/>
      <c r="J802" s="9"/>
      <c r="K802" s="9"/>
    </row>
    <row r="803" spans="1:11" x14ac:dyDescent="0.2">
      <c r="A803" s="89"/>
      <c r="B803" s="89"/>
      <c r="C803" s="89"/>
      <c r="D803" s="89"/>
      <c r="E803" s="89"/>
      <c r="F803" s="89"/>
      <c r="G803" s="89"/>
      <c r="H803" s="89"/>
      <c r="I803" s="33"/>
      <c r="J803" s="9"/>
      <c r="K803" s="9"/>
    </row>
    <row r="804" spans="1:11" x14ac:dyDescent="0.2">
      <c r="A804" s="89"/>
      <c r="B804" s="89"/>
      <c r="C804" s="89"/>
      <c r="D804" s="89"/>
      <c r="E804" s="89"/>
      <c r="F804" s="89"/>
      <c r="G804" s="89"/>
      <c r="H804" s="89"/>
      <c r="I804" s="33"/>
      <c r="J804" s="9"/>
      <c r="K804" s="9"/>
    </row>
    <row r="805" spans="1:11" x14ac:dyDescent="0.2">
      <c r="A805" s="89"/>
      <c r="B805" s="89"/>
      <c r="C805" s="89"/>
      <c r="D805" s="89"/>
      <c r="E805" s="89"/>
      <c r="F805" s="89"/>
      <c r="G805" s="89"/>
      <c r="H805" s="89"/>
      <c r="I805" s="33"/>
      <c r="J805" s="9"/>
      <c r="K805" s="9"/>
    </row>
    <row r="806" spans="1:11" x14ac:dyDescent="0.2">
      <c r="A806" s="89"/>
      <c r="B806" s="89"/>
      <c r="C806" s="89"/>
      <c r="D806" s="89"/>
      <c r="E806" s="89"/>
      <c r="F806" s="89"/>
      <c r="G806" s="89"/>
      <c r="H806" s="89"/>
      <c r="I806" s="33"/>
      <c r="J806" s="9"/>
      <c r="K806" s="9"/>
    </row>
    <row r="807" spans="1:11" x14ac:dyDescent="0.2">
      <c r="A807" s="89"/>
      <c r="B807" s="89"/>
      <c r="C807" s="89"/>
      <c r="D807" s="89"/>
      <c r="E807" s="89"/>
      <c r="F807" s="89"/>
      <c r="G807" s="89"/>
      <c r="H807" s="89"/>
      <c r="I807" s="33"/>
      <c r="J807" s="9"/>
      <c r="K807" s="9"/>
    </row>
    <row r="808" spans="1:11" x14ac:dyDescent="0.2">
      <c r="A808" s="89"/>
      <c r="B808" s="89"/>
      <c r="C808" s="89"/>
      <c r="D808" s="89"/>
      <c r="E808" s="89"/>
      <c r="F808" s="89"/>
      <c r="G808" s="89"/>
      <c r="H808" s="89"/>
      <c r="I808" s="33"/>
      <c r="J808" s="9"/>
      <c r="K808" s="9"/>
    </row>
    <row r="809" spans="1:11" x14ac:dyDescent="0.2">
      <c r="A809" s="89"/>
      <c r="B809" s="89"/>
      <c r="C809" s="89"/>
      <c r="D809" s="89"/>
      <c r="E809" s="89"/>
      <c r="F809" s="89"/>
      <c r="G809" s="89"/>
      <c r="H809" s="89"/>
      <c r="I809" s="33"/>
      <c r="J809" s="9"/>
      <c r="K809" s="9"/>
    </row>
    <row r="810" spans="1:11" x14ac:dyDescent="0.2">
      <c r="A810" s="89"/>
      <c r="B810" s="89"/>
      <c r="C810" s="89"/>
      <c r="D810" s="89"/>
      <c r="E810" s="89"/>
      <c r="F810" s="89"/>
      <c r="G810" s="89"/>
      <c r="H810" s="89"/>
      <c r="I810" s="33"/>
      <c r="J810" s="9"/>
      <c r="K810" s="9"/>
    </row>
    <row r="811" spans="1:11" x14ac:dyDescent="0.2">
      <c r="A811" s="89"/>
      <c r="B811" s="89"/>
      <c r="C811" s="89"/>
      <c r="D811" s="89"/>
      <c r="E811" s="89"/>
      <c r="F811" s="89"/>
      <c r="G811" s="89"/>
      <c r="H811" s="89"/>
      <c r="I811" s="33"/>
      <c r="J811" s="9"/>
      <c r="K811" s="9"/>
    </row>
    <row r="812" spans="1:11" x14ac:dyDescent="0.2">
      <c r="A812" s="89"/>
      <c r="B812" s="89"/>
      <c r="C812" s="89"/>
      <c r="D812" s="89"/>
      <c r="E812" s="89"/>
      <c r="F812" s="89"/>
      <c r="G812" s="89"/>
      <c r="H812" s="89"/>
      <c r="I812" s="33"/>
      <c r="J812" s="9"/>
      <c r="K812" s="9"/>
    </row>
    <row r="813" spans="1:11" x14ac:dyDescent="0.2">
      <c r="A813" s="89"/>
      <c r="B813" s="89"/>
      <c r="C813" s="89"/>
      <c r="D813" s="89"/>
      <c r="E813" s="89"/>
      <c r="F813" s="89"/>
      <c r="G813" s="89"/>
      <c r="H813" s="89"/>
      <c r="I813" s="33"/>
      <c r="J813" s="9"/>
      <c r="K813" s="9"/>
    </row>
    <row r="814" spans="1:11" x14ac:dyDescent="0.2">
      <c r="A814" s="89"/>
      <c r="B814" s="89"/>
      <c r="C814" s="89"/>
      <c r="D814" s="89"/>
      <c r="E814" s="89"/>
      <c r="F814" s="89"/>
      <c r="G814" s="89"/>
      <c r="H814" s="89"/>
      <c r="I814" s="33"/>
      <c r="J814" s="9"/>
      <c r="K814" s="9"/>
    </row>
    <row r="815" spans="1:11" x14ac:dyDescent="0.2">
      <c r="A815" s="89"/>
      <c r="B815" s="89"/>
      <c r="C815" s="89"/>
      <c r="D815" s="89"/>
      <c r="E815" s="89"/>
      <c r="F815" s="89"/>
      <c r="G815" s="89"/>
      <c r="H815" s="89"/>
      <c r="I815" s="33"/>
      <c r="J815" s="9"/>
      <c r="K815" s="9"/>
    </row>
    <row r="816" spans="1:11" x14ac:dyDescent="0.2">
      <c r="A816" s="89"/>
      <c r="B816" s="89"/>
      <c r="C816" s="89"/>
      <c r="D816" s="89"/>
      <c r="E816" s="89"/>
      <c r="F816" s="89"/>
      <c r="G816" s="89"/>
      <c r="H816" s="89"/>
      <c r="I816" s="33"/>
      <c r="J816" s="9"/>
      <c r="K816" s="9"/>
    </row>
    <row r="817" spans="1:11" x14ac:dyDescent="0.2">
      <c r="A817" s="89"/>
      <c r="B817" s="89"/>
      <c r="C817" s="89"/>
      <c r="D817" s="89"/>
      <c r="E817" s="89"/>
      <c r="F817" s="89"/>
      <c r="G817" s="89"/>
      <c r="H817" s="89"/>
      <c r="I817" s="33"/>
      <c r="J817" s="9"/>
      <c r="K817" s="9"/>
    </row>
    <row r="818" spans="1:11" x14ac:dyDescent="0.2">
      <c r="A818" s="89"/>
      <c r="B818" s="89"/>
      <c r="C818" s="89"/>
      <c r="D818" s="89"/>
      <c r="E818" s="89"/>
      <c r="F818" s="89"/>
      <c r="G818" s="89"/>
      <c r="H818" s="89"/>
      <c r="I818" s="33"/>
      <c r="J818" s="9"/>
      <c r="K818" s="9"/>
    </row>
    <row r="819" spans="1:11" x14ac:dyDescent="0.2">
      <c r="A819" s="89"/>
      <c r="B819" s="89"/>
      <c r="C819" s="89"/>
      <c r="D819" s="89"/>
      <c r="E819" s="89"/>
      <c r="F819" s="89"/>
      <c r="G819" s="89"/>
      <c r="H819" s="89"/>
      <c r="I819" s="33"/>
      <c r="J819" s="9"/>
      <c r="K819" s="9"/>
    </row>
    <row r="820" spans="1:11" x14ac:dyDescent="0.2">
      <c r="A820" s="89"/>
      <c r="B820" s="89"/>
      <c r="C820" s="89"/>
      <c r="D820" s="89"/>
      <c r="E820" s="89"/>
      <c r="F820" s="89"/>
      <c r="G820" s="89"/>
      <c r="H820" s="89"/>
      <c r="I820" s="33"/>
      <c r="J820" s="9"/>
      <c r="K820" s="9"/>
    </row>
    <row r="821" spans="1:11" x14ac:dyDescent="0.2">
      <c r="A821" s="89"/>
      <c r="B821" s="89"/>
      <c r="C821" s="89"/>
      <c r="D821" s="89"/>
      <c r="E821" s="89"/>
      <c r="F821" s="89"/>
      <c r="G821" s="89"/>
      <c r="H821" s="89"/>
      <c r="I821" s="33"/>
      <c r="J821" s="9"/>
      <c r="K821" s="9"/>
    </row>
    <row r="822" spans="1:11" x14ac:dyDescent="0.2">
      <c r="A822" s="89"/>
      <c r="B822" s="89"/>
      <c r="C822" s="89"/>
      <c r="D822" s="89"/>
      <c r="E822" s="89"/>
      <c r="F822" s="89"/>
      <c r="G822" s="89"/>
      <c r="H822" s="89"/>
      <c r="I822" s="33"/>
      <c r="J822" s="9"/>
      <c r="K822" s="9"/>
    </row>
    <row r="823" spans="1:11" x14ac:dyDescent="0.2">
      <c r="A823" s="89"/>
      <c r="B823" s="89"/>
      <c r="C823" s="89"/>
      <c r="D823" s="89"/>
      <c r="E823" s="89"/>
      <c r="F823" s="89"/>
      <c r="G823" s="89"/>
      <c r="H823" s="89"/>
      <c r="I823" s="33"/>
      <c r="J823" s="9"/>
      <c r="K823" s="9"/>
    </row>
    <row r="824" spans="1:11" x14ac:dyDescent="0.2">
      <c r="A824" s="89"/>
      <c r="B824" s="89"/>
      <c r="C824" s="89"/>
      <c r="D824" s="89"/>
      <c r="E824" s="89"/>
      <c r="F824" s="89"/>
      <c r="G824" s="89"/>
      <c r="H824" s="89"/>
      <c r="I824" s="33"/>
      <c r="J824" s="9"/>
      <c r="K824" s="9"/>
    </row>
    <row r="825" spans="1:11" x14ac:dyDescent="0.2">
      <c r="A825" s="89"/>
      <c r="B825" s="89"/>
      <c r="C825" s="89"/>
      <c r="D825" s="89"/>
      <c r="E825" s="89"/>
      <c r="F825" s="89"/>
      <c r="G825" s="89"/>
      <c r="H825" s="89"/>
      <c r="I825" s="33"/>
      <c r="J825" s="9"/>
      <c r="K825" s="9"/>
    </row>
    <row r="826" spans="1:11" x14ac:dyDescent="0.2">
      <c r="A826" s="89"/>
      <c r="B826" s="89"/>
      <c r="C826" s="89"/>
      <c r="D826" s="89"/>
      <c r="E826" s="89"/>
      <c r="F826" s="89"/>
      <c r="G826" s="89"/>
      <c r="H826" s="89"/>
      <c r="I826" s="33"/>
      <c r="J826" s="9"/>
      <c r="K826" s="9"/>
    </row>
    <row r="827" spans="1:11" x14ac:dyDescent="0.2">
      <c r="A827" s="89"/>
      <c r="B827" s="89"/>
      <c r="C827" s="89"/>
      <c r="D827" s="89"/>
      <c r="E827" s="89"/>
      <c r="F827" s="89"/>
      <c r="G827" s="89"/>
      <c r="H827" s="89"/>
      <c r="I827" s="33"/>
      <c r="J827" s="9"/>
      <c r="K827" s="9"/>
    </row>
    <row r="828" spans="1:11" x14ac:dyDescent="0.2">
      <c r="A828" s="89"/>
      <c r="B828" s="89"/>
      <c r="C828" s="89"/>
      <c r="D828" s="89"/>
      <c r="E828" s="89"/>
      <c r="F828" s="89"/>
      <c r="G828" s="89"/>
      <c r="H828" s="89"/>
      <c r="I828" s="33"/>
      <c r="J828" s="9"/>
      <c r="K828" s="9"/>
    </row>
    <row r="829" spans="1:11" x14ac:dyDescent="0.2">
      <c r="A829" s="89"/>
      <c r="B829" s="89"/>
      <c r="C829" s="89"/>
      <c r="D829" s="89"/>
      <c r="E829" s="89"/>
      <c r="F829" s="89"/>
      <c r="G829" s="89"/>
      <c r="H829" s="89"/>
      <c r="I829" s="33"/>
      <c r="J829" s="9"/>
      <c r="K829" s="9"/>
    </row>
    <row r="830" spans="1:11" x14ac:dyDescent="0.2">
      <c r="A830" s="89"/>
      <c r="B830" s="89"/>
      <c r="C830" s="89"/>
      <c r="D830" s="89"/>
      <c r="E830" s="89"/>
      <c r="F830" s="89"/>
      <c r="G830" s="89"/>
      <c r="H830" s="89"/>
      <c r="I830" s="33"/>
      <c r="J830" s="9"/>
      <c r="K830" s="9"/>
    </row>
    <row r="831" spans="1:11" x14ac:dyDescent="0.2">
      <c r="A831" s="89"/>
      <c r="B831" s="89"/>
      <c r="C831" s="89"/>
      <c r="D831" s="89"/>
      <c r="E831" s="89"/>
      <c r="F831" s="89"/>
      <c r="G831" s="89"/>
      <c r="H831" s="89"/>
      <c r="I831" s="33"/>
      <c r="J831" s="9"/>
      <c r="K831" s="9"/>
    </row>
    <row r="832" spans="1:11" x14ac:dyDescent="0.2">
      <c r="A832" s="89"/>
      <c r="B832" s="89"/>
      <c r="C832" s="89"/>
      <c r="D832" s="89"/>
      <c r="E832" s="89"/>
      <c r="F832" s="89"/>
      <c r="G832" s="89"/>
      <c r="H832" s="89"/>
      <c r="I832" s="33"/>
      <c r="J832" s="9"/>
      <c r="K832" s="9"/>
    </row>
    <row r="833" spans="1:11" x14ac:dyDescent="0.2">
      <c r="A833" s="89"/>
      <c r="B833" s="89"/>
      <c r="C833" s="89"/>
      <c r="D833" s="89"/>
      <c r="E833" s="89"/>
      <c r="F833" s="89"/>
      <c r="G833" s="89"/>
      <c r="H833" s="89"/>
      <c r="I833" s="33"/>
      <c r="J833" s="9"/>
      <c r="K833" s="9"/>
    </row>
    <row r="834" spans="1:11" x14ac:dyDescent="0.2">
      <c r="A834" s="89"/>
      <c r="B834" s="89"/>
      <c r="C834" s="89"/>
      <c r="D834" s="89"/>
      <c r="E834" s="89"/>
      <c r="F834" s="89"/>
      <c r="G834" s="89"/>
      <c r="H834" s="89"/>
      <c r="I834" s="33"/>
      <c r="J834" s="9"/>
      <c r="K834" s="9"/>
    </row>
    <row r="835" spans="1:11" x14ac:dyDescent="0.2">
      <c r="A835" s="89"/>
      <c r="B835" s="89"/>
      <c r="C835" s="89"/>
      <c r="D835" s="89"/>
      <c r="E835" s="89"/>
      <c r="F835" s="89"/>
      <c r="G835" s="89"/>
      <c r="H835" s="89"/>
      <c r="I835" s="33"/>
      <c r="J835" s="9"/>
      <c r="K835" s="9"/>
    </row>
    <row r="836" spans="1:11" x14ac:dyDescent="0.2">
      <c r="A836" s="89"/>
      <c r="B836" s="89"/>
      <c r="C836" s="89"/>
      <c r="D836" s="89"/>
      <c r="E836" s="89"/>
      <c r="F836" s="89"/>
      <c r="G836" s="89"/>
      <c r="H836" s="89"/>
      <c r="I836" s="33"/>
      <c r="J836" s="9"/>
      <c r="K836" s="9"/>
    </row>
    <row r="837" spans="1:11" x14ac:dyDescent="0.2">
      <c r="A837" s="89"/>
      <c r="B837" s="89"/>
      <c r="C837" s="89"/>
      <c r="D837" s="89"/>
      <c r="E837" s="89"/>
      <c r="F837" s="89"/>
      <c r="G837" s="89"/>
      <c r="H837" s="89"/>
      <c r="I837" s="33"/>
      <c r="J837" s="9"/>
      <c r="K837" s="9"/>
    </row>
    <row r="838" spans="1:11" x14ac:dyDescent="0.2">
      <c r="A838" s="89"/>
      <c r="B838" s="89"/>
      <c r="C838" s="89"/>
      <c r="D838" s="89"/>
      <c r="E838" s="89"/>
      <c r="F838" s="89"/>
      <c r="G838" s="89"/>
      <c r="H838" s="89"/>
      <c r="I838" s="33"/>
      <c r="J838" s="9"/>
      <c r="K838" s="9"/>
    </row>
    <row r="839" spans="1:11" x14ac:dyDescent="0.2">
      <c r="A839" s="89"/>
      <c r="B839" s="89"/>
      <c r="C839" s="89"/>
      <c r="D839" s="89"/>
      <c r="E839" s="89"/>
      <c r="F839" s="89"/>
      <c r="G839" s="89"/>
      <c r="H839" s="89"/>
      <c r="I839" s="33"/>
      <c r="J839" s="9"/>
      <c r="K839" s="9"/>
    </row>
    <row r="840" spans="1:11" x14ac:dyDescent="0.2">
      <c r="A840" s="89"/>
      <c r="B840" s="89"/>
      <c r="C840" s="89"/>
      <c r="D840" s="89"/>
      <c r="E840" s="89"/>
      <c r="F840" s="89"/>
      <c r="G840" s="89"/>
      <c r="H840" s="89"/>
      <c r="I840" s="33"/>
      <c r="J840" s="9"/>
      <c r="K840" s="9"/>
    </row>
    <row r="841" spans="1:11" x14ac:dyDescent="0.2">
      <c r="A841" s="89"/>
      <c r="B841" s="89"/>
      <c r="C841" s="89"/>
      <c r="D841" s="89"/>
      <c r="E841" s="89"/>
      <c r="F841" s="89"/>
      <c r="G841" s="89"/>
      <c r="H841" s="89"/>
      <c r="I841" s="33"/>
      <c r="J841" s="9"/>
      <c r="K841" s="9"/>
    </row>
    <row r="842" spans="1:11" x14ac:dyDescent="0.2">
      <c r="A842" s="89"/>
      <c r="B842" s="89"/>
      <c r="C842" s="89"/>
      <c r="D842" s="89"/>
      <c r="E842" s="89"/>
      <c r="F842" s="89"/>
      <c r="G842" s="89"/>
      <c r="H842" s="89"/>
      <c r="I842" s="33"/>
      <c r="J842" s="9"/>
      <c r="K842" s="9"/>
    </row>
    <row r="843" spans="1:11" x14ac:dyDescent="0.2">
      <c r="A843" s="89"/>
      <c r="B843" s="89"/>
      <c r="C843" s="89"/>
      <c r="D843" s="89"/>
      <c r="E843" s="89"/>
      <c r="F843" s="89"/>
      <c r="G843" s="89"/>
      <c r="H843" s="89"/>
      <c r="I843" s="33"/>
      <c r="J843" s="9"/>
      <c r="K843" s="9"/>
    </row>
    <row r="844" spans="1:11" x14ac:dyDescent="0.2">
      <c r="A844" s="89"/>
      <c r="B844" s="89"/>
      <c r="C844" s="89"/>
      <c r="D844" s="89"/>
      <c r="E844" s="89"/>
      <c r="F844" s="89"/>
      <c r="G844" s="89"/>
      <c r="H844" s="89"/>
      <c r="I844" s="33"/>
      <c r="J844" s="9"/>
      <c r="K844" s="9"/>
    </row>
    <row r="845" spans="1:11" x14ac:dyDescent="0.2">
      <c r="A845" s="89"/>
      <c r="B845" s="89"/>
      <c r="C845" s="89"/>
      <c r="D845" s="89"/>
      <c r="E845" s="89"/>
      <c r="F845" s="89"/>
      <c r="G845" s="89"/>
      <c r="H845" s="89"/>
      <c r="I845" s="33"/>
      <c r="J845" s="9"/>
      <c r="K845" s="9"/>
    </row>
    <row r="846" spans="1:11" x14ac:dyDescent="0.2">
      <c r="A846" s="89"/>
      <c r="B846" s="89"/>
      <c r="C846" s="89"/>
      <c r="D846" s="89"/>
      <c r="E846" s="89"/>
      <c r="F846" s="89"/>
      <c r="G846" s="89"/>
      <c r="H846" s="89"/>
      <c r="I846" s="33"/>
      <c r="J846" s="9"/>
      <c r="K846" s="9"/>
    </row>
    <row r="847" spans="1:11" x14ac:dyDescent="0.2">
      <c r="A847" s="89"/>
      <c r="B847" s="89"/>
      <c r="C847" s="89"/>
      <c r="D847" s="89"/>
      <c r="E847" s="89"/>
      <c r="F847" s="89"/>
      <c r="G847" s="89"/>
      <c r="H847" s="89"/>
      <c r="I847" s="33"/>
      <c r="J847" s="9"/>
      <c r="K847" s="9"/>
    </row>
    <row r="848" spans="1:11" x14ac:dyDescent="0.2">
      <c r="A848" s="89"/>
      <c r="B848" s="89"/>
      <c r="C848" s="89"/>
      <c r="D848" s="89"/>
      <c r="E848" s="89"/>
      <c r="F848" s="89"/>
      <c r="G848" s="89"/>
      <c r="H848" s="89"/>
      <c r="I848" s="33"/>
      <c r="J848" s="9"/>
      <c r="K848" s="9"/>
    </row>
    <row r="849" spans="1:11" x14ac:dyDescent="0.2">
      <c r="A849" s="89"/>
      <c r="B849" s="89"/>
      <c r="C849" s="89"/>
      <c r="D849" s="89"/>
      <c r="E849" s="89"/>
      <c r="F849" s="89"/>
      <c r="G849" s="89"/>
      <c r="H849" s="89"/>
      <c r="I849" s="33"/>
      <c r="J849" s="9"/>
      <c r="K849" s="9"/>
    </row>
    <row r="850" spans="1:11" x14ac:dyDescent="0.2">
      <c r="A850" s="89"/>
      <c r="B850" s="89"/>
      <c r="C850" s="89"/>
      <c r="D850" s="89"/>
      <c r="E850" s="89"/>
      <c r="F850" s="89"/>
      <c r="G850" s="89"/>
      <c r="H850" s="89"/>
      <c r="I850" s="33"/>
      <c r="J850" s="9"/>
      <c r="K850" s="9"/>
    </row>
    <row r="851" spans="1:11" x14ac:dyDescent="0.2">
      <c r="A851" s="89"/>
      <c r="B851" s="89"/>
      <c r="C851" s="89"/>
      <c r="D851" s="89"/>
      <c r="E851" s="89"/>
      <c r="F851" s="89"/>
      <c r="G851" s="89"/>
      <c r="H851" s="89"/>
      <c r="I851" s="33"/>
      <c r="J851" s="9"/>
      <c r="K851" s="9"/>
    </row>
    <row r="852" spans="1:11" x14ac:dyDescent="0.2">
      <c r="A852" s="89"/>
      <c r="B852" s="89"/>
      <c r="C852" s="89"/>
      <c r="D852" s="89"/>
      <c r="E852" s="89"/>
      <c r="F852" s="89"/>
      <c r="G852" s="89"/>
      <c r="H852" s="89"/>
      <c r="I852" s="33"/>
      <c r="J852" s="9"/>
      <c r="K852" s="9"/>
    </row>
    <row r="853" spans="1:11" x14ac:dyDescent="0.2">
      <c r="A853" s="89"/>
      <c r="B853" s="89"/>
      <c r="C853" s="89"/>
      <c r="D853" s="89"/>
      <c r="E853" s="89"/>
      <c r="F853" s="89"/>
      <c r="G853" s="89"/>
      <c r="H853" s="89"/>
      <c r="I853" s="33"/>
      <c r="J853" s="9"/>
      <c r="K853" s="9"/>
    </row>
    <row r="854" spans="1:11" x14ac:dyDescent="0.2">
      <c r="A854" s="89"/>
      <c r="B854" s="89"/>
      <c r="C854" s="89"/>
      <c r="D854" s="89"/>
      <c r="E854" s="89"/>
      <c r="F854" s="89"/>
      <c r="G854" s="89"/>
      <c r="H854" s="89"/>
      <c r="I854" s="33"/>
      <c r="J854" s="9"/>
      <c r="K854" s="9"/>
    </row>
    <row r="855" spans="1:11" x14ac:dyDescent="0.2">
      <c r="A855" s="89"/>
      <c r="B855" s="89"/>
      <c r="C855" s="89"/>
      <c r="D855" s="89"/>
      <c r="E855" s="89"/>
      <c r="F855" s="89"/>
      <c r="G855" s="89"/>
      <c r="H855" s="89"/>
      <c r="I855" s="33"/>
      <c r="J855" s="9"/>
      <c r="K855" s="9"/>
    </row>
    <row r="856" spans="1:11" x14ac:dyDescent="0.2">
      <c r="A856" s="89"/>
      <c r="B856" s="89"/>
      <c r="C856" s="89"/>
      <c r="D856" s="89"/>
      <c r="E856" s="89"/>
      <c r="F856" s="89"/>
      <c r="G856" s="89"/>
      <c r="H856" s="89"/>
      <c r="I856" s="33"/>
      <c r="J856" s="9"/>
      <c r="K856" s="9"/>
    </row>
    <row r="857" spans="1:11" x14ac:dyDescent="0.2">
      <c r="A857" s="89"/>
      <c r="B857" s="89"/>
      <c r="C857" s="89"/>
      <c r="D857" s="89"/>
      <c r="E857" s="89"/>
      <c r="F857" s="89"/>
      <c r="G857" s="89"/>
      <c r="H857" s="89"/>
      <c r="I857" s="33"/>
      <c r="J857" s="9"/>
      <c r="K857" s="9"/>
    </row>
    <row r="858" spans="1:11" x14ac:dyDescent="0.2">
      <c r="A858" s="89"/>
      <c r="B858" s="89"/>
      <c r="C858" s="89"/>
      <c r="D858" s="89"/>
      <c r="E858" s="89"/>
      <c r="F858" s="89"/>
      <c r="G858" s="89"/>
      <c r="H858" s="89"/>
      <c r="I858" s="33"/>
      <c r="J858" s="9"/>
      <c r="K858" s="9"/>
    </row>
    <row r="859" spans="1:11" x14ac:dyDescent="0.2">
      <c r="A859" s="89"/>
      <c r="B859" s="89"/>
      <c r="C859" s="89"/>
      <c r="D859" s="89"/>
      <c r="E859" s="89"/>
      <c r="F859" s="89"/>
      <c r="G859" s="89"/>
      <c r="H859" s="89"/>
      <c r="I859" s="33"/>
      <c r="J859" s="9"/>
      <c r="K859" s="9"/>
    </row>
    <row r="860" spans="1:11" x14ac:dyDescent="0.2">
      <c r="A860" s="89"/>
      <c r="B860" s="89"/>
      <c r="C860" s="89"/>
      <c r="D860" s="89"/>
      <c r="E860" s="89"/>
      <c r="F860" s="89"/>
      <c r="G860" s="89"/>
      <c r="H860" s="89"/>
      <c r="I860" s="33"/>
      <c r="J860" s="9"/>
      <c r="K860" s="9"/>
    </row>
    <row r="861" spans="1:11" x14ac:dyDescent="0.2">
      <c r="A861" s="89"/>
      <c r="B861" s="89"/>
      <c r="C861" s="89"/>
      <c r="D861" s="89"/>
      <c r="E861" s="89"/>
      <c r="F861" s="89"/>
      <c r="G861" s="89"/>
      <c r="H861" s="89"/>
      <c r="I861" s="33"/>
      <c r="J861" s="9"/>
      <c r="K861" s="9"/>
    </row>
    <row r="862" spans="1:11" x14ac:dyDescent="0.2">
      <c r="A862" s="89"/>
      <c r="B862" s="89"/>
      <c r="C862" s="89"/>
      <c r="D862" s="89"/>
      <c r="E862" s="89"/>
      <c r="F862" s="89"/>
      <c r="G862" s="89"/>
      <c r="H862" s="89"/>
      <c r="I862" s="33"/>
      <c r="J862" s="9"/>
      <c r="K862" s="9"/>
    </row>
    <row r="863" spans="1:11" x14ac:dyDescent="0.2">
      <c r="A863" s="89"/>
      <c r="B863" s="89"/>
      <c r="C863" s="89"/>
      <c r="D863" s="89"/>
      <c r="E863" s="89"/>
      <c r="F863" s="89"/>
      <c r="G863" s="89"/>
      <c r="H863" s="89"/>
      <c r="I863" s="33"/>
      <c r="J863" s="9"/>
      <c r="K863" s="9"/>
    </row>
    <row r="864" spans="1:11" x14ac:dyDescent="0.2">
      <c r="A864" s="89"/>
      <c r="B864" s="89"/>
      <c r="C864" s="89"/>
      <c r="D864" s="89"/>
      <c r="E864" s="89"/>
      <c r="F864" s="89"/>
      <c r="G864" s="89"/>
      <c r="H864" s="89"/>
      <c r="I864" s="33"/>
      <c r="J864" s="9"/>
      <c r="K864" s="9"/>
    </row>
    <row r="865" spans="1:11" x14ac:dyDescent="0.2">
      <c r="A865" s="89"/>
      <c r="B865" s="89"/>
      <c r="C865" s="89"/>
      <c r="D865" s="89"/>
      <c r="E865" s="89"/>
      <c r="F865" s="89"/>
      <c r="G865" s="89"/>
      <c r="H865" s="89"/>
      <c r="I865" s="33"/>
      <c r="J865" s="9"/>
      <c r="K865" s="9"/>
    </row>
    <row r="866" spans="1:11" x14ac:dyDescent="0.2">
      <c r="A866" s="89"/>
      <c r="B866" s="89"/>
      <c r="C866" s="89"/>
      <c r="D866" s="89"/>
      <c r="E866" s="89"/>
      <c r="F866" s="89"/>
      <c r="G866" s="89"/>
      <c r="H866" s="89"/>
      <c r="I866" s="33"/>
      <c r="J866" s="9"/>
      <c r="K866" s="9"/>
    </row>
    <row r="867" spans="1:11" x14ac:dyDescent="0.2">
      <c r="A867" s="89"/>
      <c r="B867" s="89"/>
      <c r="C867" s="89"/>
      <c r="D867" s="89"/>
      <c r="E867" s="89"/>
      <c r="F867" s="89"/>
      <c r="G867" s="89"/>
      <c r="H867" s="89"/>
      <c r="I867" s="33"/>
      <c r="J867" s="9"/>
      <c r="K867" s="9"/>
    </row>
    <row r="868" spans="1:11" x14ac:dyDescent="0.2">
      <c r="A868" s="89"/>
      <c r="B868" s="89"/>
      <c r="C868" s="89"/>
      <c r="D868" s="89"/>
      <c r="E868" s="89"/>
      <c r="F868" s="89"/>
      <c r="G868" s="89"/>
      <c r="H868" s="89"/>
      <c r="I868" s="33"/>
      <c r="J868" s="9"/>
      <c r="K868" s="9"/>
    </row>
    <row r="869" spans="1:11" x14ac:dyDescent="0.2">
      <c r="A869" s="89"/>
      <c r="B869" s="89"/>
      <c r="C869" s="89"/>
      <c r="D869" s="89"/>
      <c r="E869" s="89"/>
      <c r="F869" s="89"/>
      <c r="G869" s="89"/>
      <c r="H869" s="89"/>
      <c r="I869" s="33"/>
      <c r="J869" s="9"/>
      <c r="K869" s="9"/>
    </row>
    <row r="870" spans="1:11" x14ac:dyDescent="0.2">
      <c r="A870" s="89"/>
      <c r="B870" s="89"/>
      <c r="C870" s="89"/>
      <c r="D870" s="89"/>
      <c r="E870" s="89"/>
      <c r="F870" s="89"/>
      <c r="G870" s="89"/>
      <c r="H870" s="89"/>
      <c r="I870" s="33"/>
      <c r="J870" s="9"/>
      <c r="K870" s="9"/>
    </row>
    <row r="871" spans="1:11" x14ac:dyDescent="0.2">
      <c r="A871" s="89"/>
      <c r="B871" s="89"/>
      <c r="C871" s="89"/>
      <c r="D871" s="89"/>
      <c r="E871" s="89"/>
      <c r="F871" s="89"/>
      <c r="G871" s="89"/>
      <c r="H871" s="89"/>
      <c r="I871" s="33"/>
      <c r="J871" s="9"/>
      <c r="K871" s="9"/>
    </row>
    <row r="872" spans="1:11" x14ac:dyDescent="0.2">
      <c r="A872" s="89"/>
      <c r="B872" s="89"/>
      <c r="C872" s="89"/>
      <c r="D872" s="89"/>
      <c r="E872" s="89"/>
      <c r="F872" s="89"/>
      <c r="G872" s="89"/>
      <c r="H872" s="89"/>
      <c r="I872" s="33"/>
      <c r="J872" s="9"/>
      <c r="K872" s="9"/>
    </row>
    <row r="873" spans="1:11" x14ac:dyDescent="0.2">
      <c r="A873" s="89"/>
      <c r="B873" s="89"/>
      <c r="C873" s="89"/>
      <c r="D873" s="89"/>
      <c r="E873" s="89"/>
      <c r="F873" s="89"/>
      <c r="G873" s="89"/>
      <c r="H873" s="89"/>
      <c r="I873" s="33"/>
      <c r="J873" s="9"/>
      <c r="K873" s="9"/>
    </row>
    <row r="874" spans="1:11" x14ac:dyDescent="0.2">
      <c r="A874" s="89"/>
      <c r="B874" s="89"/>
      <c r="C874" s="89"/>
      <c r="D874" s="89"/>
      <c r="E874" s="89"/>
      <c r="F874" s="89"/>
      <c r="G874" s="89"/>
      <c r="H874" s="89"/>
      <c r="I874" s="33"/>
      <c r="J874" s="9"/>
      <c r="K874" s="9"/>
    </row>
    <row r="875" spans="1:11" x14ac:dyDescent="0.2">
      <c r="A875" s="89"/>
      <c r="B875" s="89"/>
      <c r="C875" s="89"/>
      <c r="D875" s="89"/>
      <c r="E875" s="89"/>
      <c r="F875" s="89"/>
      <c r="G875" s="89"/>
      <c r="H875" s="89"/>
      <c r="I875" s="33"/>
      <c r="J875" s="9"/>
      <c r="K875" s="9"/>
    </row>
    <row r="876" spans="1:11" x14ac:dyDescent="0.2">
      <c r="A876" s="89"/>
      <c r="B876" s="89"/>
      <c r="C876" s="89"/>
      <c r="D876" s="89"/>
      <c r="E876" s="89"/>
      <c r="F876" s="89"/>
      <c r="G876" s="89"/>
      <c r="H876" s="89"/>
      <c r="I876" s="33"/>
      <c r="J876" s="9"/>
      <c r="K876" s="9"/>
    </row>
    <row r="877" spans="1:11" x14ac:dyDescent="0.2">
      <c r="A877" s="89"/>
      <c r="B877" s="89"/>
      <c r="C877" s="89"/>
      <c r="D877" s="89"/>
      <c r="E877" s="89"/>
      <c r="F877" s="89"/>
      <c r="G877" s="89"/>
      <c r="H877" s="89"/>
      <c r="I877" s="33"/>
      <c r="J877" s="9"/>
      <c r="K877" s="9"/>
    </row>
    <row r="878" spans="1:11" x14ac:dyDescent="0.2">
      <c r="A878" s="89"/>
      <c r="B878" s="89"/>
      <c r="C878" s="89"/>
      <c r="D878" s="89"/>
      <c r="E878" s="89"/>
      <c r="F878" s="89"/>
      <c r="G878" s="89"/>
      <c r="H878" s="89"/>
      <c r="I878" s="33"/>
      <c r="J878" s="9"/>
      <c r="K878" s="9"/>
    </row>
    <row r="879" spans="1:11" x14ac:dyDescent="0.2">
      <c r="A879" s="89"/>
      <c r="B879" s="89"/>
      <c r="C879" s="89"/>
      <c r="D879" s="89"/>
      <c r="E879" s="89"/>
      <c r="F879" s="89"/>
      <c r="G879" s="89"/>
      <c r="H879" s="89"/>
      <c r="I879" s="33"/>
      <c r="J879" s="9"/>
      <c r="K879" s="9"/>
    </row>
    <row r="880" spans="1:11" x14ac:dyDescent="0.2">
      <c r="A880" s="89"/>
      <c r="B880" s="89"/>
      <c r="C880" s="89"/>
      <c r="D880" s="89"/>
      <c r="E880" s="89"/>
      <c r="F880" s="89"/>
      <c r="G880" s="89"/>
      <c r="H880" s="89"/>
      <c r="I880" s="33"/>
      <c r="J880" s="9"/>
      <c r="K880" s="9"/>
    </row>
    <row r="881" spans="1:11" x14ac:dyDescent="0.2">
      <c r="A881" s="89"/>
      <c r="B881" s="89"/>
      <c r="C881" s="89"/>
      <c r="D881" s="89"/>
      <c r="E881" s="89"/>
      <c r="F881" s="89"/>
      <c r="G881" s="89"/>
      <c r="H881" s="89"/>
      <c r="I881" s="33"/>
      <c r="J881" s="9"/>
      <c r="K881" s="9"/>
    </row>
    <row r="882" spans="1:11" x14ac:dyDescent="0.2">
      <c r="A882" s="89"/>
      <c r="B882" s="89"/>
      <c r="C882" s="89"/>
      <c r="D882" s="89"/>
      <c r="E882" s="89"/>
      <c r="F882" s="89"/>
      <c r="G882" s="89"/>
      <c r="H882" s="89"/>
      <c r="I882" s="33"/>
      <c r="J882" s="9"/>
      <c r="K882" s="9"/>
    </row>
    <row r="883" spans="1:11" x14ac:dyDescent="0.2">
      <c r="A883" s="89"/>
      <c r="B883" s="89"/>
      <c r="C883" s="89"/>
      <c r="D883" s="89"/>
      <c r="E883" s="89"/>
      <c r="F883" s="89"/>
      <c r="G883" s="89"/>
      <c r="H883" s="89"/>
      <c r="I883" s="33"/>
      <c r="J883" s="9"/>
      <c r="K883" s="9"/>
    </row>
    <row r="884" spans="1:11" x14ac:dyDescent="0.2">
      <c r="A884" s="89"/>
      <c r="B884" s="89"/>
      <c r="C884" s="89"/>
      <c r="D884" s="89"/>
      <c r="E884" s="89"/>
      <c r="F884" s="89"/>
      <c r="G884" s="89"/>
      <c r="H884" s="89"/>
      <c r="I884" s="33"/>
      <c r="J884" s="9"/>
      <c r="K884" s="9"/>
    </row>
    <row r="885" spans="1:11" x14ac:dyDescent="0.2">
      <c r="A885" s="89"/>
      <c r="B885" s="89"/>
      <c r="C885" s="89"/>
      <c r="D885" s="89"/>
      <c r="E885" s="89"/>
      <c r="F885" s="89"/>
      <c r="G885" s="89"/>
      <c r="H885" s="89"/>
      <c r="I885" s="33"/>
      <c r="J885" s="9"/>
      <c r="K885" s="9"/>
    </row>
    <row r="886" spans="1:11" x14ac:dyDescent="0.2">
      <c r="A886" s="89"/>
      <c r="B886" s="89"/>
      <c r="C886" s="89"/>
      <c r="D886" s="89"/>
      <c r="E886" s="89"/>
      <c r="F886" s="89"/>
      <c r="G886" s="89"/>
      <c r="H886" s="89"/>
      <c r="I886" s="33"/>
      <c r="J886" s="9"/>
      <c r="K886" s="9"/>
    </row>
    <row r="887" spans="1:11" x14ac:dyDescent="0.2">
      <c r="A887" s="89"/>
      <c r="B887" s="89"/>
      <c r="C887" s="89"/>
      <c r="D887" s="89"/>
      <c r="E887" s="89"/>
      <c r="F887" s="89"/>
      <c r="G887" s="89"/>
      <c r="H887" s="89"/>
      <c r="I887" s="33"/>
      <c r="J887" s="9"/>
      <c r="K887" s="9"/>
    </row>
    <row r="888" spans="1:11" x14ac:dyDescent="0.2">
      <c r="A888" s="89"/>
      <c r="B888" s="89"/>
      <c r="C888" s="89"/>
      <c r="D888" s="89"/>
      <c r="E888" s="89"/>
      <c r="F888" s="89"/>
      <c r="G888" s="89"/>
      <c r="H888" s="89"/>
      <c r="I888" s="33"/>
      <c r="J888" s="9"/>
      <c r="K888" s="9"/>
    </row>
    <row r="889" spans="1:11" x14ac:dyDescent="0.2">
      <c r="A889" s="89"/>
      <c r="B889" s="89"/>
      <c r="C889" s="89"/>
      <c r="D889" s="89"/>
      <c r="E889" s="89"/>
      <c r="F889" s="89"/>
      <c r="G889" s="89"/>
      <c r="H889" s="89"/>
      <c r="I889" s="33"/>
      <c r="J889" s="9"/>
      <c r="K889" s="9"/>
    </row>
    <row r="890" spans="1:11" x14ac:dyDescent="0.2">
      <c r="A890" s="89"/>
      <c r="B890" s="89"/>
      <c r="C890" s="89"/>
      <c r="D890" s="89"/>
      <c r="E890" s="89"/>
      <c r="F890" s="89"/>
      <c r="G890" s="89"/>
      <c r="H890" s="89"/>
      <c r="I890" s="33"/>
      <c r="J890" s="9"/>
      <c r="K890" s="9"/>
    </row>
    <row r="891" spans="1:11" x14ac:dyDescent="0.2">
      <c r="A891" s="89"/>
      <c r="B891" s="89"/>
      <c r="C891" s="89"/>
      <c r="D891" s="89"/>
      <c r="E891" s="89"/>
      <c r="F891" s="89"/>
      <c r="G891" s="89"/>
      <c r="H891" s="89"/>
      <c r="I891" s="33"/>
      <c r="J891" s="9"/>
      <c r="K891" s="9"/>
    </row>
    <row r="892" spans="1:11" x14ac:dyDescent="0.2">
      <c r="A892" s="89"/>
      <c r="B892" s="89"/>
      <c r="C892" s="89"/>
      <c r="D892" s="89"/>
      <c r="E892" s="89"/>
      <c r="F892" s="89"/>
      <c r="G892" s="89"/>
      <c r="H892" s="89"/>
      <c r="I892" s="33"/>
      <c r="J892" s="9"/>
      <c r="K892" s="9"/>
    </row>
    <row r="893" spans="1:11" x14ac:dyDescent="0.2">
      <c r="A893" s="89"/>
      <c r="B893" s="89"/>
      <c r="C893" s="89"/>
      <c r="D893" s="89"/>
      <c r="E893" s="89"/>
      <c r="F893" s="89"/>
      <c r="G893" s="89"/>
      <c r="H893" s="89"/>
      <c r="I893" s="33"/>
      <c r="J893" s="9"/>
      <c r="K893" s="9"/>
    </row>
    <row r="894" spans="1:11" x14ac:dyDescent="0.2">
      <c r="A894" s="89"/>
      <c r="B894" s="89"/>
      <c r="C894" s="89"/>
      <c r="D894" s="89"/>
      <c r="E894" s="89"/>
      <c r="F894" s="89"/>
      <c r="G894" s="89"/>
      <c r="H894" s="89"/>
      <c r="I894" s="33"/>
      <c r="J894" s="9"/>
      <c r="K894" s="9"/>
    </row>
    <row r="895" spans="1:11" x14ac:dyDescent="0.2">
      <c r="A895" s="89"/>
      <c r="B895" s="89"/>
      <c r="C895" s="89"/>
      <c r="D895" s="89"/>
      <c r="E895" s="89"/>
      <c r="F895" s="89"/>
      <c r="G895" s="89"/>
      <c r="H895" s="89"/>
      <c r="I895" s="33"/>
      <c r="J895" s="9"/>
      <c r="K895" s="9"/>
    </row>
    <row r="896" spans="1:11" x14ac:dyDescent="0.2">
      <c r="A896" s="89"/>
      <c r="B896" s="89"/>
      <c r="C896" s="89"/>
      <c r="D896" s="89"/>
      <c r="E896" s="89"/>
      <c r="F896" s="89"/>
      <c r="G896" s="89"/>
      <c r="H896" s="89"/>
      <c r="I896" s="33"/>
      <c r="J896" s="9"/>
      <c r="K896" s="9"/>
    </row>
    <row r="897" spans="1:11" x14ac:dyDescent="0.2">
      <c r="A897" s="89"/>
      <c r="B897" s="89"/>
      <c r="C897" s="89"/>
      <c r="D897" s="89"/>
      <c r="E897" s="89"/>
      <c r="F897" s="89"/>
      <c r="G897" s="89"/>
      <c r="H897" s="89"/>
      <c r="I897" s="33"/>
      <c r="J897" s="9"/>
      <c r="K897" s="9"/>
    </row>
    <row r="898" spans="1:11" x14ac:dyDescent="0.2">
      <c r="A898" s="89"/>
      <c r="B898" s="89"/>
      <c r="C898" s="89"/>
      <c r="D898" s="89"/>
      <c r="E898" s="89"/>
      <c r="F898" s="89"/>
      <c r="G898" s="89"/>
      <c r="H898" s="89"/>
      <c r="I898" s="33"/>
      <c r="J898" s="9"/>
      <c r="K898" s="9"/>
    </row>
    <row r="899" spans="1:11" x14ac:dyDescent="0.2">
      <c r="A899" s="89"/>
      <c r="B899" s="89"/>
      <c r="C899" s="89"/>
      <c r="D899" s="89"/>
      <c r="E899" s="89"/>
      <c r="F899" s="89"/>
      <c r="G899" s="89"/>
      <c r="H899" s="89"/>
      <c r="I899" s="33"/>
      <c r="J899" s="9"/>
      <c r="K899" s="9"/>
    </row>
    <row r="900" spans="1:11" x14ac:dyDescent="0.2">
      <c r="A900" s="89"/>
      <c r="B900" s="89"/>
      <c r="C900" s="89"/>
      <c r="D900" s="89"/>
      <c r="E900" s="89"/>
      <c r="F900" s="89"/>
      <c r="G900" s="89"/>
      <c r="H900" s="89"/>
      <c r="I900" s="33"/>
      <c r="J900" s="9"/>
      <c r="K900" s="9"/>
    </row>
    <row r="901" spans="1:11" x14ac:dyDescent="0.2">
      <c r="A901" s="89"/>
      <c r="B901" s="89"/>
      <c r="C901" s="89"/>
      <c r="D901" s="89"/>
      <c r="E901" s="89"/>
      <c r="F901" s="89"/>
      <c r="G901" s="89"/>
      <c r="H901" s="89"/>
      <c r="I901" s="33"/>
      <c r="J901" s="9"/>
      <c r="K901" s="9"/>
    </row>
    <row r="902" spans="1:11" x14ac:dyDescent="0.2">
      <c r="A902" s="89"/>
      <c r="B902" s="89"/>
      <c r="C902" s="89"/>
      <c r="D902" s="89"/>
      <c r="E902" s="89"/>
      <c r="F902" s="89"/>
      <c r="G902" s="89"/>
      <c r="H902" s="89"/>
      <c r="I902" s="33"/>
      <c r="J902" s="9"/>
      <c r="K902" s="9"/>
    </row>
    <row r="903" spans="1:11" x14ac:dyDescent="0.2">
      <c r="A903" s="89"/>
      <c r="B903" s="89"/>
      <c r="C903" s="89"/>
      <c r="D903" s="89"/>
      <c r="E903" s="89"/>
      <c r="F903" s="89"/>
      <c r="G903" s="89"/>
      <c r="H903" s="89"/>
      <c r="I903" s="33"/>
      <c r="J903" s="9"/>
      <c r="K903" s="9"/>
    </row>
    <row r="904" spans="1:11" x14ac:dyDescent="0.2">
      <c r="A904" s="89"/>
      <c r="B904" s="89"/>
      <c r="C904" s="89"/>
      <c r="D904" s="89"/>
      <c r="E904" s="89"/>
      <c r="F904" s="89"/>
      <c r="G904" s="89"/>
      <c r="H904" s="89"/>
      <c r="I904" s="33"/>
      <c r="J904" s="9"/>
      <c r="K904" s="9"/>
    </row>
    <row r="905" spans="1:11" x14ac:dyDescent="0.2">
      <c r="A905" s="89"/>
      <c r="B905" s="89"/>
      <c r="C905" s="89"/>
      <c r="D905" s="89"/>
      <c r="E905" s="89"/>
      <c r="F905" s="89"/>
      <c r="G905" s="89"/>
      <c r="H905" s="89"/>
      <c r="I905" s="33"/>
      <c r="J905" s="9"/>
      <c r="K905" s="9"/>
    </row>
    <row r="906" spans="1:11" x14ac:dyDescent="0.2">
      <c r="A906" s="89"/>
      <c r="B906" s="89"/>
      <c r="C906" s="89"/>
      <c r="D906" s="89"/>
      <c r="E906" s="89"/>
      <c r="F906" s="89"/>
      <c r="G906" s="89"/>
      <c r="H906" s="89"/>
      <c r="I906" s="33"/>
      <c r="J906" s="9"/>
      <c r="K906" s="9"/>
    </row>
    <row r="907" spans="1:11" x14ac:dyDescent="0.2">
      <c r="A907" s="89"/>
      <c r="B907" s="89"/>
      <c r="C907" s="89"/>
      <c r="D907" s="89"/>
      <c r="E907" s="89"/>
      <c r="F907" s="89"/>
      <c r="G907" s="89"/>
      <c r="H907" s="89"/>
      <c r="I907" s="33"/>
      <c r="J907" s="9"/>
      <c r="K907" s="9"/>
    </row>
    <row r="908" spans="1:11" x14ac:dyDescent="0.2">
      <c r="A908" s="89"/>
      <c r="B908" s="89"/>
      <c r="C908" s="89"/>
      <c r="D908" s="89"/>
      <c r="E908" s="89"/>
      <c r="F908" s="89"/>
      <c r="G908" s="89"/>
      <c r="H908" s="89"/>
      <c r="I908" s="33"/>
      <c r="J908" s="9"/>
      <c r="K908" s="9"/>
    </row>
    <row r="909" spans="1:11" x14ac:dyDescent="0.2">
      <c r="A909" s="89"/>
      <c r="B909" s="89"/>
      <c r="C909" s="89"/>
      <c r="D909" s="89"/>
      <c r="E909" s="89"/>
      <c r="F909" s="89"/>
      <c r="G909" s="89"/>
      <c r="H909" s="89"/>
      <c r="I909" s="33"/>
      <c r="J909" s="9"/>
      <c r="K909" s="9"/>
    </row>
    <row r="910" spans="1:11" x14ac:dyDescent="0.2">
      <c r="A910" s="89"/>
      <c r="B910" s="89"/>
      <c r="C910" s="89"/>
      <c r="D910" s="89"/>
      <c r="E910" s="89"/>
      <c r="F910" s="89"/>
      <c r="G910" s="89"/>
      <c r="H910" s="89"/>
      <c r="I910" s="33"/>
      <c r="J910" s="9"/>
      <c r="K910" s="9"/>
    </row>
    <row r="911" spans="1:11" x14ac:dyDescent="0.2">
      <c r="A911" s="89"/>
      <c r="B911" s="89"/>
      <c r="C911" s="89"/>
      <c r="D911" s="89"/>
      <c r="E911" s="89"/>
      <c r="F911" s="89"/>
      <c r="G911" s="89"/>
      <c r="H911" s="89"/>
      <c r="I911" s="33"/>
      <c r="J911" s="9"/>
      <c r="K911" s="9"/>
    </row>
    <row r="912" spans="1:11" x14ac:dyDescent="0.2">
      <c r="A912" s="89"/>
      <c r="B912" s="89"/>
      <c r="C912" s="89"/>
      <c r="D912" s="89"/>
      <c r="E912" s="89"/>
      <c r="F912" s="89"/>
      <c r="G912" s="89"/>
      <c r="H912" s="89"/>
      <c r="I912" s="33"/>
      <c r="J912" s="9"/>
      <c r="K912" s="9"/>
    </row>
    <row r="913" spans="1:11" x14ac:dyDescent="0.2">
      <c r="A913" s="89"/>
      <c r="B913" s="89"/>
      <c r="C913" s="89"/>
      <c r="D913" s="89"/>
      <c r="E913" s="89"/>
      <c r="F913" s="89"/>
      <c r="G913" s="89"/>
      <c r="H913" s="89"/>
      <c r="I913" s="33"/>
      <c r="J913" s="9"/>
      <c r="K913" s="9"/>
    </row>
    <row r="914" spans="1:11" x14ac:dyDescent="0.2">
      <c r="A914" s="89"/>
      <c r="B914" s="89"/>
      <c r="C914" s="89"/>
      <c r="D914" s="89"/>
      <c r="E914" s="89"/>
      <c r="F914" s="89"/>
      <c r="G914" s="89"/>
      <c r="H914" s="89"/>
      <c r="I914" s="33"/>
      <c r="J914" s="9"/>
      <c r="K914" s="9"/>
    </row>
    <row r="915" spans="1:11" x14ac:dyDescent="0.2">
      <c r="A915" s="89"/>
      <c r="B915" s="89"/>
      <c r="C915" s="89"/>
      <c r="D915" s="89"/>
      <c r="E915" s="89"/>
      <c r="F915" s="89"/>
      <c r="G915" s="89"/>
      <c r="H915" s="89"/>
      <c r="I915" s="33"/>
      <c r="J915" s="9"/>
      <c r="K915" s="9"/>
    </row>
    <row r="916" spans="1:11" x14ac:dyDescent="0.2">
      <c r="A916" s="89"/>
      <c r="B916" s="89"/>
      <c r="C916" s="89"/>
      <c r="D916" s="89"/>
      <c r="E916" s="89"/>
      <c r="F916" s="89"/>
      <c r="G916" s="89"/>
      <c r="H916" s="89"/>
      <c r="I916" s="33"/>
      <c r="J916" s="9"/>
      <c r="K916" s="9"/>
    </row>
    <row r="917" spans="1:11" x14ac:dyDescent="0.2">
      <c r="A917" s="89"/>
      <c r="B917" s="89"/>
      <c r="C917" s="89"/>
      <c r="D917" s="89"/>
      <c r="E917" s="89"/>
      <c r="F917" s="89"/>
      <c r="G917" s="89"/>
      <c r="H917" s="89"/>
      <c r="I917" s="33"/>
      <c r="J917" s="9"/>
      <c r="K917" s="9"/>
    </row>
    <row r="918" spans="1:11" x14ac:dyDescent="0.2">
      <c r="A918" s="89"/>
      <c r="B918" s="89"/>
      <c r="C918" s="89"/>
      <c r="D918" s="89"/>
      <c r="E918" s="89"/>
      <c r="F918" s="89"/>
      <c r="G918" s="89"/>
      <c r="H918" s="89"/>
      <c r="I918" s="33"/>
      <c r="J918" s="9"/>
      <c r="K918" s="9"/>
    </row>
    <row r="919" spans="1:11" x14ac:dyDescent="0.2">
      <c r="A919" s="89"/>
      <c r="B919" s="89"/>
      <c r="C919" s="89"/>
      <c r="D919" s="89"/>
      <c r="E919" s="89"/>
      <c r="F919" s="89"/>
      <c r="G919" s="89"/>
      <c r="H919" s="89"/>
      <c r="I919" s="33"/>
      <c r="J919" s="9"/>
      <c r="K919" s="9"/>
    </row>
    <row r="920" spans="1:11" x14ac:dyDescent="0.2">
      <c r="A920" s="89"/>
      <c r="B920" s="89"/>
      <c r="C920" s="89"/>
      <c r="D920" s="89"/>
      <c r="E920" s="89"/>
      <c r="F920" s="89"/>
      <c r="G920" s="89"/>
      <c r="H920" s="89"/>
      <c r="I920" s="33"/>
      <c r="J920" s="9"/>
      <c r="K920" s="9"/>
    </row>
    <row r="921" spans="1:11" x14ac:dyDescent="0.2">
      <c r="A921" s="89"/>
      <c r="B921" s="89"/>
      <c r="C921" s="89"/>
      <c r="D921" s="89"/>
      <c r="E921" s="89"/>
      <c r="F921" s="89"/>
      <c r="G921" s="89"/>
      <c r="H921" s="89"/>
      <c r="I921" s="33"/>
      <c r="J921" s="9"/>
      <c r="K921" s="9"/>
    </row>
    <row r="922" spans="1:11" x14ac:dyDescent="0.2">
      <c r="A922" s="89"/>
      <c r="B922" s="89"/>
      <c r="C922" s="89"/>
      <c r="D922" s="89"/>
      <c r="E922" s="89"/>
      <c r="F922" s="89"/>
      <c r="G922" s="89"/>
      <c r="H922" s="89"/>
      <c r="I922" s="33"/>
      <c r="J922" s="9"/>
      <c r="K922" s="9"/>
    </row>
    <row r="923" spans="1:11" x14ac:dyDescent="0.2">
      <c r="A923" s="89"/>
      <c r="B923" s="89"/>
      <c r="C923" s="89"/>
      <c r="D923" s="89"/>
      <c r="E923" s="89"/>
      <c r="F923" s="89"/>
      <c r="G923" s="89"/>
      <c r="H923" s="89"/>
      <c r="I923" s="33"/>
      <c r="J923" s="9"/>
      <c r="K923" s="9"/>
    </row>
    <row r="924" spans="1:11" x14ac:dyDescent="0.2">
      <c r="A924" s="89"/>
      <c r="B924" s="89"/>
      <c r="C924" s="89"/>
      <c r="D924" s="89"/>
      <c r="E924" s="89"/>
      <c r="F924" s="89"/>
      <c r="G924" s="89"/>
      <c r="H924" s="89"/>
      <c r="I924" s="33"/>
      <c r="J924" s="9"/>
      <c r="K924" s="9"/>
    </row>
    <row r="925" spans="1:11" x14ac:dyDescent="0.2">
      <c r="A925" s="89"/>
      <c r="B925" s="89"/>
      <c r="C925" s="89"/>
      <c r="D925" s="89"/>
      <c r="E925" s="89"/>
      <c r="F925" s="89"/>
      <c r="G925" s="89"/>
      <c r="H925" s="89"/>
      <c r="I925" s="33"/>
      <c r="J925" s="9"/>
      <c r="K925" s="9"/>
    </row>
    <row r="926" spans="1:11" x14ac:dyDescent="0.2">
      <c r="A926" s="89"/>
      <c r="B926" s="89"/>
      <c r="C926" s="89"/>
      <c r="D926" s="89"/>
      <c r="E926" s="89"/>
      <c r="F926" s="89"/>
      <c r="G926" s="89"/>
      <c r="H926" s="89"/>
      <c r="I926" s="33"/>
      <c r="J926" s="9"/>
      <c r="K926" s="9"/>
    </row>
    <row r="927" spans="1:11" x14ac:dyDescent="0.2">
      <c r="A927" s="89"/>
      <c r="B927" s="89"/>
      <c r="C927" s="89"/>
      <c r="D927" s="89"/>
      <c r="E927" s="89"/>
      <c r="F927" s="89"/>
      <c r="G927" s="89"/>
      <c r="H927" s="89"/>
      <c r="I927" s="33"/>
      <c r="J927" s="9"/>
      <c r="K927" s="9"/>
    </row>
    <row r="928" spans="1:11" x14ac:dyDescent="0.2">
      <c r="A928" s="89"/>
      <c r="B928" s="89"/>
      <c r="C928" s="89"/>
      <c r="D928" s="89"/>
      <c r="E928" s="89"/>
      <c r="F928" s="89"/>
      <c r="G928" s="89"/>
      <c r="H928" s="89"/>
      <c r="I928" s="33"/>
      <c r="J928" s="9"/>
      <c r="K928" s="9"/>
    </row>
    <row r="929" spans="1:11" x14ac:dyDescent="0.2">
      <c r="A929" s="89"/>
      <c r="B929" s="89"/>
      <c r="C929" s="89"/>
      <c r="D929" s="89"/>
      <c r="E929" s="89"/>
      <c r="F929" s="89"/>
      <c r="G929" s="89"/>
      <c r="H929" s="89"/>
      <c r="I929" s="33"/>
      <c r="J929" s="9"/>
      <c r="K929" s="9"/>
    </row>
    <row r="930" spans="1:11" x14ac:dyDescent="0.2">
      <c r="A930" s="89"/>
      <c r="B930" s="89"/>
      <c r="C930" s="89"/>
      <c r="D930" s="89"/>
      <c r="E930" s="89"/>
      <c r="F930" s="89"/>
      <c r="G930" s="89"/>
      <c r="H930" s="89"/>
      <c r="I930" s="33"/>
      <c r="J930" s="9"/>
      <c r="K930" s="9"/>
    </row>
    <row r="931" spans="1:11" x14ac:dyDescent="0.2">
      <c r="A931" s="89"/>
      <c r="B931" s="89"/>
      <c r="C931" s="89"/>
      <c r="D931" s="89"/>
      <c r="E931" s="89"/>
      <c r="F931" s="89"/>
      <c r="G931" s="89"/>
      <c r="H931" s="89"/>
      <c r="I931" s="33"/>
      <c r="J931" s="9"/>
      <c r="K931" s="9"/>
    </row>
    <row r="932" spans="1:11" x14ac:dyDescent="0.2">
      <c r="A932" s="89"/>
      <c r="B932" s="89"/>
      <c r="C932" s="89"/>
      <c r="D932" s="89"/>
      <c r="E932" s="89"/>
      <c r="F932" s="89"/>
      <c r="G932" s="89"/>
      <c r="H932" s="89"/>
      <c r="I932" s="33"/>
      <c r="J932" s="9"/>
      <c r="K932" s="9"/>
    </row>
    <row r="933" spans="1:11" x14ac:dyDescent="0.2">
      <c r="A933" s="89"/>
      <c r="B933" s="89"/>
      <c r="C933" s="89"/>
      <c r="D933" s="89"/>
      <c r="E933" s="89"/>
      <c r="F933" s="89"/>
      <c r="G933" s="89"/>
      <c r="H933" s="89"/>
      <c r="I933" s="33"/>
      <c r="J933" s="9"/>
      <c r="K933" s="9"/>
    </row>
    <row r="934" spans="1:11" x14ac:dyDescent="0.2">
      <c r="A934" s="89"/>
      <c r="B934" s="89"/>
      <c r="C934" s="89"/>
      <c r="D934" s="89"/>
      <c r="E934" s="89"/>
      <c r="F934" s="89"/>
      <c r="G934" s="89"/>
      <c r="H934" s="89"/>
      <c r="I934" s="33"/>
      <c r="J934" s="9"/>
      <c r="K934" s="9"/>
    </row>
    <row r="935" spans="1:11" x14ac:dyDescent="0.2">
      <c r="A935" s="89"/>
      <c r="B935" s="89"/>
      <c r="C935" s="89"/>
      <c r="D935" s="89"/>
      <c r="E935" s="89"/>
      <c r="F935" s="89"/>
      <c r="G935" s="89"/>
      <c r="H935" s="89"/>
      <c r="I935" s="33"/>
      <c r="J935" s="9"/>
      <c r="K935" s="9"/>
    </row>
    <row r="936" spans="1:11" x14ac:dyDescent="0.2">
      <c r="A936" s="89"/>
      <c r="B936" s="89"/>
      <c r="C936" s="89"/>
      <c r="D936" s="89"/>
      <c r="E936" s="89"/>
      <c r="F936" s="89"/>
      <c r="G936" s="89"/>
      <c r="H936" s="89"/>
      <c r="I936" s="33"/>
      <c r="J936" s="9"/>
      <c r="K936" s="9"/>
    </row>
    <row r="937" spans="1:11" x14ac:dyDescent="0.2">
      <c r="A937" s="89"/>
      <c r="B937" s="89"/>
      <c r="C937" s="89"/>
      <c r="D937" s="89"/>
      <c r="E937" s="89"/>
      <c r="F937" s="89"/>
      <c r="G937" s="89"/>
      <c r="H937" s="89"/>
      <c r="I937" s="33"/>
      <c r="J937" s="9"/>
      <c r="K937" s="9"/>
    </row>
    <row r="938" spans="1:11" x14ac:dyDescent="0.2">
      <c r="A938" s="89"/>
      <c r="B938" s="89"/>
      <c r="C938" s="89"/>
      <c r="D938" s="89"/>
      <c r="E938" s="89"/>
      <c r="F938" s="89"/>
      <c r="G938" s="89"/>
      <c r="H938" s="89"/>
      <c r="I938" s="33"/>
      <c r="J938" s="9"/>
      <c r="K938" s="9"/>
    </row>
    <row r="939" spans="1:11" x14ac:dyDescent="0.2">
      <c r="A939" s="89"/>
      <c r="B939" s="89"/>
      <c r="C939" s="89"/>
      <c r="D939" s="89"/>
      <c r="E939" s="89"/>
      <c r="F939" s="89"/>
      <c r="G939" s="89"/>
      <c r="H939" s="89"/>
      <c r="I939" s="33"/>
      <c r="J939" s="9"/>
      <c r="K939" s="9"/>
    </row>
    <row r="940" spans="1:11" x14ac:dyDescent="0.2">
      <c r="A940" s="89"/>
      <c r="B940" s="89"/>
      <c r="C940" s="89"/>
      <c r="D940" s="89"/>
      <c r="E940" s="89"/>
      <c r="F940" s="89"/>
      <c r="G940" s="89"/>
      <c r="H940" s="89"/>
      <c r="I940" s="33"/>
      <c r="J940" s="9"/>
      <c r="K940" s="9"/>
    </row>
    <row r="941" spans="1:11" x14ac:dyDescent="0.2">
      <c r="A941" s="89"/>
      <c r="B941" s="89"/>
      <c r="C941" s="89"/>
      <c r="D941" s="89"/>
      <c r="E941" s="89"/>
      <c r="F941" s="89"/>
      <c r="G941" s="89"/>
      <c r="H941" s="89"/>
      <c r="I941" s="33"/>
      <c r="J941" s="9"/>
      <c r="K941" s="9"/>
    </row>
    <row r="942" spans="1:11" x14ac:dyDescent="0.2">
      <c r="A942" s="89"/>
      <c r="B942" s="89"/>
      <c r="C942" s="89"/>
      <c r="D942" s="89"/>
      <c r="E942" s="89"/>
      <c r="F942" s="89"/>
      <c r="G942" s="89"/>
      <c r="H942" s="89"/>
      <c r="I942" s="33"/>
      <c r="J942" s="9"/>
      <c r="K942" s="9"/>
    </row>
    <row r="943" spans="1:11" x14ac:dyDescent="0.2">
      <c r="A943" s="89"/>
      <c r="B943" s="89"/>
      <c r="C943" s="89"/>
      <c r="D943" s="89"/>
      <c r="E943" s="89"/>
      <c r="F943" s="89"/>
      <c r="G943" s="89"/>
      <c r="H943" s="89"/>
      <c r="I943" s="33"/>
      <c r="J943" s="9"/>
      <c r="K943" s="9"/>
    </row>
    <row r="944" spans="1:11" x14ac:dyDescent="0.2">
      <c r="A944" s="89"/>
      <c r="B944" s="89"/>
      <c r="C944" s="89"/>
      <c r="D944" s="89"/>
      <c r="E944" s="89"/>
      <c r="F944" s="89"/>
      <c r="G944" s="89"/>
      <c r="H944" s="89"/>
      <c r="I944" s="33"/>
      <c r="J944" s="9"/>
      <c r="K944" s="9"/>
    </row>
    <row r="945" spans="1:11" x14ac:dyDescent="0.2">
      <c r="A945" s="89"/>
      <c r="B945" s="89"/>
      <c r="C945" s="89"/>
      <c r="D945" s="89"/>
      <c r="E945" s="89"/>
      <c r="F945" s="89"/>
      <c r="G945" s="89"/>
      <c r="H945" s="89"/>
      <c r="I945" s="33"/>
      <c r="J945" s="9"/>
      <c r="K945" s="9"/>
    </row>
    <row r="946" spans="1:11" x14ac:dyDescent="0.2">
      <c r="A946" s="89"/>
      <c r="B946" s="89"/>
      <c r="C946" s="89"/>
      <c r="D946" s="89"/>
      <c r="E946" s="89"/>
      <c r="F946" s="89"/>
      <c r="G946" s="89"/>
      <c r="H946" s="89"/>
      <c r="I946" s="33"/>
      <c r="J946" s="9"/>
      <c r="K946" s="9"/>
    </row>
    <row r="947" spans="1:11" x14ac:dyDescent="0.2">
      <c r="A947" s="89"/>
      <c r="B947" s="89"/>
      <c r="C947" s="89"/>
      <c r="D947" s="89"/>
      <c r="E947" s="89"/>
      <c r="F947" s="89"/>
      <c r="G947" s="89"/>
      <c r="H947" s="89"/>
      <c r="I947" s="33"/>
      <c r="J947" s="9"/>
      <c r="K947" s="9"/>
    </row>
    <row r="948" spans="1:11" x14ac:dyDescent="0.2">
      <c r="A948" s="89"/>
      <c r="B948" s="89"/>
      <c r="C948" s="89"/>
      <c r="D948" s="89"/>
      <c r="E948" s="89"/>
      <c r="F948" s="89"/>
      <c r="G948" s="89"/>
      <c r="H948" s="89"/>
      <c r="I948" s="33"/>
      <c r="J948" s="9"/>
      <c r="K948" s="9"/>
    </row>
    <row r="949" spans="1:11" x14ac:dyDescent="0.2">
      <c r="A949" s="89"/>
      <c r="B949" s="89"/>
      <c r="C949" s="89"/>
      <c r="D949" s="89"/>
      <c r="E949" s="89"/>
      <c r="F949" s="89"/>
      <c r="G949" s="89"/>
      <c r="H949" s="89"/>
      <c r="I949" s="33"/>
      <c r="J949" s="9"/>
      <c r="K949" s="9"/>
    </row>
    <row r="950" spans="1:11" x14ac:dyDescent="0.2">
      <c r="A950" s="89"/>
      <c r="B950" s="89"/>
      <c r="C950" s="89"/>
      <c r="D950" s="89"/>
      <c r="E950" s="89"/>
      <c r="F950" s="89"/>
      <c r="G950" s="89"/>
      <c r="H950" s="89"/>
      <c r="I950" s="33"/>
      <c r="J950" s="9"/>
      <c r="K950" s="9"/>
    </row>
    <row r="951" spans="1:11" x14ac:dyDescent="0.2">
      <c r="A951" s="89"/>
      <c r="B951" s="89"/>
      <c r="C951" s="89"/>
      <c r="D951" s="89"/>
      <c r="E951" s="89"/>
      <c r="F951" s="89"/>
      <c r="G951" s="89"/>
      <c r="H951" s="89"/>
      <c r="I951" s="33"/>
      <c r="J951" s="9"/>
      <c r="K951" s="9"/>
    </row>
    <row r="952" spans="1:11" x14ac:dyDescent="0.2">
      <c r="A952" s="89"/>
      <c r="B952" s="89"/>
      <c r="C952" s="89"/>
      <c r="D952" s="89"/>
      <c r="E952" s="89"/>
      <c r="F952" s="89"/>
      <c r="G952" s="89"/>
      <c r="H952" s="89"/>
      <c r="I952" s="33"/>
      <c r="J952" s="9"/>
      <c r="K952" s="9"/>
    </row>
    <row r="953" spans="1:11" x14ac:dyDescent="0.2">
      <c r="A953" s="89"/>
      <c r="B953" s="89"/>
      <c r="C953" s="89"/>
      <c r="D953" s="89"/>
      <c r="E953" s="89"/>
      <c r="F953" s="89"/>
      <c r="G953" s="89"/>
      <c r="H953" s="89"/>
      <c r="I953" s="33"/>
      <c r="J953" s="9"/>
      <c r="K953" s="9"/>
    </row>
    <row r="954" spans="1:11" x14ac:dyDescent="0.2">
      <c r="A954" s="89"/>
      <c r="B954" s="89"/>
      <c r="C954" s="89"/>
      <c r="D954" s="89"/>
      <c r="E954" s="89"/>
      <c r="F954" s="89"/>
      <c r="G954" s="89"/>
      <c r="H954" s="89"/>
      <c r="I954" s="33"/>
      <c r="J954" s="9"/>
      <c r="K954" s="9"/>
    </row>
    <row r="955" spans="1:11" x14ac:dyDescent="0.2">
      <c r="A955" s="89"/>
      <c r="B955" s="89"/>
      <c r="C955" s="89"/>
      <c r="D955" s="89"/>
      <c r="E955" s="89"/>
      <c r="F955" s="89"/>
      <c r="G955" s="89"/>
      <c r="H955" s="89"/>
      <c r="I955" s="33"/>
      <c r="J955" s="9"/>
      <c r="K955" s="9"/>
    </row>
    <row r="956" spans="1:11" x14ac:dyDescent="0.2">
      <c r="A956" s="89"/>
      <c r="B956" s="89"/>
      <c r="C956" s="89"/>
      <c r="D956" s="89"/>
      <c r="E956" s="89"/>
      <c r="F956" s="89"/>
      <c r="G956" s="89"/>
      <c r="H956" s="89"/>
      <c r="I956" s="33"/>
      <c r="J956" s="9"/>
      <c r="K956" s="9"/>
    </row>
    <row r="957" spans="1:11" x14ac:dyDescent="0.2">
      <c r="A957" s="89"/>
      <c r="B957" s="89"/>
      <c r="C957" s="89"/>
      <c r="D957" s="89"/>
      <c r="E957" s="89"/>
      <c r="F957" s="89"/>
      <c r="G957" s="89"/>
      <c r="H957" s="89"/>
      <c r="I957" s="33"/>
      <c r="J957" s="9"/>
      <c r="K957" s="9"/>
    </row>
    <row r="958" spans="1:11" x14ac:dyDescent="0.2">
      <c r="A958" s="89"/>
      <c r="B958" s="89"/>
      <c r="C958" s="89"/>
      <c r="D958" s="89"/>
      <c r="E958" s="89"/>
      <c r="F958" s="89"/>
      <c r="G958" s="89"/>
      <c r="H958" s="89"/>
      <c r="I958" s="33"/>
      <c r="J958" s="9"/>
      <c r="K958" s="9"/>
    </row>
    <row r="959" spans="1:11" x14ac:dyDescent="0.2">
      <c r="A959" s="89"/>
      <c r="B959" s="89"/>
      <c r="C959" s="89"/>
      <c r="D959" s="89"/>
      <c r="E959" s="89"/>
      <c r="F959" s="89"/>
      <c r="G959" s="89"/>
      <c r="H959" s="89"/>
      <c r="I959" s="33"/>
      <c r="J959" s="9"/>
      <c r="K959" s="9"/>
    </row>
    <row r="960" spans="1:11" x14ac:dyDescent="0.2">
      <c r="A960" s="89"/>
      <c r="B960" s="89"/>
      <c r="C960" s="89"/>
      <c r="D960" s="89"/>
      <c r="E960" s="89"/>
      <c r="F960" s="89"/>
      <c r="G960" s="89"/>
      <c r="H960" s="89"/>
      <c r="I960" s="33"/>
      <c r="J960" s="9"/>
      <c r="K960" s="9"/>
    </row>
    <row r="961" spans="1:11" x14ac:dyDescent="0.2">
      <c r="A961" s="89"/>
      <c r="B961" s="89"/>
      <c r="C961" s="89"/>
      <c r="D961" s="89"/>
      <c r="E961" s="89"/>
      <c r="F961" s="89"/>
      <c r="G961" s="89"/>
      <c r="H961" s="89"/>
      <c r="I961" s="33"/>
      <c r="J961" s="9"/>
      <c r="K961" s="9"/>
    </row>
    <row r="962" spans="1:11" x14ac:dyDescent="0.2">
      <c r="A962" s="89"/>
      <c r="B962" s="89"/>
      <c r="C962" s="89"/>
      <c r="D962" s="89"/>
      <c r="E962" s="89"/>
      <c r="F962" s="89"/>
      <c r="G962" s="89"/>
      <c r="H962" s="89"/>
      <c r="I962" s="33"/>
      <c r="J962" s="9"/>
      <c r="K962" s="9"/>
    </row>
    <row r="963" spans="1:11" x14ac:dyDescent="0.2">
      <c r="A963" s="89"/>
      <c r="B963" s="89"/>
      <c r="C963" s="89"/>
      <c r="D963" s="89"/>
      <c r="E963" s="89"/>
      <c r="F963" s="89"/>
      <c r="G963" s="89"/>
      <c r="H963" s="89"/>
      <c r="I963" s="33"/>
      <c r="J963" s="9"/>
      <c r="K963" s="9"/>
    </row>
    <row r="964" spans="1:11" x14ac:dyDescent="0.2">
      <c r="A964" s="89"/>
      <c r="B964" s="89"/>
      <c r="C964" s="89"/>
      <c r="D964" s="89"/>
      <c r="E964" s="89"/>
      <c r="F964" s="89"/>
      <c r="G964" s="89"/>
      <c r="H964" s="89"/>
      <c r="I964" s="33"/>
      <c r="J964" s="9"/>
      <c r="K964" s="9"/>
    </row>
    <row r="965" spans="1:11" x14ac:dyDescent="0.2">
      <c r="A965" s="89"/>
      <c r="B965" s="89"/>
      <c r="C965" s="89"/>
      <c r="D965" s="89"/>
      <c r="E965" s="89"/>
      <c r="F965" s="89"/>
      <c r="G965" s="89"/>
      <c r="H965" s="89"/>
      <c r="I965" s="33"/>
      <c r="J965" s="9"/>
      <c r="K965" s="9"/>
    </row>
    <row r="966" spans="1:11" x14ac:dyDescent="0.2">
      <c r="A966" s="89"/>
      <c r="B966" s="89"/>
      <c r="C966" s="89"/>
      <c r="D966" s="89"/>
      <c r="E966" s="89"/>
      <c r="F966" s="89"/>
      <c r="G966" s="89"/>
      <c r="H966" s="89"/>
      <c r="I966" s="33"/>
      <c r="J966" s="9"/>
      <c r="K966" s="9"/>
    </row>
    <row r="967" spans="1:11" x14ac:dyDescent="0.2">
      <c r="A967" s="89"/>
      <c r="B967" s="89"/>
      <c r="C967" s="89"/>
      <c r="D967" s="89"/>
      <c r="E967" s="89"/>
      <c r="F967" s="89"/>
      <c r="G967" s="89"/>
      <c r="H967" s="89"/>
      <c r="I967" s="33"/>
      <c r="J967" s="9"/>
      <c r="K967" s="9"/>
    </row>
    <row r="968" spans="1:11" x14ac:dyDescent="0.2">
      <c r="A968" s="89"/>
      <c r="B968" s="89"/>
      <c r="C968" s="89"/>
      <c r="D968" s="89"/>
      <c r="E968" s="89"/>
      <c r="F968" s="89"/>
      <c r="G968" s="89"/>
      <c r="H968" s="89"/>
      <c r="I968" s="33"/>
      <c r="J968" s="9"/>
      <c r="K968" s="9"/>
    </row>
    <row r="969" spans="1:11" x14ac:dyDescent="0.2">
      <c r="A969" s="89"/>
      <c r="B969" s="89"/>
      <c r="C969" s="89"/>
      <c r="D969" s="89"/>
      <c r="E969" s="89"/>
      <c r="F969" s="89"/>
      <c r="G969" s="89"/>
      <c r="H969" s="89"/>
      <c r="I969" s="33"/>
      <c r="J969" s="9"/>
      <c r="K969" s="9"/>
    </row>
    <row r="970" spans="1:11" x14ac:dyDescent="0.2">
      <c r="A970" s="89"/>
      <c r="B970" s="89"/>
      <c r="C970" s="89"/>
      <c r="D970" s="89"/>
      <c r="E970" s="89"/>
      <c r="F970" s="89"/>
      <c r="G970" s="89"/>
      <c r="H970" s="89"/>
      <c r="I970" s="33"/>
      <c r="J970" s="9"/>
      <c r="K970" s="9"/>
    </row>
    <row r="971" spans="1:11" x14ac:dyDescent="0.2">
      <c r="A971" s="89"/>
      <c r="B971" s="89"/>
      <c r="C971" s="89"/>
      <c r="D971" s="89"/>
      <c r="E971" s="89"/>
      <c r="F971" s="89"/>
      <c r="G971" s="89"/>
      <c r="H971" s="89"/>
      <c r="I971" s="33"/>
      <c r="J971" s="9"/>
      <c r="K971" s="9"/>
    </row>
    <row r="972" spans="1:11" x14ac:dyDescent="0.2">
      <c r="A972" s="89"/>
      <c r="B972" s="89"/>
      <c r="C972" s="89"/>
      <c r="D972" s="89"/>
      <c r="E972" s="89"/>
      <c r="F972" s="89"/>
      <c r="G972" s="89"/>
      <c r="H972" s="89"/>
      <c r="I972" s="33"/>
      <c r="J972" s="9"/>
      <c r="K972" s="9"/>
    </row>
    <row r="973" spans="1:11" x14ac:dyDescent="0.2">
      <c r="A973" s="89"/>
      <c r="B973" s="89"/>
      <c r="C973" s="89"/>
      <c r="D973" s="89"/>
      <c r="E973" s="89"/>
      <c r="F973" s="89"/>
      <c r="G973" s="89"/>
      <c r="H973" s="89"/>
      <c r="I973" s="33"/>
      <c r="J973" s="9"/>
      <c r="K973" s="9"/>
    </row>
    <row r="974" spans="1:11" x14ac:dyDescent="0.2">
      <c r="A974" s="89"/>
      <c r="B974" s="89"/>
      <c r="C974" s="89"/>
      <c r="D974" s="89"/>
      <c r="E974" s="89"/>
      <c r="F974" s="89"/>
      <c r="G974" s="89"/>
      <c r="H974" s="89"/>
      <c r="I974" s="33"/>
      <c r="J974" s="9"/>
      <c r="K974" s="9"/>
    </row>
    <row r="975" spans="1:11" x14ac:dyDescent="0.2">
      <c r="A975" s="89"/>
      <c r="B975" s="89"/>
      <c r="C975" s="89"/>
      <c r="D975" s="89"/>
      <c r="E975" s="89"/>
      <c r="F975" s="89"/>
      <c r="G975" s="89"/>
      <c r="H975" s="89"/>
      <c r="I975" s="33"/>
      <c r="J975" s="9"/>
      <c r="K975" s="9"/>
    </row>
    <row r="976" spans="1:11" x14ac:dyDescent="0.2">
      <c r="A976" s="89"/>
      <c r="B976" s="89"/>
      <c r="C976" s="89"/>
      <c r="D976" s="89"/>
      <c r="E976" s="89"/>
      <c r="F976" s="89"/>
      <c r="G976" s="89"/>
      <c r="H976" s="89"/>
      <c r="I976" s="33"/>
      <c r="J976" s="9"/>
      <c r="K976" s="9"/>
    </row>
    <row r="977" spans="1:11" x14ac:dyDescent="0.2">
      <c r="A977" s="89"/>
      <c r="B977" s="89"/>
      <c r="C977" s="89"/>
      <c r="D977" s="89"/>
      <c r="E977" s="89"/>
      <c r="F977" s="89"/>
      <c r="G977" s="89"/>
      <c r="H977" s="89"/>
      <c r="I977" s="33"/>
      <c r="J977" s="9"/>
      <c r="K977" s="9"/>
    </row>
    <row r="978" spans="1:11" x14ac:dyDescent="0.2">
      <c r="A978" s="89"/>
      <c r="B978" s="89"/>
      <c r="C978" s="89"/>
      <c r="D978" s="89"/>
      <c r="E978" s="89"/>
      <c r="F978" s="89"/>
      <c r="G978" s="89"/>
      <c r="H978" s="89"/>
      <c r="I978" s="33"/>
      <c r="J978" s="9"/>
      <c r="K978" s="9"/>
    </row>
    <row r="979" spans="1:11" x14ac:dyDescent="0.2">
      <c r="A979" s="89"/>
      <c r="B979" s="89"/>
      <c r="C979" s="89"/>
      <c r="D979" s="89"/>
      <c r="E979" s="89"/>
      <c r="F979" s="89"/>
      <c r="G979" s="89"/>
      <c r="H979" s="89"/>
      <c r="I979" s="33"/>
      <c r="J979" s="9"/>
      <c r="K979" s="9"/>
    </row>
    <row r="980" spans="1:11" x14ac:dyDescent="0.2">
      <c r="A980" s="89"/>
      <c r="B980" s="89"/>
      <c r="C980" s="89"/>
      <c r="D980" s="89"/>
      <c r="E980" s="89"/>
      <c r="F980" s="89"/>
      <c r="G980" s="89"/>
      <c r="H980" s="89"/>
      <c r="I980" s="33"/>
      <c r="J980" s="9"/>
      <c r="K980" s="9"/>
    </row>
    <row r="981" spans="1:11" x14ac:dyDescent="0.2">
      <c r="A981" s="89"/>
      <c r="B981" s="89"/>
      <c r="C981" s="89"/>
      <c r="D981" s="89"/>
      <c r="E981" s="89"/>
      <c r="F981" s="89"/>
      <c r="G981" s="89"/>
      <c r="H981" s="89"/>
      <c r="I981" s="33"/>
      <c r="J981" s="9"/>
      <c r="K981" s="9"/>
    </row>
    <row r="982" spans="1:11" x14ac:dyDescent="0.2">
      <c r="A982" s="89"/>
      <c r="B982" s="89"/>
      <c r="C982" s="89"/>
      <c r="D982" s="89"/>
      <c r="E982" s="89"/>
      <c r="F982" s="89"/>
      <c r="G982" s="89"/>
      <c r="H982" s="89"/>
      <c r="I982" s="33"/>
      <c r="J982" s="9"/>
      <c r="K982" s="9"/>
    </row>
    <row r="983" spans="1:11" x14ac:dyDescent="0.2">
      <c r="A983" s="89"/>
      <c r="B983" s="89"/>
      <c r="C983" s="89"/>
      <c r="D983" s="89"/>
      <c r="E983" s="89"/>
      <c r="F983" s="89"/>
      <c r="G983" s="89"/>
      <c r="H983" s="89"/>
      <c r="I983" s="33"/>
      <c r="J983" s="9"/>
      <c r="K983" s="9"/>
    </row>
    <row r="984" spans="1:11" x14ac:dyDescent="0.2">
      <c r="A984" s="89"/>
      <c r="B984" s="89"/>
      <c r="C984" s="89"/>
      <c r="D984" s="89"/>
      <c r="E984" s="89"/>
      <c r="F984" s="89"/>
      <c r="G984" s="89"/>
      <c r="H984" s="89"/>
      <c r="I984" s="33"/>
      <c r="J984" s="9"/>
      <c r="K984" s="9"/>
    </row>
    <row r="985" spans="1:11" x14ac:dyDescent="0.2">
      <c r="A985" s="89"/>
      <c r="B985" s="89"/>
      <c r="C985" s="89"/>
      <c r="D985" s="89"/>
      <c r="E985" s="89"/>
      <c r="F985" s="89"/>
      <c r="G985" s="89"/>
      <c r="H985" s="89"/>
      <c r="I985" s="33"/>
      <c r="J985" s="9"/>
      <c r="K985" s="9"/>
    </row>
    <row r="986" spans="1:11" x14ac:dyDescent="0.2">
      <c r="A986" s="89"/>
      <c r="B986" s="89"/>
      <c r="C986" s="89"/>
      <c r="D986" s="89"/>
      <c r="E986" s="89"/>
      <c r="F986" s="89"/>
      <c r="G986" s="89"/>
      <c r="H986" s="89"/>
      <c r="I986" s="33"/>
      <c r="J986" s="9"/>
      <c r="K986" s="9"/>
    </row>
    <row r="987" spans="1:11" x14ac:dyDescent="0.2">
      <c r="A987" s="89"/>
      <c r="B987" s="89"/>
      <c r="C987" s="89"/>
      <c r="D987" s="89"/>
      <c r="E987" s="89"/>
      <c r="F987" s="89"/>
      <c r="G987" s="89"/>
      <c r="H987" s="89"/>
      <c r="I987" s="33"/>
      <c r="J987" s="9"/>
      <c r="K987" s="9"/>
    </row>
    <row r="988" spans="1:11" x14ac:dyDescent="0.2">
      <c r="A988" s="89"/>
      <c r="B988" s="89"/>
      <c r="C988" s="89"/>
      <c r="D988" s="89"/>
      <c r="E988" s="89"/>
      <c r="F988" s="89"/>
      <c r="G988" s="89"/>
      <c r="H988" s="89"/>
      <c r="I988" s="33"/>
      <c r="J988" s="9"/>
      <c r="K988" s="9"/>
    </row>
    <row r="989" spans="1:11" x14ac:dyDescent="0.2">
      <c r="A989" s="89"/>
      <c r="B989" s="89"/>
      <c r="C989" s="89"/>
      <c r="D989" s="89"/>
      <c r="E989" s="89"/>
      <c r="F989" s="89"/>
      <c r="G989" s="89"/>
      <c r="H989" s="89"/>
      <c r="I989" s="33"/>
      <c r="J989" s="9"/>
      <c r="K989" s="9"/>
    </row>
    <row r="990" spans="1:11" x14ac:dyDescent="0.2">
      <c r="A990" s="89"/>
      <c r="B990" s="89"/>
      <c r="C990" s="89"/>
      <c r="D990" s="89"/>
      <c r="E990" s="89"/>
      <c r="F990" s="89"/>
      <c r="G990" s="89"/>
      <c r="H990" s="89"/>
      <c r="I990" s="33"/>
      <c r="J990" s="9"/>
      <c r="K990" s="9"/>
    </row>
    <row r="991" spans="1:11" x14ac:dyDescent="0.2">
      <c r="A991" s="89"/>
      <c r="B991" s="89"/>
      <c r="C991" s="89"/>
      <c r="D991" s="89"/>
      <c r="E991" s="89"/>
      <c r="F991" s="89"/>
      <c r="G991" s="89"/>
      <c r="H991" s="89"/>
      <c r="I991" s="33"/>
      <c r="J991" s="9"/>
      <c r="K991" s="9"/>
    </row>
    <row r="992" spans="1:11" x14ac:dyDescent="0.2">
      <c r="A992" s="89"/>
      <c r="B992" s="89"/>
      <c r="C992" s="89"/>
      <c r="D992" s="89"/>
      <c r="E992" s="89"/>
      <c r="F992" s="89"/>
      <c r="G992" s="89"/>
      <c r="H992" s="89"/>
      <c r="I992" s="33"/>
      <c r="J992" s="9"/>
      <c r="K992" s="9"/>
    </row>
    <row r="993" spans="1:11" x14ac:dyDescent="0.2">
      <c r="A993" s="89"/>
      <c r="B993" s="89"/>
      <c r="C993" s="89"/>
      <c r="D993" s="89"/>
      <c r="E993" s="89"/>
      <c r="F993" s="89"/>
      <c r="G993" s="89"/>
      <c r="H993" s="89"/>
      <c r="I993" s="33"/>
      <c r="J993" s="9"/>
      <c r="K993" s="9"/>
    </row>
    <row r="994" spans="1:11" x14ac:dyDescent="0.2">
      <c r="A994" s="89"/>
      <c r="B994" s="89"/>
      <c r="C994" s="89"/>
      <c r="D994" s="89"/>
      <c r="E994" s="89"/>
      <c r="F994" s="89"/>
      <c r="G994" s="89"/>
      <c r="H994" s="89"/>
      <c r="I994" s="33"/>
      <c r="J994" s="9"/>
      <c r="K994" s="9"/>
    </row>
    <row r="995" spans="1:11" x14ac:dyDescent="0.2">
      <c r="A995" s="89"/>
      <c r="B995" s="89"/>
      <c r="C995" s="89"/>
      <c r="D995" s="89"/>
      <c r="E995" s="89"/>
      <c r="F995" s="89"/>
      <c r="G995" s="89"/>
      <c r="H995" s="89"/>
      <c r="I995" s="33"/>
      <c r="J995" s="9"/>
      <c r="K995" s="9"/>
    </row>
    <row r="996" spans="1:11" x14ac:dyDescent="0.2">
      <c r="A996" s="89"/>
      <c r="B996" s="89"/>
      <c r="C996" s="89"/>
      <c r="D996" s="89"/>
      <c r="E996" s="89"/>
      <c r="F996" s="89"/>
      <c r="G996" s="89"/>
      <c r="H996" s="89"/>
      <c r="I996" s="33"/>
      <c r="J996" s="9"/>
      <c r="K996" s="9"/>
    </row>
    <row r="997" spans="1:11" x14ac:dyDescent="0.2">
      <c r="A997" s="89"/>
      <c r="B997" s="89"/>
      <c r="C997" s="89"/>
      <c r="D997" s="89"/>
      <c r="E997" s="89"/>
      <c r="F997" s="89"/>
      <c r="G997" s="89"/>
      <c r="H997" s="89"/>
      <c r="I997" s="33"/>
      <c r="J997" s="9"/>
      <c r="K997" s="9"/>
    </row>
    <row r="998" spans="1:11" x14ac:dyDescent="0.2">
      <c r="A998" s="89"/>
      <c r="B998" s="89"/>
      <c r="C998" s="89"/>
      <c r="D998" s="89"/>
      <c r="E998" s="89"/>
      <c r="F998" s="89"/>
      <c r="G998" s="89"/>
      <c r="H998" s="89"/>
      <c r="I998" s="33"/>
      <c r="J998" s="9"/>
      <c r="K998" s="9"/>
    </row>
    <row r="999" spans="1:11" x14ac:dyDescent="0.2">
      <c r="A999" s="89"/>
      <c r="B999" s="89"/>
      <c r="C999" s="89"/>
      <c r="D999" s="89"/>
      <c r="E999" s="89"/>
      <c r="F999" s="89"/>
      <c r="G999" s="89"/>
      <c r="H999" s="89"/>
      <c r="I999" s="33"/>
      <c r="J999" s="9"/>
      <c r="K999" s="9"/>
    </row>
    <row r="1000" spans="1:11" x14ac:dyDescent="0.2">
      <c r="A1000" s="89"/>
      <c r="B1000" s="89"/>
      <c r="C1000" s="89"/>
      <c r="D1000" s="89"/>
      <c r="E1000" s="89"/>
      <c r="F1000" s="89"/>
      <c r="G1000" s="89"/>
      <c r="H1000" s="89"/>
      <c r="I1000" s="33"/>
      <c r="J1000" s="9"/>
      <c r="K1000" s="9"/>
    </row>
    <row r="1001" spans="1:11" ht="15" x14ac:dyDescent="0.25">
      <c r="A1001"/>
      <c r="B1001"/>
      <c r="C1001"/>
      <c r="D1001"/>
      <c r="E1001"/>
      <c r="F1001"/>
      <c r="G1001"/>
      <c r="H1001"/>
      <c r="I1001"/>
      <c r="J1001" s="9"/>
      <c r="K1001" s="9"/>
    </row>
    <row r="1002" spans="1:11" ht="15" x14ac:dyDescent="0.25">
      <c r="A1002"/>
      <c r="B1002"/>
      <c r="C1002"/>
      <c r="D1002"/>
      <c r="E1002"/>
      <c r="F1002"/>
      <c r="G1002"/>
      <c r="H1002"/>
      <c r="I1002"/>
      <c r="J1002" s="9"/>
      <c r="K1002" s="9"/>
    </row>
    <row r="1003" spans="1:11" ht="15" x14ac:dyDescent="0.25">
      <c r="A1003"/>
      <c r="B1003"/>
      <c r="C1003"/>
      <c r="D1003"/>
      <c r="E1003"/>
      <c r="F1003"/>
      <c r="G1003"/>
      <c r="H1003"/>
      <c r="I1003"/>
      <c r="J1003" s="9"/>
      <c r="K1003" s="9"/>
    </row>
    <row r="1004" spans="1:11" ht="15" x14ac:dyDescent="0.25">
      <c r="A1004"/>
      <c r="B1004"/>
      <c r="C1004"/>
      <c r="D1004"/>
      <c r="E1004"/>
      <c r="F1004"/>
      <c r="G1004"/>
      <c r="H1004"/>
      <c r="I1004"/>
      <c r="J1004" s="9"/>
      <c r="K1004" s="9"/>
    </row>
    <row r="1005" spans="1:11" ht="15" x14ac:dyDescent="0.25">
      <c r="A1005"/>
      <c r="B1005"/>
      <c r="C1005"/>
      <c r="D1005"/>
      <c r="E1005"/>
      <c r="F1005"/>
      <c r="G1005"/>
      <c r="H1005"/>
      <c r="I1005"/>
      <c r="J1005" s="9"/>
      <c r="K1005" s="9"/>
    </row>
    <row r="1006" spans="1:11" ht="15" x14ac:dyDescent="0.25">
      <c r="A1006"/>
      <c r="B1006"/>
      <c r="C1006"/>
      <c r="D1006"/>
      <c r="E1006"/>
      <c r="F1006"/>
      <c r="G1006"/>
      <c r="H1006"/>
      <c r="I1006"/>
      <c r="J1006" s="9"/>
      <c r="K1006" s="9"/>
    </row>
    <row r="1007" spans="1:11" ht="15" x14ac:dyDescent="0.25">
      <c r="A1007"/>
      <c r="B1007"/>
      <c r="C1007"/>
      <c r="D1007"/>
      <c r="E1007"/>
      <c r="F1007"/>
      <c r="G1007"/>
      <c r="H1007"/>
      <c r="I1007"/>
      <c r="J1007" s="9"/>
      <c r="K1007" s="9"/>
    </row>
    <row r="1008" spans="1:11" ht="15" x14ac:dyDescent="0.25">
      <c r="A1008"/>
      <c r="B1008"/>
      <c r="C1008"/>
      <c r="D1008"/>
      <c r="E1008"/>
      <c r="F1008"/>
      <c r="G1008"/>
      <c r="H1008"/>
      <c r="I1008"/>
      <c r="J1008" s="9"/>
      <c r="K1008" s="9"/>
    </row>
    <row r="1009" spans="1:11" ht="15" x14ac:dyDescent="0.25">
      <c r="A1009"/>
      <c r="B1009"/>
      <c r="C1009"/>
      <c r="D1009"/>
      <c r="E1009"/>
      <c r="F1009"/>
      <c r="G1009"/>
      <c r="H1009"/>
      <c r="I1009"/>
      <c r="J1009" s="9"/>
      <c r="K1009" s="9"/>
    </row>
    <row r="1010" spans="1:11" ht="15" x14ac:dyDescent="0.25">
      <c r="A1010"/>
      <c r="B1010"/>
      <c r="C1010"/>
      <c r="D1010"/>
      <c r="E1010"/>
      <c r="F1010"/>
      <c r="G1010"/>
      <c r="H1010"/>
      <c r="I1010"/>
      <c r="J1010" s="9"/>
      <c r="K1010" s="9"/>
    </row>
    <row r="1011" spans="1:11" ht="15" x14ac:dyDescent="0.25">
      <c r="A1011"/>
      <c r="B1011"/>
      <c r="C1011"/>
      <c r="D1011"/>
      <c r="E1011"/>
      <c r="F1011"/>
      <c r="G1011"/>
      <c r="H1011"/>
      <c r="I1011"/>
      <c r="J1011" s="9"/>
      <c r="K1011" s="9"/>
    </row>
    <row r="1012" spans="1:11" ht="15" x14ac:dyDescent="0.25">
      <c r="A1012"/>
      <c r="B1012"/>
      <c r="C1012"/>
      <c r="D1012"/>
      <c r="E1012"/>
      <c r="F1012"/>
      <c r="G1012"/>
      <c r="H1012"/>
      <c r="I1012"/>
      <c r="J1012" s="9"/>
      <c r="K1012" s="9"/>
    </row>
    <row r="1013" spans="1:11" x14ac:dyDescent="0.2">
      <c r="A1013" s="12"/>
      <c r="B1013" s="13"/>
      <c r="C1013" s="13"/>
      <c r="D1013" s="13"/>
      <c r="E1013" s="14"/>
      <c r="F1013" s="13"/>
      <c r="G1013" s="13"/>
      <c r="H1013" s="33"/>
      <c r="I1013" s="33"/>
      <c r="J1013" s="9"/>
      <c r="K1013" s="9"/>
    </row>
    <row r="1014" spans="1:11" x14ac:dyDescent="0.2">
      <c r="A1014" s="12"/>
      <c r="B1014" s="13"/>
      <c r="C1014" s="13"/>
      <c r="D1014" s="13"/>
      <c r="E1014" s="14"/>
      <c r="F1014" s="13"/>
      <c r="G1014" s="13"/>
      <c r="H1014" s="33"/>
      <c r="I1014" s="33"/>
      <c r="J1014" s="9"/>
      <c r="K1014" s="9"/>
    </row>
    <row r="1015" spans="1:11" x14ac:dyDescent="0.2">
      <c r="A1015" s="12"/>
      <c r="B1015" s="13"/>
      <c r="C1015" s="13"/>
      <c r="D1015" s="13"/>
      <c r="E1015" s="14"/>
      <c r="F1015" s="13"/>
      <c r="G1015" s="13"/>
      <c r="H1015" s="33"/>
      <c r="I1015" s="33"/>
      <c r="J1015" s="9"/>
      <c r="K1015" s="9"/>
    </row>
    <row r="1016" spans="1:11" x14ac:dyDescent="0.2">
      <c r="A1016" s="12"/>
      <c r="B1016" s="13"/>
      <c r="C1016" s="13"/>
      <c r="D1016" s="13"/>
      <c r="E1016" s="14"/>
      <c r="F1016" s="13"/>
      <c r="G1016" s="13"/>
      <c r="H1016" s="33"/>
      <c r="I1016" s="33"/>
      <c r="J1016" s="9"/>
      <c r="K1016" s="9"/>
    </row>
    <row r="1017" spans="1:11" x14ac:dyDescent="0.2">
      <c r="A1017" s="12"/>
      <c r="B1017" s="13"/>
      <c r="C1017" s="13"/>
      <c r="D1017" s="13"/>
      <c r="E1017" s="14"/>
      <c r="F1017" s="13"/>
      <c r="G1017" s="13"/>
      <c r="H1017" s="33"/>
      <c r="I1017" s="33"/>
      <c r="J1017" s="9"/>
      <c r="K1017" s="9"/>
    </row>
    <row r="1018" spans="1:11" x14ac:dyDescent="0.2">
      <c r="A1018" s="12"/>
      <c r="B1018" s="13"/>
      <c r="C1018" s="13"/>
      <c r="D1018" s="13"/>
      <c r="E1018" s="14"/>
      <c r="F1018" s="13"/>
      <c r="G1018" s="13"/>
      <c r="H1018" s="33"/>
      <c r="I1018" s="33"/>
      <c r="J1018" s="9"/>
      <c r="K1018" s="9"/>
    </row>
    <row r="1019" spans="1:11" x14ac:dyDescent="0.2">
      <c r="A1019" s="12"/>
      <c r="B1019" s="13"/>
      <c r="C1019" s="13"/>
      <c r="D1019" s="13"/>
      <c r="E1019" s="14"/>
      <c r="F1019" s="13"/>
      <c r="G1019" s="13"/>
      <c r="H1019" s="33"/>
      <c r="I1019" s="33"/>
      <c r="J1019" s="9"/>
      <c r="K1019" s="9"/>
    </row>
    <row r="1020" spans="1:11" x14ac:dyDescent="0.2">
      <c r="A1020" s="12"/>
      <c r="B1020" s="13"/>
      <c r="C1020" s="13"/>
      <c r="D1020" s="13"/>
      <c r="E1020" s="14"/>
      <c r="F1020" s="13"/>
      <c r="G1020" s="13"/>
      <c r="H1020" s="33"/>
      <c r="I1020" s="33"/>
      <c r="J1020" s="9"/>
      <c r="K1020" s="9"/>
    </row>
    <row r="1021" spans="1:11" x14ac:dyDescent="0.2">
      <c r="A1021" s="12"/>
      <c r="B1021" s="13"/>
      <c r="C1021" s="13"/>
      <c r="D1021" s="13"/>
      <c r="E1021" s="14"/>
      <c r="F1021" s="13"/>
      <c r="G1021" s="13"/>
      <c r="H1021" s="33"/>
      <c r="I1021" s="33"/>
      <c r="J1021" s="9"/>
      <c r="K1021" s="9"/>
    </row>
    <row r="1022" spans="1:11" x14ac:dyDescent="0.2">
      <c r="A1022" s="12"/>
      <c r="B1022" s="13"/>
      <c r="C1022" s="13"/>
      <c r="D1022" s="13"/>
      <c r="E1022" s="14"/>
      <c r="F1022" s="13"/>
      <c r="G1022" s="13"/>
      <c r="H1022" s="33"/>
      <c r="I1022" s="33"/>
      <c r="J1022" s="9"/>
      <c r="K1022" s="9"/>
    </row>
    <row r="1023" spans="1:11" x14ac:dyDescent="0.2">
      <c r="A1023" s="12"/>
      <c r="B1023" s="13"/>
      <c r="C1023" s="13"/>
      <c r="D1023" s="13"/>
      <c r="E1023" s="14"/>
      <c r="F1023" s="13"/>
      <c r="G1023" s="13"/>
      <c r="H1023" s="33"/>
      <c r="I1023" s="33"/>
      <c r="J1023" s="9"/>
      <c r="K1023" s="9"/>
    </row>
    <row r="1024" spans="1:11" x14ac:dyDescent="0.2">
      <c r="A1024" s="12"/>
      <c r="B1024" s="13"/>
      <c r="C1024" s="13"/>
      <c r="D1024" s="13"/>
      <c r="E1024" s="14"/>
      <c r="F1024" s="13"/>
      <c r="G1024" s="13"/>
      <c r="H1024" s="33"/>
      <c r="I1024" s="33"/>
      <c r="J1024" s="9"/>
      <c r="K1024" s="9"/>
    </row>
    <row r="1025" spans="1:11" x14ac:dyDescent="0.2">
      <c r="A1025" s="12"/>
      <c r="B1025" s="13"/>
      <c r="C1025" s="13"/>
      <c r="D1025" s="13"/>
      <c r="E1025" s="14"/>
      <c r="F1025" s="13"/>
      <c r="G1025" s="13"/>
      <c r="H1025" s="33"/>
      <c r="I1025" s="33"/>
      <c r="J1025" s="9"/>
      <c r="K1025" s="9"/>
    </row>
    <row r="1026" spans="1:11" x14ac:dyDescent="0.2">
      <c r="A1026" s="12"/>
      <c r="B1026" s="13"/>
      <c r="C1026" s="13"/>
      <c r="D1026" s="13"/>
      <c r="E1026" s="14"/>
      <c r="F1026" s="13"/>
      <c r="G1026" s="13"/>
      <c r="H1026" s="33"/>
      <c r="I1026" s="33"/>
      <c r="J1026" s="9"/>
      <c r="K1026" s="9"/>
    </row>
    <row r="1027" spans="1:11" x14ac:dyDescent="0.2">
      <c r="A1027" s="12"/>
      <c r="B1027" s="13"/>
      <c r="C1027" s="13"/>
      <c r="D1027" s="13"/>
      <c r="E1027" s="14"/>
      <c r="F1027" s="13"/>
      <c r="G1027" s="13"/>
      <c r="H1027" s="33"/>
      <c r="I1027" s="33"/>
      <c r="J1027" s="9"/>
      <c r="K1027" s="9"/>
    </row>
    <row r="1028" spans="1:11" x14ac:dyDescent="0.2">
      <c r="A1028" s="12"/>
      <c r="B1028" s="13"/>
      <c r="C1028" s="13"/>
      <c r="D1028" s="13"/>
      <c r="E1028" s="14"/>
      <c r="F1028" s="13"/>
      <c r="G1028" s="13"/>
      <c r="H1028" s="33"/>
      <c r="I1028" s="33"/>
      <c r="J1028" s="9"/>
      <c r="K1028" s="9"/>
    </row>
    <row r="1029" spans="1:11" x14ac:dyDescent="0.2">
      <c r="A1029" s="12"/>
      <c r="B1029" s="13"/>
      <c r="C1029" s="13"/>
      <c r="D1029" s="13"/>
      <c r="E1029" s="14"/>
      <c r="F1029" s="13"/>
      <c r="G1029" s="13"/>
      <c r="H1029" s="33"/>
      <c r="I1029" s="33"/>
      <c r="J1029" s="9"/>
      <c r="K1029" s="9"/>
    </row>
    <row r="1030" spans="1:11" x14ac:dyDescent="0.2">
      <c r="A1030" s="12"/>
      <c r="B1030" s="13"/>
      <c r="C1030" s="13"/>
      <c r="D1030" s="13"/>
      <c r="E1030" s="14"/>
      <c r="F1030" s="13"/>
      <c r="G1030" s="13"/>
      <c r="H1030" s="33"/>
      <c r="I1030" s="33"/>
      <c r="J1030" s="9"/>
      <c r="K1030" s="9"/>
    </row>
    <row r="1031" spans="1:11" x14ac:dyDescent="0.2">
      <c r="A1031" s="12"/>
      <c r="B1031" s="13"/>
      <c r="C1031" s="13"/>
      <c r="D1031" s="13"/>
      <c r="E1031" s="14"/>
      <c r="F1031" s="13"/>
      <c r="G1031" s="13"/>
      <c r="H1031" s="33"/>
      <c r="I1031" s="33"/>
      <c r="J1031" s="9"/>
      <c r="K1031" s="9"/>
    </row>
    <row r="1032" spans="1:11" x14ac:dyDescent="0.2">
      <c r="A1032" s="12"/>
      <c r="B1032" s="13"/>
      <c r="C1032" s="13"/>
      <c r="D1032" s="13"/>
      <c r="E1032" s="14"/>
      <c r="F1032" s="13"/>
      <c r="G1032" s="13"/>
      <c r="H1032" s="33"/>
      <c r="I1032" s="33"/>
      <c r="J1032" s="9"/>
      <c r="K1032" s="9"/>
    </row>
    <row r="1033" spans="1:11" x14ac:dyDescent="0.2">
      <c r="A1033" s="12"/>
      <c r="B1033" s="13"/>
      <c r="C1033" s="13"/>
      <c r="D1033" s="13"/>
      <c r="E1033" s="14"/>
      <c r="F1033" s="13"/>
      <c r="G1033" s="13"/>
      <c r="H1033" s="33"/>
      <c r="I1033" s="33"/>
      <c r="J1033" s="9"/>
      <c r="K1033" s="9"/>
    </row>
    <row r="1034" spans="1:11" x14ac:dyDescent="0.2">
      <c r="A1034" s="12"/>
      <c r="B1034" s="13"/>
      <c r="C1034" s="13"/>
      <c r="D1034" s="13"/>
      <c r="E1034" s="14"/>
      <c r="F1034" s="13"/>
      <c r="G1034" s="13"/>
      <c r="H1034" s="33"/>
      <c r="I1034" s="33"/>
      <c r="J1034" s="9"/>
      <c r="K1034" s="9"/>
    </row>
    <row r="1035" spans="1:11" x14ac:dyDescent="0.2">
      <c r="A1035" s="12"/>
      <c r="B1035" s="13"/>
      <c r="C1035" s="13"/>
      <c r="D1035" s="13"/>
      <c r="E1035" s="14"/>
      <c r="F1035" s="13"/>
      <c r="G1035" s="13"/>
      <c r="H1035" s="33"/>
      <c r="I1035" s="33"/>
      <c r="J1035" s="9"/>
      <c r="K1035" s="9"/>
    </row>
    <row r="1036" spans="1:11" x14ac:dyDescent="0.2">
      <c r="A1036" s="12"/>
      <c r="B1036" s="13"/>
      <c r="C1036" s="13"/>
      <c r="D1036" s="13"/>
      <c r="E1036" s="14"/>
      <c r="F1036" s="13"/>
      <c r="G1036" s="13"/>
      <c r="H1036" s="33"/>
      <c r="I1036" s="33"/>
      <c r="J1036" s="9"/>
      <c r="K1036" s="9"/>
    </row>
    <row r="1037" spans="1:11" x14ac:dyDescent="0.2">
      <c r="A1037" s="12"/>
      <c r="B1037" s="13"/>
      <c r="C1037" s="13"/>
      <c r="D1037" s="13"/>
      <c r="E1037" s="14"/>
      <c r="F1037" s="13"/>
      <c r="G1037" s="13"/>
      <c r="H1037" s="33"/>
      <c r="I1037" s="33"/>
      <c r="J1037" s="9"/>
      <c r="K1037" s="9"/>
    </row>
    <row r="1038" spans="1:11" x14ac:dyDescent="0.2">
      <c r="A1038" s="12"/>
      <c r="B1038" s="13"/>
      <c r="C1038" s="13"/>
      <c r="D1038" s="13"/>
      <c r="E1038" s="14"/>
      <c r="F1038" s="13"/>
      <c r="G1038" s="13"/>
      <c r="H1038" s="33"/>
      <c r="I1038" s="33"/>
      <c r="J1038" s="9"/>
      <c r="K1038" s="9"/>
    </row>
    <row r="1039" spans="1:11" x14ac:dyDescent="0.2">
      <c r="A1039" s="12"/>
      <c r="B1039" s="13"/>
      <c r="C1039" s="13"/>
      <c r="D1039" s="13"/>
      <c r="E1039" s="14"/>
      <c r="F1039" s="13"/>
      <c r="G1039" s="13"/>
      <c r="H1039" s="33"/>
      <c r="I1039" s="33"/>
      <c r="J1039" s="9"/>
      <c r="K1039" s="9"/>
    </row>
    <row r="1040" spans="1:11" x14ac:dyDescent="0.2">
      <c r="A1040" s="12"/>
      <c r="B1040" s="13"/>
      <c r="C1040" s="13"/>
      <c r="D1040" s="13"/>
      <c r="E1040" s="14"/>
      <c r="F1040" s="13"/>
      <c r="G1040" s="13"/>
      <c r="H1040" s="33"/>
      <c r="I1040" s="33"/>
      <c r="J1040" s="9"/>
      <c r="K1040" s="9"/>
    </row>
    <row r="1041" spans="1:11" x14ac:dyDescent="0.2">
      <c r="A1041" s="12"/>
      <c r="B1041" s="13"/>
      <c r="C1041" s="13"/>
      <c r="D1041" s="13"/>
      <c r="E1041" s="14"/>
      <c r="F1041" s="13"/>
      <c r="G1041" s="13"/>
      <c r="H1041" s="33"/>
      <c r="I1041" s="33"/>
      <c r="J1041" s="9"/>
      <c r="K1041" s="9"/>
    </row>
    <row r="1042" spans="1:11" x14ac:dyDescent="0.2">
      <c r="A1042" s="12"/>
      <c r="B1042" s="13"/>
      <c r="C1042" s="13"/>
      <c r="D1042" s="13"/>
      <c r="E1042" s="14"/>
      <c r="F1042" s="13"/>
      <c r="G1042" s="13"/>
      <c r="H1042" s="33"/>
      <c r="I1042" s="33"/>
      <c r="J1042" s="9"/>
      <c r="K1042" s="9"/>
    </row>
    <row r="1043" spans="1:11" x14ac:dyDescent="0.2">
      <c r="A1043" s="12"/>
      <c r="B1043" s="13"/>
      <c r="C1043" s="13"/>
      <c r="D1043" s="13"/>
      <c r="E1043" s="14"/>
      <c r="F1043" s="13"/>
      <c r="G1043" s="13"/>
      <c r="H1043" s="33"/>
      <c r="I1043" s="33"/>
      <c r="J1043" s="9"/>
      <c r="K1043" s="9"/>
    </row>
    <row r="1044" spans="1:11" x14ac:dyDescent="0.2">
      <c r="A1044" s="12"/>
      <c r="B1044" s="13"/>
      <c r="C1044" s="13"/>
      <c r="D1044" s="13"/>
      <c r="E1044" s="14"/>
      <c r="F1044" s="13"/>
      <c r="G1044" s="13"/>
      <c r="H1044" s="33"/>
      <c r="I1044" s="33"/>
      <c r="J1044" s="9"/>
      <c r="K1044" s="9"/>
    </row>
    <row r="1045" spans="1:11" x14ac:dyDescent="0.2">
      <c r="A1045" s="12"/>
      <c r="B1045" s="13"/>
      <c r="C1045" s="13"/>
      <c r="D1045" s="13"/>
      <c r="E1045" s="14"/>
      <c r="F1045" s="13"/>
      <c r="G1045" s="13"/>
      <c r="H1045" s="33"/>
      <c r="I1045" s="33"/>
      <c r="J1045" s="9"/>
      <c r="K1045" s="9"/>
    </row>
    <row r="1046" spans="1:11" x14ac:dyDescent="0.2">
      <c r="A1046" s="12"/>
      <c r="B1046" s="13"/>
      <c r="C1046" s="13"/>
      <c r="D1046" s="13"/>
      <c r="E1046" s="14"/>
      <c r="F1046" s="13"/>
      <c r="G1046" s="13"/>
      <c r="H1046" s="33"/>
      <c r="I1046" s="33"/>
      <c r="J1046" s="9"/>
      <c r="K1046" s="9"/>
    </row>
    <row r="1047" spans="1:11" x14ac:dyDescent="0.2">
      <c r="A1047" s="12"/>
      <c r="B1047" s="13"/>
      <c r="C1047" s="13"/>
      <c r="D1047" s="13"/>
      <c r="E1047" s="14"/>
      <c r="F1047" s="13"/>
      <c r="G1047" s="13"/>
      <c r="H1047" s="33"/>
      <c r="I1047" s="33"/>
      <c r="J1047" s="9"/>
      <c r="K1047" s="9"/>
    </row>
    <row r="1048" spans="1:11" x14ac:dyDescent="0.2">
      <c r="A1048" s="12"/>
      <c r="B1048" s="13"/>
      <c r="C1048" s="13"/>
      <c r="D1048" s="13"/>
      <c r="E1048" s="14"/>
      <c r="F1048" s="13"/>
      <c r="G1048" s="13"/>
      <c r="H1048" s="33"/>
      <c r="I1048" s="33"/>
      <c r="J1048" s="9"/>
      <c r="K1048" s="9"/>
    </row>
    <row r="1049" spans="1:11" x14ac:dyDescent="0.2">
      <c r="A1049" s="12"/>
      <c r="B1049" s="13"/>
      <c r="C1049" s="13"/>
      <c r="D1049" s="13"/>
      <c r="E1049" s="14"/>
      <c r="F1049" s="13"/>
      <c r="G1049" s="13"/>
      <c r="H1049" s="33"/>
      <c r="I1049" s="33"/>
      <c r="J1049" s="9"/>
      <c r="K1049" s="9"/>
    </row>
    <row r="1050" spans="1:11" x14ac:dyDescent="0.2">
      <c r="A1050" s="12"/>
      <c r="B1050" s="13"/>
      <c r="C1050" s="13"/>
      <c r="D1050" s="13"/>
      <c r="E1050" s="14"/>
      <c r="F1050" s="13"/>
      <c r="G1050" s="13"/>
      <c r="H1050" s="33"/>
      <c r="I1050" s="33"/>
      <c r="J1050" s="9"/>
      <c r="K1050" s="9"/>
    </row>
    <row r="1051" spans="1:11" x14ac:dyDescent="0.2">
      <c r="A1051" s="12"/>
      <c r="B1051" s="13"/>
      <c r="C1051" s="13"/>
      <c r="D1051" s="13"/>
      <c r="E1051" s="14"/>
      <c r="F1051" s="13"/>
      <c r="G1051" s="13"/>
      <c r="H1051" s="33"/>
      <c r="I1051" s="33"/>
      <c r="J1051" s="9"/>
      <c r="K1051" s="9"/>
    </row>
    <row r="1052" spans="1:11" x14ac:dyDescent="0.2">
      <c r="A1052" s="12"/>
      <c r="B1052" s="13"/>
      <c r="C1052" s="13"/>
      <c r="D1052" s="13"/>
      <c r="E1052" s="14"/>
      <c r="F1052" s="13"/>
      <c r="G1052" s="13"/>
      <c r="H1052" s="33"/>
      <c r="I1052" s="33"/>
      <c r="J1052" s="9"/>
      <c r="K1052" s="9"/>
    </row>
    <row r="1053" spans="1:11" x14ac:dyDescent="0.2">
      <c r="A1053" s="12"/>
      <c r="B1053" s="13"/>
      <c r="C1053" s="13"/>
      <c r="D1053" s="13"/>
      <c r="E1053" s="14"/>
      <c r="F1053" s="13"/>
      <c r="G1053" s="13"/>
      <c r="H1053" s="33"/>
      <c r="I1053" s="33"/>
      <c r="J1053" s="9"/>
      <c r="K1053" s="9"/>
    </row>
    <row r="1054" spans="1:11" x14ac:dyDescent="0.2">
      <c r="A1054" s="12"/>
      <c r="B1054" s="13"/>
      <c r="C1054" s="13"/>
      <c r="D1054" s="13"/>
      <c r="E1054" s="14"/>
      <c r="F1054" s="13"/>
      <c r="G1054" s="13"/>
      <c r="H1054" s="33"/>
      <c r="I1054" s="33"/>
      <c r="J1054" s="9"/>
      <c r="K1054" s="9"/>
    </row>
    <row r="1055" spans="1:11" x14ac:dyDescent="0.2">
      <c r="A1055" s="12"/>
      <c r="B1055" s="13"/>
      <c r="C1055" s="13"/>
      <c r="D1055" s="13"/>
      <c r="E1055" s="14"/>
      <c r="F1055" s="13"/>
      <c r="G1055" s="13"/>
      <c r="H1055" s="33"/>
      <c r="I1055" s="33"/>
      <c r="J1055" s="9"/>
      <c r="K1055" s="9"/>
    </row>
    <row r="1056" spans="1:11" x14ac:dyDescent="0.2">
      <c r="A1056" s="12"/>
      <c r="B1056" s="13"/>
      <c r="C1056" s="13"/>
      <c r="D1056" s="13"/>
      <c r="E1056" s="14"/>
      <c r="F1056" s="13"/>
      <c r="G1056" s="13"/>
      <c r="H1056" s="33"/>
      <c r="I1056" s="33"/>
      <c r="J1056" s="9"/>
      <c r="K1056" s="9"/>
    </row>
    <row r="1057" spans="1:11" x14ac:dyDescent="0.2">
      <c r="A1057" s="12"/>
      <c r="B1057" s="13"/>
      <c r="C1057" s="13"/>
      <c r="D1057" s="13"/>
      <c r="E1057" s="14"/>
      <c r="F1057" s="13"/>
      <c r="G1057" s="13"/>
      <c r="H1057" s="33"/>
      <c r="I1057" s="33"/>
      <c r="J1057" s="9"/>
      <c r="K1057" s="9"/>
    </row>
    <row r="1058" spans="1:11" x14ac:dyDescent="0.2">
      <c r="A1058" s="12"/>
      <c r="B1058" s="13"/>
      <c r="C1058" s="13"/>
      <c r="D1058" s="13"/>
      <c r="E1058" s="14"/>
      <c r="F1058" s="13"/>
      <c r="G1058" s="13"/>
      <c r="H1058" s="33"/>
      <c r="I1058" s="33"/>
      <c r="J1058" s="9"/>
      <c r="K1058" s="9"/>
    </row>
    <row r="1059" spans="1:11" x14ac:dyDescent="0.2">
      <c r="A1059" s="12"/>
      <c r="B1059" s="13"/>
      <c r="C1059" s="13"/>
      <c r="D1059" s="13"/>
      <c r="E1059" s="14"/>
      <c r="F1059" s="13"/>
      <c r="G1059" s="13"/>
      <c r="H1059" s="33"/>
      <c r="I1059" s="33"/>
      <c r="J1059" s="9"/>
      <c r="K1059" s="9"/>
    </row>
    <row r="1060" spans="1:11" x14ac:dyDescent="0.2">
      <c r="A1060" s="12"/>
      <c r="B1060" s="13"/>
      <c r="C1060" s="13"/>
      <c r="D1060" s="13"/>
      <c r="E1060" s="14"/>
      <c r="F1060" s="13"/>
      <c r="G1060" s="13"/>
      <c r="H1060" s="33"/>
      <c r="I1060" s="33"/>
      <c r="J1060" s="9"/>
      <c r="K1060" s="9"/>
    </row>
    <row r="1061" spans="1:11" x14ac:dyDescent="0.2">
      <c r="A1061" s="12"/>
      <c r="B1061" s="13"/>
      <c r="C1061" s="13"/>
      <c r="D1061" s="13"/>
      <c r="E1061" s="14"/>
      <c r="F1061" s="13"/>
      <c r="G1061" s="13"/>
      <c r="H1061" s="33"/>
      <c r="I1061" s="33"/>
      <c r="J1061" s="9"/>
      <c r="K1061" s="9"/>
    </row>
    <row r="1062" spans="1:11" x14ac:dyDescent="0.2">
      <c r="A1062" s="12"/>
      <c r="B1062" s="13"/>
      <c r="C1062" s="13"/>
      <c r="D1062" s="13"/>
      <c r="E1062" s="14"/>
      <c r="F1062" s="13"/>
      <c r="G1062" s="13"/>
      <c r="H1062" s="33"/>
      <c r="I1062" s="33"/>
      <c r="J1062" s="9"/>
      <c r="K1062" s="9"/>
    </row>
    <row r="1063" spans="1:11" x14ac:dyDescent="0.2">
      <c r="A1063" s="12"/>
      <c r="B1063" s="13"/>
      <c r="C1063" s="13"/>
      <c r="D1063" s="13"/>
      <c r="E1063" s="14"/>
      <c r="F1063" s="13"/>
      <c r="G1063" s="13"/>
      <c r="H1063" s="33"/>
      <c r="I1063" s="33"/>
      <c r="J1063" s="9"/>
      <c r="K1063" s="9"/>
    </row>
    <row r="1064" spans="1:11" x14ac:dyDescent="0.2">
      <c r="A1064" s="12"/>
      <c r="B1064" s="13"/>
      <c r="C1064" s="13"/>
      <c r="D1064" s="13"/>
      <c r="E1064" s="14"/>
      <c r="F1064" s="13"/>
      <c r="G1064" s="13"/>
      <c r="H1064" s="33"/>
      <c r="I1064" s="33"/>
      <c r="J1064" s="9"/>
      <c r="K1064" s="9"/>
    </row>
    <row r="1065" spans="1:11" x14ac:dyDescent="0.2">
      <c r="A1065" s="12"/>
      <c r="B1065" s="13"/>
      <c r="C1065" s="13"/>
      <c r="D1065" s="13"/>
      <c r="E1065" s="14"/>
      <c r="F1065" s="13"/>
      <c r="G1065" s="13"/>
      <c r="H1065" s="33"/>
      <c r="I1065" s="33"/>
      <c r="J1065" s="9"/>
      <c r="K1065" s="9"/>
    </row>
    <row r="1066" spans="1:11" x14ac:dyDescent="0.2">
      <c r="A1066" s="12"/>
      <c r="B1066" s="13"/>
      <c r="C1066" s="13"/>
      <c r="D1066" s="13"/>
      <c r="E1066" s="14"/>
      <c r="F1066" s="13"/>
      <c r="G1066" s="13"/>
      <c r="H1066" s="33"/>
      <c r="I1066" s="33"/>
      <c r="J1066" s="9"/>
      <c r="K1066" s="9"/>
    </row>
    <row r="1067" spans="1:11" x14ac:dyDescent="0.2">
      <c r="A1067" s="12"/>
      <c r="B1067" s="13"/>
      <c r="C1067" s="13"/>
      <c r="D1067" s="13"/>
      <c r="E1067" s="14"/>
      <c r="F1067" s="13"/>
      <c r="G1067" s="13"/>
      <c r="H1067" s="33"/>
      <c r="I1067" s="33"/>
      <c r="J1067" s="9"/>
      <c r="K1067" s="9"/>
    </row>
    <row r="1068" spans="1:11" x14ac:dyDescent="0.2">
      <c r="A1068" s="12"/>
      <c r="B1068" s="13"/>
      <c r="C1068" s="13"/>
      <c r="D1068" s="13"/>
      <c r="E1068" s="14"/>
      <c r="F1068" s="13"/>
      <c r="G1068" s="13"/>
      <c r="H1068" s="33"/>
      <c r="I1068" s="33"/>
      <c r="J1068" s="9"/>
      <c r="K1068" s="9"/>
    </row>
    <row r="1069" spans="1:11" x14ac:dyDescent="0.2">
      <c r="A1069" s="12"/>
      <c r="B1069" s="13"/>
      <c r="C1069" s="13"/>
      <c r="D1069" s="13"/>
      <c r="E1069" s="14"/>
      <c r="F1069" s="13"/>
      <c r="G1069" s="13"/>
      <c r="H1069" s="33"/>
      <c r="I1069" s="33"/>
      <c r="J1069" s="9"/>
      <c r="K1069" s="9"/>
    </row>
    <row r="1070" spans="1:11" x14ac:dyDescent="0.2">
      <c r="A1070" s="12"/>
      <c r="B1070" s="13"/>
      <c r="C1070" s="13"/>
      <c r="D1070" s="13"/>
      <c r="E1070" s="14"/>
      <c r="F1070" s="13"/>
      <c r="G1070" s="13"/>
      <c r="H1070" s="33"/>
      <c r="I1070" s="33"/>
      <c r="J1070" s="9"/>
      <c r="K1070" s="9"/>
    </row>
    <row r="1071" spans="1:11" x14ac:dyDescent="0.2">
      <c r="A1071" s="12"/>
      <c r="B1071" s="13"/>
      <c r="C1071" s="13"/>
      <c r="D1071" s="13"/>
      <c r="E1071" s="14"/>
      <c r="F1071" s="13"/>
      <c r="G1071" s="13"/>
      <c r="H1071" s="33"/>
      <c r="I1071" s="33"/>
      <c r="J1071" s="9"/>
      <c r="K1071" s="9"/>
    </row>
    <row r="1072" spans="1:11" x14ac:dyDescent="0.2">
      <c r="A1072" s="12"/>
      <c r="B1072" s="13"/>
      <c r="C1072" s="13"/>
      <c r="D1072" s="13"/>
      <c r="E1072" s="14"/>
      <c r="F1072" s="13"/>
      <c r="G1072" s="13"/>
      <c r="H1072" s="33"/>
      <c r="I1072" s="33"/>
      <c r="J1072" s="9"/>
      <c r="K1072" s="9"/>
    </row>
    <row r="1073" spans="1:11" x14ac:dyDescent="0.2">
      <c r="A1073" s="12"/>
      <c r="B1073" s="13"/>
      <c r="C1073" s="13"/>
      <c r="D1073" s="13"/>
      <c r="E1073" s="14"/>
      <c r="F1073" s="13"/>
      <c r="G1073" s="13"/>
      <c r="H1073" s="33"/>
      <c r="I1073" s="33"/>
      <c r="J1073" s="9"/>
      <c r="K1073" s="9"/>
    </row>
    <row r="1074" spans="1:11" x14ac:dyDescent="0.2">
      <c r="A1074" s="12"/>
      <c r="B1074" s="13"/>
      <c r="C1074" s="13"/>
      <c r="D1074" s="13"/>
      <c r="E1074" s="14"/>
      <c r="F1074" s="13"/>
      <c r="G1074" s="13"/>
      <c r="H1074" s="33"/>
      <c r="I1074" s="33"/>
      <c r="J1074" s="9"/>
      <c r="K1074" s="9"/>
    </row>
    <row r="1075" spans="1:11" x14ac:dyDescent="0.2">
      <c r="A1075" s="12"/>
      <c r="B1075" s="13"/>
      <c r="C1075" s="13"/>
      <c r="D1075" s="13"/>
      <c r="E1075" s="14"/>
      <c r="F1075" s="13"/>
      <c r="G1075" s="13"/>
      <c r="H1075" s="33"/>
      <c r="I1075" s="33"/>
      <c r="J1075" s="9"/>
      <c r="K1075" s="9"/>
    </row>
    <row r="1076" spans="1:11" x14ac:dyDescent="0.2">
      <c r="A1076" s="12"/>
      <c r="B1076" s="13"/>
      <c r="C1076" s="13"/>
      <c r="D1076" s="13"/>
      <c r="E1076" s="14"/>
      <c r="F1076" s="13"/>
      <c r="G1076" s="13"/>
      <c r="H1076" s="33"/>
      <c r="I1076" s="33"/>
      <c r="J1076" s="9"/>
      <c r="K1076" s="9"/>
    </row>
    <row r="1077" spans="1:11" x14ac:dyDescent="0.2">
      <c r="A1077" s="12"/>
      <c r="B1077" s="13"/>
      <c r="C1077" s="13"/>
      <c r="D1077" s="13"/>
      <c r="E1077" s="14"/>
      <c r="F1077" s="13"/>
      <c r="G1077" s="13"/>
      <c r="H1077" s="33"/>
      <c r="I1077" s="33"/>
      <c r="J1077" s="9"/>
      <c r="K1077" s="9"/>
    </row>
    <row r="1078" spans="1:11" x14ac:dyDescent="0.2">
      <c r="A1078" s="12"/>
      <c r="B1078" s="13"/>
      <c r="C1078" s="13"/>
      <c r="D1078" s="13"/>
      <c r="E1078" s="14"/>
      <c r="F1078" s="13"/>
      <c r="G1078" s="13"/>
      <c r="H1078" s="33"/>
      <c r="I1078" s="33"/>
      <c r="J1078" s="9"/>
      <c r="K1078" s="9"/>
    </row>
    <row r="1079" spans="1:11" x14ac:dyDescent="0.2">
      <c r="A1079" s="12"/>
      <c r="B1079" s="13"/>
      <c r="C1079" s="13"/>
      <c r="D1079" s="13"/>
      <c r="E1079" s="14"/>
      <c r="F1079" s="13"/>
      <c r="G1079" s="13"/>
      <c r="H1079" s="33"/>
      <c r="I1079" s="33"/>
      <c r="J1079" s="9"/>
      <c r="K1079" s="9"/>
    </row>
    <row r="1080" spans="1:11" x14ac:dyDescent="0.2">
      <c r="A1080" s="12"/>
      <c r="B1080" s="13"/>
      <c r="C1080" s="13"/>
      <c r="D1080" s="13"/>
      <c r="E1080" s="14"/>
      <c r="F1080" s="13"/>
      <c r="G1080" s="13"/>
      <c r="H1080" s="33"/>
      <c r="I1080" s="33"/>
      <c r="J1080" s="9"/>
      <c r="K1080" s="9"/>
    </row>
    <row r="1081" spans="1:11" x14ac:dyDescent="0.2">
      <c r="A1081" s="12"/>
      <c r="B1081" s="13"/>
      <c r="C1081" s="13"/>
      <c r="D1081" s="13"/>
      <c r="E1081" s="14"/>
      <c r="F1081" s="13"/>
      <c r="G1081" s="13"/>
      <c r="H1081" s="33"/>
      <c r="I1081" s="33"/>
      <c r="J1081" s="9"/>
      <c r="K1081" s="9"/>
    </row>
    <row r="1082" spans="1:11" x14ac:dyDescent="0.2">
      <c r="A1082" s="12"/>
      <c r="B1082" s="13"/>
      <c r="C1082" s="13"/>
      <c r="D1082" s="13"/>
      <c r="E1082" s="14"/>
      <c r="F1082" s="13"/>
      <c r="G1082" s="13"/>
      <c r="H1082" s="33"/>
      <c r="I1082" s="33"/>
      <c r="J1082" s="9"/>
      <c r="K1082" s="9"/>
    </row>
    <row r="1083" spans="1:11" x14ac:dyDescent="0.2">
      <c r="A1083" s="12"/>
      <c r="B1083" s="13"/>
      <c r="C1083" s="13"/>
      <c r="D1083" s="13"/>
      <c r="E1083" s="14"/>
      <c r="F1083" s="13"/>
      <c r="G1083" s="13"/>
      <c r="H1083" s="33"/>
      <c r="I1083" s="33"/>
      <c r="J1083" s="9"/>
      <c r="K1083" s="9"/>
    </row>
    <row r="1084" spans="1:11" x14ac:dyDescent="0.2">
      <c r="A1084" s="12"/>
      <c r="B1084" s="13"/>
      <c r="C1084" s="13"/>
      <c r="D1084" s="13"/>
      <c r="E1084" s="14"/>
      <c r="F1084" s="13"/>
      <c r="G1084" s="13"/>
      <c r="H1084" s="33"/>
      <c r="I1084" s="33"/>
      <c r="J1084" s="9"/>
      <c r="K1084" s="9"/>
    </row>
    <row r="1085" spans="1:11" x14ac:dyDescent="0.2">
      <c r="A1085" s="12"/>
      <c r="B1085" s="13"/>
      <c r="C1085" s="13"/>
      <c r="D1085" s="13"/>
      <c r="E1085" s="14"/>
      <c r="F1085" s="13"/>
      <c r="G1085" s="13"/>
      <c r="H1085" s="33"/>
      <c r="I1085" s="33"/>
      <c r="J1085" s="9"/>
      <c r="K1085" s="9"/>
    </row>
    <row r="1086" spans="1:11" x14ac:dyDescent="0.2">
      <c r="A1086" s="12"/>
      <c r="B1086" s="13"/>
      <c r="C1086" s="13"/>
      <c r="D1086" s="13"/>
      <c r="E1086" s="14"/>
      <c r="F1086" s="13"/>
      <c r="G1086" s="13"/>
      <c r="H1086" s="33"/>
      <c r="I1086" s="33"/>
      <c r="J1086" s="9"/>
      <c r="K1086" s="9"/>
    </row>
    <row r="1087" spans="1:11" x14ac:dyDescent="0.2">
      <c r="A1087" s="12"/>
      <c r="B1087" s="13"/>
      <c r="C1087" s="13"/>
      <c r="D1087" s="13"/>
      <c r="E1087" s="14"/>
      <c r="F1087" s="13"/>
      <c r="G1087" s="13"/>
      <c r="H1087" s="33"/>
      <c r="I1087" s="33"/>
      <c r="J1087" s="9"/>
      <c r="K1087" s="9"/>
    </row>
    <row r="1088" spans="1:11" x14ac:dyDescent="0.2">
      <c r="A1088" s="12"/>
      <c r="B1088" s="13"/>
      <c r="C1088" s="13"/>
      <c r="D1088" s="13"/>
      <c r="E1088" s="14"/>
      <c r="F1088" s="13"/>
      <c r="G1088" s="13"/>
      <c r="H1088" s="33"/>
      <c r="I1088" s="33"/>
      <c r="J1088" s="9"/>
      <c r="K1088" s="9"/>
    </row>
    <row r="1089" spans="1:11" x14ac:dyDescent="0.2">
      <c r="A1089" s="12"/>
      <c r="B1089" s="13"/>
      <c r="C1089" s="13"/>
      <c r="D1089" s="13"/>
      <c r="E1089" s="14"/>
      <c r="F1089" s="13"/>
      <c r="G1089" s="13"/>
      <c r="H1089" s="33"/>
      <c r="I1089" s="33"/>
      <c r="J1089" s="9"/>
      <c r="K1089" s="9"/>
    </row>
    <row r="1090" spans="1:11" x14ac:dyDescent="0.2">
      <c r="A1090" s="12"/>
      <c r="B1090" s="13"/>
      <c r="C1090" s="13"/>
      <c r="D1090" s="13"/>
      <c r="E1090" s="14"/>
      <c r="F1090" s="13"/>
      <c r="G1090" s="13"/>
      <c r="H1090" s="33"/>
      <c r="I1090" s="33"/>
      <c r="J1090" s="9"/>
      <c r="K1090" s="9"/>
    </row>
    <row r="1091" spans="1:11" x14ac:dyDescent="0.2">
      <c r="A1091" s="12"/>
      <c r="B1091" s="13"/>
      <c r="C1091" s="13"/>
      <c r="D1091" s="13"/>
      <c r="E1091" s="14"/>
      <c r="F1091" s="13"/>
      <c r="G1091" s="13"/>
      <c r="H1091" s="33"/>
      <c r="I1091" s="33"/>
      <c r="J1091" s="9"/>
      <c r="K1091" s="9"/>
    </row>
    <row r="1092" spans="1:11" x14ac:dyDescent="0.2">
      <c r="A1092" s="12"/>
      <c r="B1092" s="13"/>
      <c r="C1092" s="13"/>
      <c r="D1092" s="13"/>
      <c r="E1092" s="14"/>
      <c r="F1092" s="13"/>
      <c r="G1092" s="13"/>
      <c r="H1092" s="33"/>
      <c r="I1092" s="33"/>
      <c r="J1092" s="9"/>
      <c r="K1092" s="9"/>
    </row>
    <row r="1093" spans="1:11" x14ac:dyDescent="0.2">
      <c r="A1093" s="12"/>
      <c r="B1093" s="13"/>
      <c r="C1093" s="13"/>
      <c r="D1093" s="13"/>
      <c r="E1093" s="14"/>
      <c r="F1093" s="13"/>
      <c r="G1093" s="13"/>
      <c r="H1093" s="33"/>
      <c r="I1093" s="33"/>
      <c r="J1093" s="9"/>
      <c r="K1093" s="9"/>
    </row>
    <row r="1094" spans="1:11" x14ac:dyDescent="0.2">
      <c r="A1094" s="12"/>
      <c r="B1094" s="13"/>
      <c r="C1094" s="13"/>
      <c r="D1094" s="13"/>
      <c r="E1094" s="14"/>
      <c r="F1094" s="13"/>
      <c r="G1094" s="13"/>
      <c r="H1094" s="33"/>
      <c r="I1094" s="33"/>
      <c r="J1094" s="9"/>
      <c r="K1094" s="9"/>
    </row>
    <row r="1095" spans="1:11" x14ac:dyDescent="0.2">
      <c r="A1095" s="12"/>
      <c r="B1095" s="13"/>
      <c r="C1095" s="13"/>
      <c r="D1095" s="13"/>
      <c r="E1095" s="14"/>
      <c r="F1095" s="13"/>
      <c r="G1095" s="13"/>
      <c r="H1095" s="33"/>
      <c r="I1095" s="33"/>
      <c r="J1095" s="9"/>
      <c r="K1095" s="9"/>
    </row>
    <row r="1096" spans="1:11" x14ac:dyDescent="0.2">
      <c r="A1096" s="12"/>
      <c r="B1096" s="13"/>
      <c r="C1096" s="13"/>
      <c r="D1096" s="13"/>
      <c r="E1096" s="14"/>
      <c r="F1096" s="13"/>
      <c r="G1096" s="13"/>
      <c r="H1096" s="33"/>
      <c r="I1096" s="33"/>
      <c r="J1096" s="9"/>
      <c r="K1096" s="9"/>
    </row>
    <row r="1097" spans="1:11" x14ac:dyDescent="0.2">
      <c r="A1097" s="12"/>
      <c r="B1097" s="13"/>
      <c r="C1097" s="13"/>
      <c r="D1097" s="13"/>
      <c r="E1097" s="14"/>
      <c r="F1097" s="13"/>
      <c r="G1097" s="13"/>
      <c r="H1097" s="33"/>
      <c r="I1097" s="33"/>
      <c r="J1097" s="9"/>
      <c r="K1097" s="9"/>
    </row>
    <row r="1098" spans="1:11" x14ac:dyDescent="0.2">
      <c r="A1098" s="12"/>
      <c r="B1098" s="13"/>
      <c r="C1098" s="13"/>
      <c r="D1098" s="13"/>
      <c r="E1098" s="14"/>
      <c r="F1098" s="13"/>
      <c r="G1098" s="13"/>
      <c r="H1098" s="33"/>
      <c r="I1098" s="33"/>
      <c r="J1098" s="9"/>
      <c r="K1098" s="9"/>
    </row>
    <row r="1099" spans="1:11" x14ac:dyDescent="0.2">
      <c r="A1099" s="12"/>
      <c r="B1099" s="13"/>
      <c r="C1099" s="13"/>
      <c r="D1099" s="13"/>
      <c r="E1099" s="14"/>
      <c r="F1099" s="13"/>
      <c r="G1099" s="13"/>
      <c r="H1099" s="33"/>
      <c r="I1099" s="33"/>
      <c r="J1099" s="9"/>
      <c r="K1099" s="9"/>
    </row>
    <row r="1100" spans="1:11" x14ac:dyDescent="0.2">
      <c r="A1100" s="12"/>
      <c r="B1100" s="13"/>
      <c r="C1100" s="13"/>
      <c r="D1100" s="13"/>
      <c r="E1100" s="14"/>
      <c r="F1100" s="13"/>
      <c r="G1100" s="13"/>
      <c r="H1100" s="33"/>
      <c r="I1100" s="33"/>
      <c r="J1100" s="9"/>
      <c r="K1100" s="9"/>
    </row>
    <row r="1101" spans="1:11" x14ac:dyDescent="0.2">
      <c r="A1101" s="12"/>
      <c r="B1101" s="13"/>
      <c r="C1101" s="13"/>
      <c r="D1101" s="13"/>
      <c r="E1101" s="14"/>
      <c r="F1101" s="13"/>
      <c r="G1101" s="13"/>
      <c r="H1101" s="33"/>
      <c r="I1101" s="33"/>
      <c r="J1101" s="9"/>
      <c r="K1101" s="9"/>
    </row>
    <row r="1102" spans="1:11" x14ac:dyDescent="0.2">
      <c r="A1102" s="12"/>
      <c r="B1102" s="13"/>
      <c r="C1102" s="13"/>
      <c r="D1102" s="13"/>
      <c r="E1102" s="14"/>
      <c r="F1102" s="13"/>
      <c r="G1102" s="13"/>
      <c r="H1102" s="33"/>
      <c r="I1102" s="33"/>
      <c r="J1102" s="9"/>
      <c r="K1102" s="9"/>
    </row>
    <row r="1103" spans="1:11" x14ac:dyDescent="0.2">
      <c r="A1103" s="12"/>
      <c r="B1103" s="13"/>
      <c r="C1103" s="13"/>
      <c r="D1103" s="13"/>
      <c r="E1103" s="14"/>
      <c r="F1103" s="13"/>
      <c r="G1103" s="13"/>
      <c r="H1103" s="33"/>
      <c r="I1103" s="33"/>
      <c r="J1103" s="9"/>
      <c r="K1103" s="9"/>
    </row>
    <row r="1104" spans="1:11" x14ac:dyDescent="0.2">
      <c r="A1104" s="12"/>
      <c r="B1104" s="13"/>
      <c r="C1104" s="13"/>
      <c r="D1104" s="13"/>
      <c r="E1104" s="14"/>
      <c r="F1104" s="13"/>
      <c r="G1104" s="13"/>
      <c r="H1104" s="33"/>
      <c r="I1104" s="33"/>
      <c r="J1104" s="9"/>
      <c r="K1104" s="9"/>
    </row>
    <row r="1105" spans="1:11" x14ac:dyDescent="0.2">
      <c r="A1105" s="12"/>
      <c r="B1105" s="13"/>
      <c r="C1105" s="13"/>
      <c r="D1105" s="13"/>
      <c r="E1105" s="14"/>
      <c r="F1105" s="13"/>
      <c r="G1105" s="13"/>
      <c r="H1105" s="33"/>
      <c r="I1105" s="33"/>
      <c r="J1105" s="9"/>
      <c r="K1105" s="9"/>
    </row>
    <row r="1106" spans="1:11" x14ac:dyDescent="0.2">
      <c r="A1106" s="12"/>
      <c r="B1106" s="13"/>
      <c r="C1106" s="13"/>
      <c r="D1106" s="13"/>
      <c r="E1106" s="14"/>
      <c r="F1106" s="13"/>
      <c r="G1106" s="13"/>
      <c r="H1106" s="33"/>
      <c r="I1106" s="33"/>
      <c r="J1106" s="9"/>
      <c r="K1106" s="9"/>
    </row>
    <row r="1107" spans="1:11" x14ac:dyDescent="0.2">
      <c r="A1107" s="12"/>
      <c r="B1107" s="13"/>
      <c r="C1107" s="13"/>
      <c r="D1107" s="13"/>
      <c r="E1107" s="14"/>
      <c r="F1107" s="13"/>
      <c r="G1107" s="13"/>
      <c r="H1107" s="33"/>
      <c r="I1107" s="33"/>
      <c r="J1107" s="9"/>
      <c r="K1107" s="9"/>
    </row>
    <row r="1108" spans="1:11" x14ac:dyDescent="0.2">
      <c r="A1108" s="12"/>
      <c r="B1108" s="13"/>
      <c r="C1108" s="13"/>
      <c r="D1108" s="13"/>
      <c r="E1108" s="14"/>
      <c r="F1108" s="13"/>
      <c r="G1108" s="13"/>
      <c r="H1108" s="33"/>
      <c r="I1108" s="33"/>
      <c r="J1108" s="9"/>
      <c r="K1108" s="9"/>
    </row>
    <row r="1109" spans="1:11" x14ac:dyDescent="0.2">
      <c r="A1109" s="12"/>
      <c r="B1109" s="13"/>
      <c r="C1109" s="13"/>
      <c r="D1109" s="13"/>
      <c r="E1109" s="14"/>
      <c r="F1109" s="13"/>
      <c r="G1109" s="13"/>
      <c r="H1109" s="33"/>
      <c r="I1109" s="33"/>
      <c r="J1109" s="9"/>
      <c r="K1109" s="9"/>
    </row>
    <row r="1110" spans="1:11" x14ac:dyDescent="0.2">
      <c r="A1110" s="12"/>
      <c r="B1110" s="13"/>
      <c r="C1110" s="13"/>
      <c r="D1110" s="13"/>
      <c r="E1110" s="14"/>
      <c r="F1110" s="13"/>
      <c r="G1110" s="13"/>
      <c r="H1110" s="33"/>
      <c r="I1110" s="33"/>
      <c r="J1110" s="9"/>
      <c r="K1110" s="9"/>
    </row>
    <row r="1111" spans="1:11" x14ac:dyDescent="0.2">
      <c r="A1111" s="12"/>
      <c r="B1111" s="13"/>
      <c r="C1111" s="13"/>
      <c r="D1111" s="13"/>
      <c r="E1111" s="14"/>
      <c r="F1111" s="13"/>
      <c r="G1111" s="13"/>
      <c r="H1111" s="33"/>
      <c r="I1111" s="33"/>
      <c r="J1111" s="9"/>
      <c r="K1111" s="9"/>
    </row>
    <row r="1112" spans="1:11" x14ac:dyDescent="0.2">
      <c r="A1112" s="12"/>
      <c r="B1112" s="13"/>
      <c r="C1112" s="13"/>
      <c r="D1112" s="13"/>
      <c r="E1112" s="14"/>
      <c r="F1112" s="13"/>
      <c r="G1112" s="13"/>
      <c r="H1112" s="33"/>
      <c r="I1112" s="33"/>
      <c r="J1112" s="9"/>
      <c r="K1112" s="9"/>
    </row>
    <row r="1113" spans="1:11" x14ac:dyDescent="0.2">
      <c r="A1113" s="12"/>
      <c r="B1113" s="13"/>
      <c r="C1113" s="13"/>
      <c r="D1113" s="13"/>
      <c r="E1113" s="14"/>
      <c r="F1113" s="13"/>
      <c r="G1113" s="13"/>
      <c r="H1113" s="33"/>
      <c r="I1113" s="33"/>
      <c r="J1113" s="9"/>
      <c r="K1113" s="9"/>
    </row>
    <row r="1114" spans="1:11" x14ac:dyDescent="0.2">
      <c r="A1114" s="12"/>
      <c r="B1114" s="13"/>
      <c r="C1114" s="13"/>
      <c r="D1114" s="13"/>
      <c r="E1114" s="14"/>
      <c r="F1114" s="13"/>
      <c r="G1114" s="13"/>
      <c r="H1114" s="33"/>
      <c r="I1114" s="33"/>
      <c r="J1114" s="9"/>
      <c r="K1114" s="9"/>
    </row>
    <row r="1115" spans="1:11" x14ac:dyDescent="0.2">
      <c r="A1115" s="12"/>
      <c r="B1115" s="13"/>
      <c r="C1115" s="13"/>
      <c r="D1115" s="13"/>
      <c r="E1115" s="14"/>
      <c r="F1115" s="13"/>
      <c r="G1115" s="13"/>
      <c r="H1115" s="33"/>
      <c r="I1115" s="33"/>
      <c r="J1115" s="9"/>
      <c r="K1115" s="9"/>
    </row>
    <row r="1116" spans="1:11" x14ac:dyDescent="0.2">
      <c r="A1116" s="12"/>
      <c r="B1116" s="13"/>
      <c r="C1116" s="13"/>
      <c r="D1116" s="13"/>
      <c r="E1116" s="14"/>
      <c r="F1116" s="13"/>
      <c r="G1116" s="13"/>
      <c r="H1116" s="33"/>
      <c r="I1116" s="33"/>
      <c r="J1116" s="9"/>
      <c r="K1116" s="9"/>
    </row>
    <row r="1117" spans="1:11" x14ac:dyDescent="0.2">
      <c r="A1117" s="12"/>
      <c r="B1117" s="13"/>
      <c r="C1117" s="13"/>
      <c r="D1117" s="13"/>
      <c r="E1117" s="14"/>
      <c r="F1117" s="13"/>
      <c r="G1117" s="13"/>
      <c r="H1117" s="33"/>
      <c r="I1117" s="33"/>
      <c r="J1117" s="9"/>
      <c r="K1117" s="9"/>
    </row>
    <row r="1118" spans="1:11" x14ac:dyDescent="0.2">
      <c r="A1118" s="12"/>
      <c r="B1118" s="13"/>
      <c r="C1118" s="13"/>
      <c r="D1118" s="13"/>
      <c r="E1118" s="14"/>
      <c r="F1118" s="13"/>
      <c r="G1118" s="13"/>
      <c r="H1118" s="33"/>
      <c r="I1118" s="33"/>
      <c r="J1118" s="9"/>
      <c r="K1118" s="9"/>
    </row>
    <row r="1119" spans="1:11" x14ac:dyDescent="0.2">
      <c r="A1119" s="12"/>
      <c r="B1119" s="13"/>
      <c r="C1119" s="13"/>
      <c r="D1119" s="13"/>
      <c r="E1119" s="14"/>
      <c r="F1119" s="13"/>
      <c r="G1119" s="13"/>
      <c r="H1119" s="33"/>
      <c r="I1119" s="33"/>
      <c r="J1119" s="9"/>
      <c r="K1119" s="9"/>
    </row>
    <row r="1120" spans="1:11" x14ac:dyDescent="0.2">
      <c r="A1120" s="12"/>
      <c r="B1120" s="13"/>
      <c r="C1120" s="13"/>
      <c r="D1120" s="13"/>
      <c r="E1120" s="14"/>
      <c r="F1120" s="13"/>
      <c r="G1120" s="13"/>
      <c r="H1120" s="33"/>
      <c r="I1120" s="33"/>
      <c r="J1120" s="9"/>
      <c r="K1120" s="9"/>
    </row>
    <row r="1121" spans="1:11" x14ac:dyDescent="0.2">
      <c r="A1121" s="12"/>
      <c r="B1121" s="13"/>
      <c r="C1121" s="13"/>
      <c r="D1121" s="13"/>
      <c r="E1121" s="14"/>
      <c r="F1121" s="13"/>
      <c r="G1121" s="13"/>
      <c r="H1121" s="33"/>
      <c r="I1121" s="33"/>
      <c r="J1121" s="9"/>
      <c r="K1121" s="9"/>
    </row>
    <row r="1122" spans="1:11" x14ac:dyDescent="0.2">
      <c r="A1122" s="12"/>
      <c r="B1122" s="13"/>
      <c r="C1122" s="13"/>
      <c r="D1122" s="13"/>
      <c r="E1122" s="14"/>
      <c r="F1122" s="13"/>
      <c r="G1122" s="13"/>
      <c r="H1122" s="33"/>
      <c r="I1122" s="33"/>
      <c r="J1122" s="9"/>
      <c r="K1122" s="9"/>
    </row>
    <row r="1123" spans="1:11" x14ac:dyDescent="0.2">
      <c r="A1123" s="12"/>
      <c r="B1123" s="13"/>
      <c r="C1123" s="13"/>
      <c r="D1123" s="13"/>
      <c r="E1123" s="14"/>
      <c r="F1123" s="13"/>
      <c r="G1123" s="13"/>
      <c r="H1123" s="33"/>
      <c r="I1123" s="33"/>
      <c r="J1123" s="9"/>
      <c r="K1123" s="9"/>
    </row>
    <row r="1124" spans="1:11" x14ac:dyDescent="0.2">
      <c r="A1124" s="12"/>
      <c r="B1124" s="13"/>
      <c r="C1124" s="13"/>
      <c r="D1124" s="13"/>
      <c r="E1124" s="14"/>
      <c r="F1124" s="13"/>
      <c r="G1124" s="13"/>
      <c r="H1124" s="33"/>
      <c r="I1124" s="33"/>
      <c r="J1124" s="9"/>
      <c r="K1124" s="9"/>
    </row>
    <row r="1125" spans="1:11" x14ac:dyDescent="0.2">
      <c r="A1125" s="12"/>
      <c r="B1125" s="13"/>
      <c r="C1125" s="13"/>
      <c r="D1125" s="13"/>
      <c r="E1125" s="14"/>
      <c r="F1125" s="13"/>
      <c r="G1125" s="13"/>
      <c r="H1125" s="33"/>
      <c r="I1125" s="33"/>
      <c r="J1125" s="9"/>
      <c r="K1125" s="9"/>
    </row>
    <row r="1126" spans="1:11" x14ac:dyDescent="0.2">
      <c r="A1126" s="12"/>
      <c r="B1126" s="13"/>
      <c r="C1126" s="13"/>
      <c r="D1126" s="13"/>
      <c r="E1126" s="14"/>
      <c r="F1126" s="13"/>
      <c r="G1126" s="13"/>
      <c r="H1126" s="33"/>
      <c r="I1126" s="33"/>
      <c r="J1126" s="9"/>
      <c r="K1126" s="9"/>
    </row>
    <row r="1127" spans="1:11" x14ac:dyDescent="0.2">
      <c r="A1127" s="12"/>
      <c r="B1127" s="13"/>
      <c r="C1127" s="13"/>
      <c r="D1127" s="13"/>
      <c r="E1127" s="14"/>
      <c r="F1127" s="13"/>
      <c r="G1127" s="13"/>
      <c r="H1127" s="33"/>
      <c r="I1127" s="33"/>
      <c r="J1127" s="9"/>
      <c r="K1127" s="9"/>
    </row>
    <row r="1128" spans="1:11" x14ac:dyDescent="0.2">
      <c r="A1128" s="12"/>
      <c r="B1128" s="13"/>
      <c r="C1128" s="13"/>
      <c r="D1128" s="13"/>
      <c r="E1128" s="14"/>
      <c r="F1128" s="13"/>
      <c r="G1128" s="13"/>
      <c r="H1128" s="33"/>
      <c r="I1128" s="33"/>
      <c r="J1128" s="9"/>
      <c r="K1128" s="9"/>
    </row>
    <row r="1129" spans="1:11" x14ac:dyDescent="0.2">
      <c r="A1129" s="12"/>
      <c r="B1129" s="13"/>
      <c r="C1129" s="13"/>
      <c r="D1129" s="13"/>
      <c r="E1129" s="14"/>
      <c r="F1129" s="13"/>
      <c r="G1129" s="13"/>
      <c r="H1129" s="33"/>
      <c r="I1129" s="33"/>
      <c r="J1129" s="9"/>
      <c r="K1129" s="9"/>
    </row>
    <row r="1130" spans="1:11" x14ac:dyDescent="0.2">
      <c r="A1130" s="12"/>
      <c r="B1130" s="13"/>
      <c r="C1130" s="13"/>
      <c r="D1130" s="13"/>
      <c r="E1130" s="14"/>
      <c r="F1130" s="13"/>
      <c r="G1130" s="13"/>
      <c r="H1130" s="33"/>
      <c r="I1130" s="33"/>
      <c r="J1130" s="9"/>
      <c r="K1130" s="9"/>
    </row>
    <row r="1131" spans="1:11" x14ac:dyDescent="0.2">
      <c r="A1131" s="12"/>
      <c r="B1131" s="13"/>
      <c r="C1131" s="13"/>
      <c r="D1131" s="13"/>
      <c r="E1131" s="14"/>
      <c r="F1131" s="13"/>
      <c r="G1131" s="13"/>
      <c r="H1131" s="33"/>
      <c r="I1131" s="33"/>
      <c r="J1131" s="9"/>
      <c r="K1131" s="9"/>
    </row>
    <row r="1132" spans="1:11" x14ac:dyDescent="0.2">
      <c r="A1132" s="12"/>
      <c r="B1132" s="13"/>
      <c r="C1132" s="13"/>
      <c r="D1132" s="13"/>
      <c r="E1132" s="14"/>
      <c r="F1132" s="13"/>
      <c r="G1132" s="13"/>
      <c r="H1132" s="33"/>
      <c r="I1132" s="33"/>
      <c r="J1132" s="9"/>
      <c r="K1132" s="9"/>
    </row>
    <row r="1133" spans="1:11" x14ac:dyDescent="0.2">
      <c r="A1133" s="12"/>
      <c r="B1133" s="13"/>
      <c r="C1133" s="13"/>
      <c r="D1133" s="13"/>
      <c r="E1133" s="14"/>
      <c r="F1133" s="13"/>
      <c r="G1133" s="13"/>
      <c r="H1133" s="33"/>
      <c r="I1133" s="33"/>
      <c r="J1133" s="9"/>
      <c r="K1133" s="9"/>
    </row>
    <row r="1134" spans="1:11" x14ac:dyDescent="0.2">
      <c r="A1134" s="12"/>
      <c r="B1134" s="13"/>
      <c r="C1134" s="13"/>
      <c r="D1134" s="13"/>
      <c r="E1134" s="14"/>
      <c r="F1134" s="13"/>
      <c r="G1134" s="13"/>
      <c r="H1134" s="33"/>
      <c r="I1134" s="33"/>
      <c r="J1134" s="9"/>
      <c r="K1134" s="9"/>
    </row>
    <row r="1135" spans="1:11" x14ac:dyDescent="0.2">
      <c r="A1135" s="12"/>
      <c r="B1135" s="13"/>
      <c r="C1135" s="13"/>
      <c r="D1135" s="13"/>
      <c r="E1135" s="14"/>
      <c r="F1135" s="13"/>
      <c r="G1135" s="13"/>
      <c r="H1135" s="33"/>
      <c r="I1135" s="33"/>
      <c r="J1135" s="9"/>
      <c r="K1135" s="9"/>
    </row>
    <row r="1136" spans="1:11" x14ac:dyDescent="0.2">
      <c r="A1136" s="12"/>
      <c r="B1136" s="13"/>
      <c r="C1136" s="13"/>
      <c r="D1136" s="13"/>
      <c r="E1136" s="14"/>
      <c r="F1136" s="13"/>
      <c r="G1136" s="13"/>
      <c r="H1136" s="33"/>
      <c r="I1136" s="33"/>
      <c r="J1136" s="9"/>
      <c r="K1136" s="9"/>
    </row>
    <row r="1137" spans="1:11" x14ac:dyDescent="0.2">
      <c r="A1137" s="12"/>
      <c r="B1137" s="13"/>
      <c r="C1137" s="13"/>
      <c r="D1137" s="13"/>
      <c r="E1137" s="14"/>
      <c r="F1137" s="13"/>
      <c r="G1137" s="13"/>
      <c r="H1137" s="33"/>
      <c r="I1137" s="33"/>
      <c r="J1137" s="9"/>
      <c r="K1137" s="9"/>
    </row>
    <row r="1138" spans="1:11" x14ac:dyDescent="0.2">
      <c r="A1138" s="12"/>
      <c r="B1138" s="13"/>
      <c r="C1138" s="13"/>
      <c r="D1138" s="13"/>
      <c r="E1138" s="14"/>
      <c r="F1138" s="13"/>
      <c r="G1138" s="13"/>
      <c r="H1138" s="33"/>
      <c r="I1138" s="33"/>
      <c r="J1138" s="9"/>
      <c r="K1138" s="9"/>
    </row>
    <row r="1139" spans="1:11" x14ac:dyDescent="0.2">
      <c r="A1139" s="12"/>
      <c r="B1139" s="13"/>
      <c r="C1139" s="13"/>
      <c r="D1139" s="13"/>
      <c r="E1139" s="14"/>
      <c r="F1139" s="13"/>
      <c r="G1139" s="13"/>
      <c r="H1139" s="33"/>
      <c r="I1139" s="33"/>
      <c r="J1139" s="9"/>
      <c r="K1139" s="9"/>
    </row>
    <row r="1140" spans="1:11" x14ac:dyDescent="0.2">
      <c r="A1140" s="12"/>
      <c r="B1140" s="13"/>
      <c r="C1140" s="13"/>
      <c r="D1140" s="13"/>
      <c r="E1140" s="14"/>
      <c r="F1140" s="13"/>
      <c r="G1140" s="13"/>
      <c r="H1140" s="33"/>
      <c r="I1140" s="33"/>
      <c r="J1140" s="9"/>
      <c r="K1140" s="9"/>
    </row>
    <row r="1141" spans="1:11" x14ac:dyDescent="0.2">
      <c r="A1141" s="12"/>
      <c r="B1141" s="13"/>
      <c r="C1141" s="13"/>
      <c r="D1141" s="13"/>
      <c r="E1141" s="14"/>
      <c r="F1141" s="13"/>
      <c r="G1141" s="13"/>
      <c r="H1141" s="33"/>
      <c r="I1141" s="33"/>
      <c r="J1141" s="9"/>
      <c r="K1141" s="9"/>
    </row>
    <row r="1142" spans="1:11" x14ac:dyDescent="0.2">
      <c r="A1142" s="12"/>
      <c r="B1142" s="13"/>
      <c r="C1142" s="13"/>
      <c r="D1142" s="13"/>
      <c r="E1142" s="14"/>
      <c r="F1142" s="13"/>
      <c r="G1142" s="13"/>
      <c r="H1142" s="33"/>
      <c r="I1142" s="33"/>
      <c r="J1142" s="9"/>
      <c r="K1142" s="9"/>
    </row>
    <row r="1143" spans="1:11" x14ac:dyDescent="0.2">
      <c r="A1143" s="12"/>
      <c r="B1143" s="13"/>
      <c r="C1143" s="13"/>
      <c r="D1143" s="13"/>
      <c r="E1143" s="14"/>
      <c r="F1143" s="13"/>
      <c r="G1143" s="13"/>
      <c r="H1143" s="33"/>
      <c r="I1143" s="33"/>
      <c r="J1143" s="9"/>
      <c r="K1143" s="9"/>
    </row>
    <row r="1144" spans="1:11" x14ac:dyDescent="0.2">
      <c r="A1144" s="12"/>
      <c r="B1144" s="13"/>
      <c r="C1144" s="13"/>
      <c r="D1144" s="13"/>
      <c r="E1144" s="14"/>
      <c r="F1144" s="13"/>
      <c r="G1144" s="13"/>
      <c r="H1144" s="33"/>
      <c r="I1144" s="33"/>
      <c r="J1144" s="9"/>
      <c r="K1144" s="9"/>
    </row>
    <row r="1145" spans="1:11" x14ac:dyDescent="0.2">
      <c r="A1145" s="12"/>
      <c r="B1145" s="13"/>
      <c r="C1145" s="13"/>
      <c r="D1145" s="13"/>
      <c r="E1145" s="14"/>
      <c r="F1145" s="13"/>
      <c r="G1145" s="13"/>
      <c r="H1145" s="33"/>
      <c r="I1145" s="33"/>
      <c r="J1145" s="9"/>
      <c r="K1145" s="9"/>
    </row>
    <row r="1146" spans="1:11" x14ac:dyDescent="0.2">
      <c r="A1146" s="12"/>
      <c r="B1146" s="13"/>
      <c r="C1146" s="13"/>
      <c r="D1146" s="13"/>
      <c r="E1146" s="14"/>
      <c r="F1146" s="13"/>
      <c r="G1146" s="13"/>
      <c r="H1146" s="33"/>
      <c r="I1146" s="33"/>
      <c r="J1146" s="9"/>
      <c r="K1146" s="9"/>
    </row>
    <row r="1147" spans="1:11" x14ac:dyDescent="0.2">
      <c r="A1147" s="12"/>
      <c r="B1147" s="13"/>
      <c r="C1147" s="13"/>
      <c r="D1147" s="13"/>
      <c r="E1147" s="14"/>
      <c r="F1147" s="13"/>
      <c r="G1147" s="13"/>
      <c r="H1147" s="33"/>
      <c r="I1147" s="33"/>
      <c r="J1147" s="9"/>
      <c r="K1147" s="9"/>
    </row>
    <row r="1148" spans="1:11" x14ac:dyDescent="0.2">
      <c r="A1148" s="12"/>
      <c r="B1148" s="13"/>
      <c r="C1148" s="13"/>
      <c r="D1148" s="13"/>
      <c r="E1148" s="14"/>
      <c r="F1148" s="13"/>
      <c r="G1148" s="13"/>
      <c r="H1148" s="33"/>
      <c r="I1148" s="33"/>
      <c r="J1148" s="9"/>
      <c r="K1148" s="9"/>
    </row>
    <row r="1149" spans="1:11" x14ac:dyDescent="0.2">
      <c r="A1149" s="12"/>
      <c r="B1149" s="13"/>
      <c r="C1149" s="13"/>
      <c r="D1149" s="13"/>
      <c r="E1149" s="14"/>
      <c r="F1149" s="13"/>
      <c r="G1149" s="13"/>
      <c r="H1149" s="33"/>
      <c r="I1149" s="33"/>
      <c r="J1149" s="9"/>
      <c r="K1149" s="9"/>
    </row>
    <row r="1150" spans="1:11" x14ac:dyDescent="0.2">
      <c r="A1150" s="12"/>
      <c r="B1150" s="13"/>
      <c r="C1150" s="13"/>
      <c r="D1150" s="13"/>
      <c r="E1150" s="14"/>
      <c r="F1150" s="13"/>
      <c r="G1150" s="13"/>
      <c r="H1150" s="33"/>
      <c r="I1150" s="33"/>
      <c r="J1150" s="9"/>
      <c r="K1150" s="9"/>
    </row>
    <row r="1151" spans="1:11" x14ac:dyDescent="0.2">
      <c r="A1151" s="12"/>
      <c r="B1151" s="13"/>
      <c r="C1151" s="13"/>
      <c r="D1151" s="13"/>
      <c r="E1151" s="14"/>
      <c r="F1151" s="13"/>
      <c r="G1151" s="13"/>
      <c r="H1151" s="33"/>
      <c r="I1151" s="33"/>
      <c r="J1151" s="9"/>
      <c r="K1151" s="9"/>
    </row>
    <row r="1152" spans="1:11" x14ac:dyDescent="0.2">
      <c r="A1152" s="12"/>
      <c r="B1152" s="13"/>
      <c r="C1152" s="13"/>
      <c r="D1152" s="13"/>
      <c r="E1152" s="14"/>
      <c r="F1152" s="13"/>
      <c r="G1152" s="13"/>
      <c r="H1152" s="33"/>
      <c r="I1152" s="33"/>
      <c r="J1152" s="9"/>
      <c r="K1152" s="9"/>
    </row>
    <row r="1153" spans="1:11" x14ac:dyDescent="0.2">
      <c r="A1153" s="12"/>
      <c r="B1153" s="13"/>
      <c r="C1153" s="13"/>
      <c r="D1153" s="13"/>
      <c r="E1153" s="14"/>
      <c r="F1153" s="13"/>
      <c r="G1153" s="13"/>
      <c r="H1153" s="33"/>
      <c r="I1153" s="33"/>
      <c r="J1153" s="9"/>
      <c r="K1153" s="9"/>
    </row>
    <row r="1154" spans="1:11" x14ac:dyDescent="0.2">
      <c r="A1154" s="12"/>
      <c r="B1154" s="13"/>
      <c r="C1154" s="13"/>
      <c r="D1154" s="13"/>
      <c r="E1154" s="14"/>
      <c r="F1154" s="13"/>
      <c r="G1154" s="13"/>
      <c r="H1154" s="33"/>
      <c r="I1154" s="33"/>
      <c r="J1154" s="9"/>
      <c r="K1154" s="9"/>
    </row>
    <row r="1155" spans="1:11" x14ac:dyDescent="0.2">
      <c r="A1155" s="12"/>
      <c r="B1155" s="13"/>
      <c r="C1155" s="13"/>
      <c r="D1155" s="13"/>
      <c r="E1155" s="14"/>
      <c r="F1155" s="13"/>
      <c r="G1155" s="13"/>
      <c r="H1155" s="33"/>
      <c r="I1155" s="33"/>
      <c r="J1155" s="9"/>
      <c r="K1155" s="9"/>
    </row>
    <row r="1156" spans="1:11" x14ac:dyDescent="0.2">
      <c r="A1156" s="12"/>
      <c r="B1156" s="13"/>
      <c r="C1156" s="13"/>
      <c r="D1156" s="13"/>
      <c r="E1156" s="14"/>
      <c r="F1156" s="13"/>
      <c r="G1156" s="13"/>
      <c r="H1156" s="33"/>
      <c r="I1156" s="33"/>
      <c r="J1156" s="9"/>
      <c r="K1156" s="9"/>
    </row>
    <row r="1157" spans="1:11" x14ac:dyDescent="0.2">
      <c r="A1157" s="12"/>
      <c r="B1157" s="13"/>
      <c r="C1157" s="13"/>
      <c r="D1157" s="13"/>
      <c r="E1157" s="14"/>
      <c r="F1157" s="13"/>
      <c r="G1157" s="13"/>
      <c r="H1157" s="33"/>
      <c r="I1157" s="33"/>
      <c r="J1157" s="9"/>
      <c r="K1157" s="9"/>
    </row>
    <row r="1158" spans="1:11" x14ac:dyDescent="0.2">
      <c r="A1158" s="12"/>
      <c r="B1158" s="13"/>
      <c r="C1158" s="13"/>
      <c r="D1158" s="13"/>
      <c r="E1158" s="14"/>
      <c r="F1158" s="13"/>
      <c r="G1158" s="13"/>
      <c r="H1158" s="33"/>
      <c r="I1158" s="33"/>
      <c r="J1158" s="9"/>
      <c r="K1158" s="9"/>
    </row>
    <row r="1159" spans="1:11" x14ac:dyDescent="0.2">
      <c r="A1159" s="12"/>
      <c r="B1159" s="13"/>
      <c r="C1159" s="13"/>
      <c r="D1159" s="13"/>
      <c r="E1159" s="14"/>
      <c r="F1159" s="13"/>
      <c r="G1159" s="13"/>
      <c r="H1159" s="33"/>
      <c r="I1159" s="33"/>
      <c r="J1159" s="9"/>
      <c r="K1159" s="9"/>
    </row>
    <row r="1160" spans="1:11" x14ac:dyDescent="0.2">
      <c r="A1160" s="12"/>
      <c r="B1160" s="13"/>
      <c r="C1160" s="13"/>
      <c r="D1160" s="13"/>
      <c r="E1160" s="14"/>
      <c r="F1160" s="13"/>
      <c r="G1160" s="13"/>
      <c r="H1160" s="33"/>
      <c r="I1160" s="33"/>
      <c r="J1160" s="9"/>
      <c r="K1160" s="9"/>
    </row>
    <row r="1161" spans="1:11" x14ac:dyDescent="0.2">
      <c r="A1161" s="12"/>
      <c r="B1161" s="13"/>
      <c r="C1161" s="13"/>
      <c r="D1161" s="13"/>
      <c r="E1161" s="14"/>
      <c r="F1161" s="13"/>
      <c r="G1161" s="13"/>
      <c r="H1161" s="33"/>
      <c r="I1161" s="33"/>
      <c r="J1161" s="9"/>
      <c r="K1161" s="9"/>
    </row>
    <row r="1162" spans="1:11" x14ac:dyDescent="0.2">
      <c r="A1162" s="12"/>
      <c r="B1162" s="13"/>
      <c r="C1162" s="13"/>
      <c r="D1162" s="13"/>
      <c r="E1162" s="14"/>
      <c r="F1162" s="13"/>
      <c r="G1162" s="13"/>
      <c r="H1162" s="33"/>
      <c r="I1162" s="33"/>
      <c r="J1162" s="9"/>
      <c r="K1162" s="9"/>
    </row>
    <row r="1163" spans="1:11" x14ac:dyDescent="0.2">
      <c r="A1163" s="12"/>
      <c r="B1163" s="13"/>
      <c r="C1163" s="13"/>
      <c r="D1163" s="13"/>
      <c r="E1163" s="14"/>
      <c r="F1163" s="13"/>
      <c r="G1163" s="13"/>
      <c r="H1163" s="33"/>
      <c r="I1163" s="33"/>
      <c r="J1163" s="9"/>
      <c r="K1163" s="9"/>
    </row>
    <row r="1164" spans="1:11" x14ac:dyDescent="0.2">
      <c r="A1164" s="12"/>
      <c r="B1164" s="13"/>
      <c r="C1164" s="13"/>
      <c r="D1164" s="13"/>
      <c r="E1164" s="14"/>
      <c r="F1164" s="13"/>
      <c r="G1164" s="13"/>
      <c r="H1164" s="33"/>
      <c r="I1164" s="33"/>
      <c r="J1164" s="9"/>
      <c r="K1164" s="9"/>
    </row>
    <row r="1165" spans="1:11" x14ac:dyDescent="0.2">
      <c r="A1165" s="12"/>
      <c r="B1165" s="13"/>
      <c r="C1165" s="13"/>
      <c r="D1165" s="13"/>
      <c r="E1165" s="14"/>
      <c r="F1165" s="13"/>
      <c r="G1165" s="13"/>
      <c r="H1165" s="33"/>
      <c r="I1165" s="33"/>
      <c r="J1165" s="9"/>
      <c r="K1165" s="9"/>
    </row>
    <row r="1166" spans="1:11" x14ac:dyDescent="0.2">
      <c r="A1166" s="12"/>
      <c r="B1166" s="13"/>
      <c r="C1166" s="13"/>
      <c r="D1166" s="13"/>
      <c r="E1166" s="14"/>
      <c r="F1166" s="13"/>
      <c r="G1166" s="13"/>
      <c r="H1166" s="33"/>
      <c r="I1166" s="33"/>
      <c r="J1166" s="9"/>
      <c r="K1166" s="9"/>
    </row>
    <row r="1167" spans="1:11" x14ac:dyDescent="0.2">
      <c r="A1167" s="12"/>
      <c r="B1167" s="13"/>
      <c r="C1167" s="13"/>
      <c r="D1167" s="13"/>
      <c r="E1167" s="14"/>
      <c r="F1167" s="13"/>
      <c r="G1167" s="13"/>
      <c r="H1167" s="33"/>
      <c r="I1167" s="33"/>
      <c r="J1167" s="9"/>
      <c r="K1167" s="9"/>
    </row>
    <row r="1168" spans="1:11" x14ac:dyDescent="0.2">
      <c r="A1168" s="9"/>
      <c r="B1168" s="9"/>
      <c r="C1168" s="9"/>
      <c r="D1168" s="9"/>
      <c r="E1168" s="15"/>
      <c r="F1168" s="9"/>
      <c r="H1168" s="33"/>
      <c r="I1168" s="33"/>
      <c r="J1168" s="9"/>
      <c r="K1168" s="9"/>
    </row>
    <row r="1169" spans="1:11" x14ac:dyDescent="0.2">
      <c r="A1169" s="9"/>
      <c r="B1169" s="9"/>
      <c r="C1169" s="9"/>
      <c r="D1169" s="9"/>
      <c r="E1169" s="15"/>
      <c r="F1169" s="9"/>
      <c r="J1169" s="9"/>
      <c r="K1169" s="9"/>
    </row>
    <row r="1170" spans="1:11" x14ac:dyDescent="0.2">
      <c r="A1170" s="9"/>
      <c r="B1170" s="9"/>
      <c r="C1170" s="9"/>
      <c r="D1170" s="9"/>
      <c r="E1170" s="15"/>
      <c r="F1170" s="9"/>
      <c r="J1170" s="9"/>
      <c r="K1170" s="9"/>
    </row>
    <row r="1171" spans="1:11" x14ac:dyDescent="0.2">
      <c r="A1171" s="9"/>
      <c r="B1171" s="9"/>
      <c r="C1171" s="9"/>
      <c r="D1171" s="9"/>
      <c r="E1171" s="15"/>
      <c r="F1171" s="9"/>
      <c r="J1171" s="9"/>
      <c r="K1171" s="9"/>
    </row>
    <row r="1172" spans="1:11" x14ac:dyDescent="0.2">
      <c r="A1172" s="9"/>
      <c r="B1172" s="9"/>
      <c r="C1172" s="9"/>
      <c r="D1172" s="9"/>
      <c r="E1172" s="15"/>
      <c r="F1172" s="9"/>
      <c r="J1172" s="9"/>
      <c r="K1172" s="9"/>
    </row>
    <row r="1173" spans="1:11" x14ac:dyDescent="0.2">
      <c r="A1173" s="9"/>
      <c r="B1173" s="9"/>
      <c r="C1173" s="9"/>
      <c r="D1173" s="9"/>
      <c r="E1173" s="15"/>
      <c r="F1173" s="9"/>
      <c r="J1173" s="9"/>
      <c r="K1173" s="9"/>
    </row>
    <row r="1174" spans="1:11" x14ac:dyDescent="0.2">
      <c r="A1174" s="9"/>
      <c r="B1174" s="9"/>
      <c r="C1174" s="9"/>
      <c r="D1174" s="9"/>
      <c r="E1174" s="15"/>
      <c r="F1174" s="9"/>
      <c r="J1174" s="9"/>
      <c r="K1174" s="9"/>
    </row>
    <row r="1175" spans="1:11" x14ac:dyDescent="0.2">
      <c r="A1175" s="9"/>
      <c r="B1175" s="9"/>
      <c r="C1175" s="9"/>
      <c r="D1175" s="9"/>
      <c r="E1175" s="15"/>
      <c r="F1175" s="9"/>
      <c r="J1175" s="9"/>
      <c r="K1175" s="9"/>
    </row>
    <row r="1176" spans="1:11" x14ac:dyDescent="0.2">
      <c r="A1176" s="9"/>
      <c r="B1176" s="9"/>
      <c r="C1176" s="9"/>
      <c r="D1176" s="9"/>
      <c r="E1176" s="15"/>
      <c r="F1176" s="9"/>
      <c r="J1176" s="9"/>
    </row>
    <row r="1177" spans="1:11" x14ac:dyDescent="0.2">
      <c r="A1177" s="9"/>
      <c r="B1177" s="9"/>
      <c r="C1177" s="9"/>
      <c r="D1177" s="9"/>
      <c r="E1177" s="15"/>
      <c r="F1177" s="9"/>
      <c r="J1177" s="9"/>
    </row>
    <row r="1178" spans="1:11" x14ac:dyDescent="0.2">
      <c r="A1178" s="9"/>
      <c r="B1178" s="9"/>
      <c r="C1178" s="9"/>
      <c r="D1178" s="9"/>
      <c r="E1178" s="15"/>
      <c r="F1178" s="9"/>
      <c r="J1178" s="9"/>
    </row>
    <row r="1179" spans="1:11" x14ac:dyDescent="0.2">
      <c r="A1179" s="9"/>
      <c r="B1179" s="9"/>
      <c r="C1179" s="9"/>
      <c r="D1179" s="9"/>
      <c r="E1179" s="15"/>
      <c r="F1179" s="9"/>
      <c r="J1179" s="9"/>
    </row>
    <row r="1180" spans="1:11" x14ac:dyDescent="0.2">
      <c r="A1180" s="9"/>
      <c r="B1180" s="9"/>
      <c r="C1180" s="9"/>
      <c r="D1180" s="9"/>
      <c r="E1180" s="15"/>
      <c r="F1180" s="9"/>
      <c r="J1180" s="9"/>
    </row>
    <row r="1181" spans="1:11" x14ac:dyDescent="0.2">
      <c r="A1181" s="9"/>
      <c r="B1181" s="9"/>
      <c r="C1181" s="9"/>
      <c r="D1181" s="9"/>
      <c r="E1181" s="15"/>
      <c r="F1181" s="9"/>
      <c r="J1181" s="9"/>
    </row>
    <row r="1182" spans="1:11" x14ac:dyDescent="0.2">
      <c r="A1182" s="9"/>
      <c r="B1182" s="9"/>
      <c r="C1182" s="9"/>
      <c r="D1182" s="9"/>
      <c r="E1182" s="15"/>
      <c r="F1182" s="9"/>
      <c r="J1182" s="9"/>
    </row>
    <row r="1183" spans="1:11" x14ac:dyDescent="0.2">
      <c r="A1183" s="9"/>
      <c r="B1183" s="9"/>
      <c r="C1183" s="9"/>
      <c r="D1183" s="9"/>
      <c r="E1183" s="15"/>
      <c r="F1183" s="9"/>
      <c r="J1183" s="9"/>
    </row>
    <row r="1184" spans="1:11" x14ac:dyDescent="0.2">
      <c r="A1184" s="9"/>
      <c r="B1184" s="9"/>
      <c r="C1184" s="9"/>
      <c r="D1184" s="9"/>
      <c r="E1184" s="15"/>
      <c r="F1184" s="9"/>
      <c r="J1184" s="9"/>
    </row>
    <row r="1185" spans="1:10" x14ac:dyDescent="0.2">
      <c r="A1185" s="9"/>
      <c r="B1185" s="9"/>
      <c r="C1185" s="9"/>
      <c r="D1185" s="9"/>
      <c r="E1185" s="15"/>
      <c r="F1185" s="9"/>
      <c r="J1185" s="9"/>
    </row>
    <row r="1186" spans="1:10" x14ac:dyDescent="0.2">
      <c r="A1186" s="9"/>
      <c r="B1186" s="9"/>
      <c r="C1186" s="9"/>
      <c r="D1186" s="9"/>
      <c r="E1186" s="15"/>
      <c r="F1186" s="9"/>
      <c r="J1186" s="9"/>
    </row>
    <row r="1187" spans="1:10" x14ac:dyDescent="0.2">
      <c r="A1187" s="9"/>
      <c r="B1187" s="9"/>
      <c r="C1187" s="9"/>
      <c r="D1187" s="9"/>
      <c r="E1187" s="15"/>
      <c r="F1187" s="9"/>
      <c r="J1187" s="9"/>
    </row>
    <row r="1188" spans="1:10" x14ac:dyDescent="0.2">
      <c r="A1188" s="9"/>
      <c r="B1188" s="9"/>
      <c r="C1188" s="9"/>
      <c r="D1188" s="9"/>
      <c r="E1188" s="15"/>
      <c r="F1188" s="9"/>
      <c r="J1188" s="9"/>
    </row>
    <row r="1189" spans="1:10" x14ac:dyDescent="0.2">
      <c r="A1189" s="9"/>
      <c r="B1189" s="9"/>
      <c r="C1189" s="9"/>
      <c r="D1189" s="9"/>
      <c r="E1189" s="15"/>
      <c r="F1189" s="9"/>
      <c r="J1189" s="9"/>
    </row>
    <row r="1190" spans="1:10" x14ac:dyDescent="0.2">
      <c r="A1190" s="9"/>
      <c r="B1190" s="9"/>
      <c r="C1190" s="9"/>
      <c r="D1190" s="9"/>
      <c r="E1190" s="15"/>
      <c r="F1190" s="9"/>
      <c r="J1190" s="9"/>
    </row>
    <row r="1191" spans="1:10" x14ac:dyDescent="0.2">
      <c r="A1191" s="9"/>
      <c r="B1191" s="9"/>
      <c r="C1191" s="9"/>
      <c r="D1191" s="9"/>
      <c r="E1191" s="15"/>
      <c r="F1191" s="9"/>
      <c r="J1191" s="9"/>
    </row>
    <row r="1192" spans="1:10" x14ac:dyDescent="0.2">
      <c r="A1192" s="9"/>
      <c r="B1192" s="9"/>
      <c r="C1192" s="9"/>
      <c r="D1192" s="9"/>
      <c r="E1192" s="15"/>
      <c r="F1192" s="9"/>
      <c r="J1192" s="9"/>
    </row>
    <row r="1193" spans="1:10" x14ac:dyDescent="0.2">
      <c r="A1193" s="9"/>
      <c r="B1193" s="9"/>
      <c r="C1193" s="9"/>
      <c r="D1193" s="9"/>
      <c r="E1193" s="15"/>
      <c r="F1193" s="9"/>
      <c r="J1193" s="9"/>
    </row>
    <row r="1194" spans="1:10" x14ac:dyDescent="0.2">
      <c r="A1194" s="9"/>
      <c r="B1194" s="9"/>
      <c r="C1194" s="9"/>
      <c r="D1194" s="9"/>
      <c r="E1194" s="15"/>
      <c r="F1194" s="9"/>
      <c r="J1194" s="9"/>
    </row>
    <row r="1195" spans="1:10" x14ac:dyDescent="0.2">
      <c r="A1195" s="9"/>
      <c r="B1195" s="9"/>
      <c r="C1195" s="9"/>
      <c r="D1195" s="9"/>
      <c r="E1195" s="15"/>
      <c r="F1195" s="9"/>
      <c r="J1195" s="9"/>
    </row>
    <row r="1196" spans="1:10" x14ac:dyDescent="0.2">
      <c r="A1196" s="9"/>
      <c r="B1196" s="9"/>
      <c r="C1196" s="9"/>
      <c r="D1196" s="9"/>
      <c r="E1196" s="15"/>
      <c r="F1196" s="9"/>
      <c r="J1196" s="9"/>
    </row>
    <row r="1197" spans="1:10" x14ac:dyDescent="0.2">
      <c r="A1197" s="9"/>
      <c r="B1197" s="9"/>
      <c r="C1197" s="9"/>
      <c r="D1197" s="9"/>
      <c r="E1197" s="15"/>
      <c r="F1197" s="9"/>
      <c r="J1197" s="9"/>
    </row>
    <row r="1198" spans="1:10" x14ac:dyDescent="0.2">
      <c r="A1198" s="9"/>
      <c r="B1198" s="9"/>
      <c r="C1198" s="9"/>
      <c r="D1198" s="9"/>
      <c r="E1198" s="15"/>
      <c r="F1198" s="9"/>
      <c r="J1198" s="9"/>
    </row>
    <row r="1199" spans="1:10" x14ac:dyDescent="0.2">
      <c r="A1199" s="9"/>
      <c r="B1199" s="9"/>
      <c r="C1199" s="9"/>
      <c r="D1199" s="9"/>
      <c r="E1199" s="15"/>
      <c r="F1199" s="9"/>
      <c r="J1199" s="9"/>
    </row>
    <row r="1200" spans="1:10" x14ac:dyDescent="0.2">
      <c r="A1200" s="9"/>
      <c r="B1200" s="9"/>
      <c r="C1200" s="9"/>
      <c r="D1200" s="9"/>
      <c r="E1200" s="15"/>
      <c r="F1200" s="9"/>
      <c r="J1200" s="9"/>
    </row>
    <row r="1201" spans="1:10" x14ac:dyDescent="0.2">
      <c r="A1201" s="9"/>
      <c r="B1201" s="9"/>
      <c r="C1201" s="9"/>
      <c r="D1201" s="9"/>
      <c r="E1201" s="15"/>
      <c r="F1201" s="9"/>
      <c r="J1201" s="9"/>
    </row>
    <row r="1202" spans="1:10" x14ac:dyDescent="0.2">
      <c r="A1202" s="9"/>
      <c r="B1202" s="9"/>
      <c r="C1202" s="9"/>
      <c r="D1202" s="9"/>
      <c r="E1202" s="15"/>
      <c r="F1202" s="9"/>
      <c r="J1202" s="9"/>
    </row>
    <row r="1203" spans="1:10" x14ac:dyDescent="0.2">
      <c r="A1203" s="9"/>
      <c r="B1203" s="9"/>
      <c r="C1203" s="9"/>
      <c r="D1203" s="9"/>
      <c r="E1203" s="15"/>
      <c r="F1203" s="9"/>
      <c r="J1203" s="9"/>
    </row>
    <row r="1204" spans="1:10" x14ac:dyDescent="0.2">
      <c r="A1204" s="9"/>
      <c r="B1204" s="9"/>
      <c r="C1204" s="9"/>
      <c r="D1204" s="9"/>
      <c r="E1204" s="15"/>
      <c r="F1204" s="9"/>
      <c r="J1204" s="9"/>
    </row>
    <row r="1205" spans="1:10" x14ac:dyDescent="0.2">
      <c r="A1205" s="9"/>
      <c r="B1205" s="9"/>
      <c r="C1205" s="9"/>
      <c r="D1205" s="9"/>
      <c r="E1205" s="15"/>
      <c r="F1205" s="9"/>
      <c r="J1205" s="9"/>
    </row>
    <row r="1206" spans="1:10" x14ac:dyDescent="0.2">
      <c r="A1206" s="9"/>
      <c r="B1206" s="9"/>
      <c r="C1206" s="9"/>
      <c r="D1206" s="9"/>
      <c r="E1206" s="15"/>
      <c r="F1206" s="9"/>
      <c r="J1206" s="9"/>
    </row>
    <row r="1207" spans="1:10" x14ac:dyDescent="0.2">
      <c r="A1207" s="9"/>
      <c r="B1207" s="9"/>
      <c r="C1207" s="9"/>
      <c r="D1207" s="9"/>
      <c r="E1207" s="15"/>
      <c r="F1207" s="9"/>
      <c r="J1207" s="9"/>
    </row>
    <row r="1208" spans="1:10" x14ac:dyDescent="0.2">
      <c r="A1208" s="9"/>
      <c r="B1208" s="9"/>
      <c r="C1208" s="9"/>
      <c r="D1208" s="9"/>
      <c r="E1208" s="15"/>
      <c r="F1208" s="9"/>
      <c r="J1208" s="9"/>
    </row>
    <row r="1209" spans="1:10" x14ac:dyDescent="0.2">
      <c r="A1209" s="9"/>
      <c r="B1209" s="9"/>
      <c r="C1209" s="9"/>
      <c r="D1209" s="9"/>
      <c r="E1209" s="15"/>
      <c r="F1209" s="9"/>
      <c r="J1209" s="9"/>
    </row>
    <row r="1210" spans="1:10" x14ac:dyDescent="0.2">
      <c r="A1210" s="9"/>
      <c r="B1210" s="9"/>
      <c r="C1210" s="9"/>
      <c r="D1210" s="9"/>
      <c r="E1210" s="15"/>
      <c r="F1210" s="9"/>
      <c r="J1210" s="9"/>
    </row>
    <row r="1211" spans="1:10" x14ac:dyDescent="0.2">
      <c r="A1211" s="9"/>
      <c r="B1211" s="9"/>
      <c r="C1211" s="9"/>
      <c r="D1211" s="9"/>
      <c r="E1211" s="15"/>
      <c r="F1211" s="9"/>
      <c r="J1211" s="9"/>
    </row>
    <row r="1212" spans="1:10" x14ac:dyDescent="0.2">
      <c r="A1212" s="9"/>
      <c r="B1212" s="9"/>
      <c r="C1212" s="9"/>
      <c r="D1212" s="9"/>
      <c r="E1212" s="15"/>
      <c r="F1212" s="9"/>
      <c r="J1212" s="9"/>
    </row>
    <row r="1213" spans="1:10" x14ac:dyDescent="0.2">
      <c r="A1213" s="9"/>
      <c r="B1213" s="9"/>
      <c r="C1213" s="9"/>
      <c r="D1213" s="9"/>
      <c r="E1213" s="15"/>
      <c r="F1213" s="9"/>
      <c r="J1213" s="9"/>
    </row>
    <row r="1214" spans="1:10" x14ac:dyDescent="0.2">
      <c r="A1214" s="9"/>
      <c r="B1214" s="9"/>
      <c r="C1214" s="9"/>
      <c r="D1214" s="9"/>
      <c r="E1214" s="15"/>
      <c r="F1214" s="9"/>
      <c r="J1214" s="9"/>
    </row>
    <row r="1215" spans="1:10" x14ac:dyDescent="0.2">
      <c r="A1215" s="9"/>
      <c r="B1215" s="9"/>
      <c r="C1215" s="9"/>
      <c r="D1215" s="9"/>
      <c r="E1215" s="15"/>
      <c r="F1215" s="9"/>
      <c r="J1215" s="9"/>
    </row>
    <row r="1216" spans="1:10" x14ac:dyDescent="0.2">
      <c r="A1216" s="9"/>
      <c r="B1216" s="9"/>
      <c r="C1216" s="9"/>
      <c r="D1216" s="9"/>
      <c r="E1216" s="15"/>
      <c r="F1216" s="9"/>
      <c r="J1216" s="9"/>
    </row>
    <row r="1217" spans="1:10" x14ac:dyDescent="0.2">
      <c r="A1217" s="9"/>
      <c r="B1217" s="9"/>
      <c r="C1217" s="9"/>
      <c r="D1217" s="9"/>
      <c r="E1217" s="15"/>
      <c r="F1217" s="9"/>
      <c r="J1217" s="9"/>
    </row>
    <row r="1218" spans="1:10" x14ac:dyDescent="0.2">
      <c r="A1218" s="9"/>
      <c r="B1218" s="9"/>
      <c r="C1218" s="9"/>
      <c r="D1218" s="9"/>
      <c r="E1218" s="15"/>
      <c r="F1218" s="9"/>
      <c r="J1218" s="9"/>
    </row>
    <row r="1219" spans="1:10" x14ac:dyDescent="0.2">
      <c r="A1219" s="9"/>
      <c r="B1219" s="9"/>
      <c r="C1219" s="9"/>
      <c r="D1219" s="9"/>
      <c r="E1219" s="15"/>
      <c r="F1219" s="9"/>
      <c r="J1219" s="9"/>
    </row>
    <row r="1220" spans="1:10" x14ac:dyDescent="0.2">
      <c r="A1220" s="9"/>
      <c r="B1220" s="9"/>
      <c r="C1220" s="9"/>
      <c r="D1220" s="9"/>
      <c r="E1220" s="15"/>
      <c r="F1220" s="9"/>
      <c r="J1220" s="9"/>
    </row>
    <row r="1221" spans="1:10" x14ac:dyDescent="0.2">
      <c r="A1221" s="9"/>
      <c r="B1221" s="9"/>
      <c r="C1221" s="9"/>
      <c r="D1221" s="9"/>
      <c r="E1221" s="15"/>
      <c r="F1221" s="9"/>
      <c r="J1221" s="9"/>
    </row>
    <row r="1222" spans="1:10" x14ac:dyDescent="0.2">
      <c r="A1222" s="9"/>
      <c r="B1222" s="9"/>
      <c r="C1222" s="9"/>
      <c r="D1222" s="9"/>
      <c r="E1222" s="15"/>
      <c r="F1222" s="9"/>
      <c r="J1222" s="9"/>
    </row>
    <row r="1223" spans="1:10" x14ac:dyDescent="0.2">
      <c r="A1223" s="9"/>
      <c r="B1223" s="9"/>
      <c r="C1223" s="9"/>
      <c r="D1223" s="9"/>
      <c r="E1223" s="15"/>
      <c r="F1223" s="9"/>
      <c r="J1223" s="9"/>
    </row>
    <row r="1224" spans="1:10" x14ac:dyDescent="0.2">
      <c r="A1224" s="9"/>
      <c r="B1224" s="9"/>
      <c r="C1224" s="9"/>
      <c r="D1224" s="9"/>
      <c r="E1224" s="15"/>
      <c r="F1224" s="9"/>
      <c r="J1224" s="9"/>
    </row>
    <row r="1225" spans="1:10" x14ac:dyDescent="0.2">
      <c r="A1225" s="9"/>
      <c r="B1225" s="9"/>
      <c r="C1225" s="9"/>
      <c r="D1225" s="9"/>
      <c r="E1225" s="15"/>
      <c r="F1225" s="9"/>
      <c r="J1225" s="9"/>
    </row>
    <row r="1226" spans="1:10" x14ac:dyDescent="0.2">
      <c r="A1226" s="9"/>
      <c r="B1226" s="9"/>
      <c r="C1226" s="9"/>
      <c r="D1226" s="9"/>
      <c r="E1226" s="15"/>
      <c r="F1226" s="9"/>
      <c r="J1226" s="9"/>
    </row>
    <row r="1227" spans="1:10" x14ac:dyDescent="0.2">
      <c r="A1227" s="9"/>
      <c r="B1227" s="9"/>
      <c r="C1227" s="9"/>
      <c r="D1227" s="9"/>
      <c r="E1227" s="15"/>
      <c r="F1227" s="9"/>
      <c r="J1227" s="9"/>
    </row>
    <row r="1228" spans="1:10" x14ac:dyDescent="0.2">
      <c r="A1228" s="9"/>
      <c r="B1228" s="9"/>
      <c r="C1228" s="9"/>
      <c r="D1228" s="9"/>
      <c r="E1228" s="15"/>
      <c r="F1228" s="9"/>
      <c r="J1228" s="9"/>
    </row>
    <row r="1229" spans="1:10" x14ac:dyDescent="0.2">
      <c r="A1229" s="9"/>
      <c r="B1229" s="9"/>
      <c r="C1229" s="9"/>
      <c r="D1229" s="9"/>
      <c r="E1229" s="15"/>
      <c r="F1229" s="9"/>
      <c r="J1229" s="9"/>
    </row>
    <row r="1230" spans="1:10" x14ac:dyDescent="0.2">
      <c r="A1230" s="9"/>
      <c r="B1230" s="9"/>
      <c r="C1230" s="9"/>
      <c r="D1230" s="9"/>
      <c r="E1230" s="15"/>
      <c r="F1230" s="9"/>
      <c r="J1230" s="9"/>
    </row>
    <row r="1231" spans="1:10" x14ac:dyDescent="0.2">
      <c r="A1231" s="9"/>
      <c r="B1231" s="9"/>
      <c r="C1231" s="9"/>
      <c r="D1231" s="9"/>
      <c r="E1231" s="15"/>
      <c r="F1231" s="9"/>
      <c r="J1231" s="9"/>
    </row>
    <row r="1232" spans="1:10" x14ac:dyDescent="0.2">
      <c r="A1232" s="9"/>
      <c r="B1232" s="9"/>
      <c r="C1232" s="9"/>
      <c r="D1232" s="9"/>
      <c r="E1232" s="15"/>
      <c r="F1232" s="9"/>
      <c r="J1232" s="9"/>
    </row>
    <row r="1233" spans="1:10" x14ac:dyDescent="0.2">
      <c r="A1233" s="9"/>
      <c r="B1233" s="9"/>
      <c r="C1233" s="9"/>
      <c r="D1233" s="9"/>
      <c r="E1233" s="15"/>
      <c r="F1233" s="9"/>
      <c r="J1233" s="9"/>
    </row>
    <row r="1234" spans="1:10" x14ac:dyDescent="0.2">
      <c r="A1234" s="9"/>
      <c r="B1234" s="9"/>
      <c r="C1234" s="9"/>
      <c r="D1234" s="9"/>
      <c r="E1234" s="15"/>
      <c r="F1234" s="9"/>
      <c r="J1234" s="9"/>
    </row>
    <row r="1235" spans="1:10" x14ac:dyDescent="0.2">
      <c r="A1235" s="9"/>
      <c r="B1235" s="9"/>
      <c r="C1235" s="9"/>
      <c r="D1235" s="9"/>
      <c r="E1235" s="15"/>
      <c r="F1235" s="9"/>
      <c r="J1235" s="9"/>
    </row>
    <row r="1236" spans="1:10" x14ac:dyDescent="0.2">
      <c r="A1236" s="9"/>
      <c r="B1236" s="9"/>
      <c r="C1236" s="9"/>
      <c r="D1236" s="9"/>
      <c r="E1236" s="15"/>
      <c r="F1236" s="9"/>
      <c r="J1236" s="9"/>
    </row>
    <row r="1237" spans="1:10" x14ac:dyDescent="0.2">
      <c r="A1237" s="9"/>
      <c r="B1237" s="9"/>
      <c r="C1237" s="9"/>
      <c r="D1237" s="9"/>
      <c r="E1237" s="15"/>
      <c r="F1237" s="9"/>
      <c r="J1237" s="9"/>
    </row>
    <row r="1238" spans="1:10" x14ac:dyDescent="0.2">
      <c r="A1238" s="9"/>
      <c r="B1238" s="9"/>
      <c r="C1238" s="9"/>
      <c r="D1238" s="9"/>
      <c r="E1238" s="15"/>
      <c r="F1238" s="9"/>
      <c r="J1238" s="9"/>
    </row>
    <row r="1239" spans="1:10" x14ac:dyDescent="0.2">
      <c r="A1239" s="9"/>
      <c r="B1239" s="9"/>
      <c r="C1239" s="9"/>
      <c r="D1239" s="9"/>
      <c r="E1239" s="15"/>
      <c r="F1239" s="9"/>
      <c r="J1239" s="9"/>
    </row>
    <row r="1240" spans="1:10" x14ac:dyDescent="0.2">
      <c r="A1240" s="9"/>
      <c r="B1240" s="9"/>
      <c r="C1240" s="9"/>
      <c r="D1240" s="9"/>
      <c r="E1240" s="15"/>
      <c r="F1240" s="9"/>
      <c r="J1240" s="9"/>
    </row>
    <row r="1241" spans="1:10" x14ac:dyDescent="0.2">
      <c r="A1241" s="9"/>
      <c r="B1241" s="9"/>
      <c r="C1241" s="9"/>
      <c r="D1241" s="9"/>
      <c r="E1241" s="15"/>
      <c r="F1241" s="9"/>
      <c r="J1241" s="9"/>
    </row>
    <row r="1242" spans="1:10" x14ac:dyDescent="0.2">
      <c r="A1242" s="9"/>
      <c r="B1242" s="9"/>
      <c r="C1242" s="9"/>
      <c r="D1242" s="9"/>
      <c r="E1242" s="15"/>
      <c r="F1242" s="9"/>
      <c r="J1242" s="9"/>
    </row>
    <row r="1243" spans="1:10" x14ac:dyDescent="0.2">
      <c r="A1243" s="9"/>
      <c r="B1243" s="9"/>
      <c r="C1243" s="9"/>
      <c r="D1243" s="9"/>
      <c r="E1243" s="15"/>
      <c r="F1243" s="9"/>
      <c r="J1243" s="9"/>
    </row>
    <row r="1244" spans="1:10" x14ac:dyDescent="0.2">
      <c r="A1244" s="9"/>
      <c r="B1244" s="9"/>
      <c r="C1244" s="9"/>
      <c r="D1244" s="9"/>
      <c r="E1244" s="15"/>
      <c r="F1244" s="9"/>
      <c r="J1244" s="9"/>
    </row>
    <row r="1245" spans="1:10" x14ac:dyDescent="0.2">
      <c r="A1245" s="9"/>
      <c r="B1245" s="9"/>
      <c r="C1245" s="9"/>
      <c r="D1245" s="9"/>
      <c r="E1245" s="15"/>
      <c r="F1245" s="9"/>
      <c r="J1245" s="9"/>
    </row>
    <row r="1246" spans="1:10" x14ac:dyDescent="0.2">
      <c r="A1246" s="9"/>
      <c r="B1246" s="9"/>
      <c r="C1246" s="9"/>
      <c r="D1246" s="9"/>
      <c r="E1246" s="15"/>
      <c r="F1246" s="9"/>
      <c r="J1246" s="9"/>
    </row>
    <row r="1247" spans="1:10" x14ac:dyDescent="0.2">
      <c r="A1247" s="9"/>
      <c r="B1247" s="9"/>
      <c r="C1247" s="9"/>
      <c r="D1247" s="9"/>
      <c r="E1247" s="15"/>
      <c r="F1247" s="9"/>
      <c r="J1247" s="9"/>
    </row>
    <row r="1248" spans="1:10" x14ac:dyDescent="0.2">
      <c r="A1248" s="9"/>
      <c r="B1248" s="9"/>
      <c r="C1248" s="9"/>
      <c r="D1248" s="9"/>
      <c r="E1248" s="15"/>
      <c r="F1248" s="9"/>
      <c r="J1248" s="9"/>
    </row>
    <row r="1249" spans="1:10" x14ac:dyDescent="0.2">
      <c r="A1249" s="9"/>
      <c r="B1249" s="9"/>
      <c r="C1249" s="9"/>
      <c r="D1249" s="9"/>
      <c r="E1249" s="15"/>
      <c r="F1249" s="9"/>
      <c r="J1249" s="9"/>
    </row>
    <row r="1250" spans="1:10" x14ac:dyDescent="0.2">
      <c r="A1250" s="9"/>
      <c r="B1250" s="9"/>
      <c r="C1250" s="9"/>
      <c r="D1250" s="9"/>
      <c r="E1250" s="15"/>
      <c r="F1250" s="9"/>
      <c r="J1250" s="9"/>
    </row>
    <row r="1251" spans="1:10" x14ac:dyDescent="0.2">
      <c r="A1251" s="9"/>
      <c r="B1251" s="9"/>
      <c r="C1251" s="9"/>
      <c r="D1251" s="9"/>
      <c r="E1251" s="15"/>
      <c r="F1251" s="9"/>
      <c r="J1251" s="9"/>
    </row>
    <row r="1252" spans="1:10" x14ac:dyDescent="0.2">
      <c r="A1252" s="9"/>
      <c r="B1252" s="9"/>
      <c r="C1252" s="9"/>
      <c r="D1252" s="9"/>
      <c r="E1252" s="15"/>
      <c r="F1252" s="9"/>
      <c r="J1252" s="9"/>
    </row>
    <row r="1253" spans="1:10" x14ac:dyDescent="0.2">
      <c r="A1253" s="9"/>
      <c r="B1253" s="9"/>
      <c r="C1253" s="9"/>
      <c r="D1253" s="9"/>
      <c r="E1253" s="15"/>
      <c r="F1253" s="9"/>
      <c r="J1253" s="9"/>
    </row>
    <row r="1254" spans="1:10" x14ac:dyDescent="0.2">
      <c r="A1254" s="9"/>
      <c r="B1254" s="9"/>
      <c r="C1254" s="9"/>
      <c r="D1254" s="9"/>
      <c r="E1254" s="15"/>
      <c r="F1254" s="9"/>
      <c r="J1254" s="9"/>
    </row>
    <row r="1255" spans="1:10" x14ac:dyDescent="0.2">
      <c r="A1255" s="9"/>
      <c r="B1255" s="9"/>
      <c r="C1255" s="9"/>
      <c r="D1255" s="9"/>
      <c r="E1255" s="15"/>
      <c r="F1255" s="9"/>
      <c r="J1255" s="9"/>
    </row>
    <row r="1256" spans="1:10" x14ac:dyDescent="0.2">
      <c r="A1256" s="9"/>
      <c r="B1256" s="9"/>
      <c r="C1256" s="9"/>
      <c r="D1256" s="9"/>
      <c r="E1256" s="15"/>
      <c r="F1256" s="9"/>
      <c r="J1256" s="9"/>
    </row>
    <row r="1257" spans="1:10" x14ac:dyDescent="0.2">
      <c r="A1257" s="9"/>
      <c r="B1257" s="9"/>
      <c r="C1257" s="9"/>
      <c r="D1257" s="9"/>
      <c r="E1257" s="15"/>
      <c r="F1257" s="9"/>
      <c r="J1257" s="9"/>
    </row>
    <row r="1258" spans="1:10" x14ac:dyDescent="0.2">
      <c r="A1258" s="9"/>
      <c r="B1258" s="9"/>
      <c r="C1258" s="9"/>
      <c r="D1258" s="9"/>
      <c r="E1258" s="15"/>
      <c r="F1258" s="9"/>
      <c r="J1258" s="9"/>
    </row>
    <row r="1259" spans="1:10" x14ac:dyDescent="0.2">
      <c r="A1259" s="9"/>
      <c r="B1259" s="9"/>
      <c r="C1259" s="9"/>
      <c r="D1259" s="9"/>
      <c r="E1259" s="15"/>
      <c r="F1259" s="9"/>
      <c r="J1259" s="9"/>
    </row>
    <row r="1260" spans="1:10" x14ac:dyDescent="0.2">
      <c r="A1260" s="9"/>
      <c r="B1260" s="9"/>
      <c r="C1260" s="9"/>
      <c r="D1260" s="9"/>
      <c r="E1260" s="15"/>
      <c r="F1260" s="9"/>
      <c r="J1260" s="9"/>
    </row>
    <row r="1261" spans="1:10" x14ac:dyDescent="0.2">
      <c r="A1261" s="9"/>
      <c r="B1261" s="9"/>
      <c r="C1261" s="9"/>
      <c r="D1261" s="9"/>
      <c r="E1261" s="15"/>
      <c r="F1261" s="9"/>
      <c r="J1261" s="9"/>
    </row>
    <row r="1262" spans="1:10" x14ac:dyDescent="0.2">
      <c r="A1262" s="9"/>
      <c r="B1262" s="9"/>
      <c r="C1262" s="9"/>
      <c r="D1262" s="9"/>
      <c r="E1262" s="15"/>
      <c r="F1262" s="9"/>
      <c r="J1262" s="9"/>
    </row>
    <row r="1263" spans="1:10" x14ac:dyDescent="0.2">
      <c r="A1263" s="9"/>
      <c r="B1263" s="9"/>
      <c r="C1263" s="9"/>
      <c r="D1263" s="9"/>
      <c r="E1263" s="15"/>
      <c r="F1263" s="9"/>
      <c r="J1263" s="9"/>
    </row>
    <row r="1264" spans="1:10" x14ac:dyDescent="0.2">
      <c r="A1264" s="9"/>
      <c r="B1264" s="9"/>
      <c r="C1264" s="9"/>
      <c r="D1264" s="9"/>
      <c r="E1264" s="15"/>
      <c r="F1264" s="9"/>
      <c r="J1264" s="9"/>
    </row>
    <row r="1265" spans="1:10" x14ac:dyDescent="0.2">
      <c r="A1265" s="9"/>
      <c r="B1265" s="9"/>
      <c r="C1265" s="9"/>
      <c r="D1265" s="9"/>
      <c r="E1265" s="15"/>
      <c r="F1265" s="9"/>
      <c r="J1265" s="9"/>
    </row>
    <row r="1266" spans="1:10" x14ac:dyDescent="0.2">
      <c r="A1266" s="9"/>
      <c r="B1266" s="9"/>
      <c r="C1266" s="9"/>
      <c r="D1266" s="9"/>
      <c r="E1266" s="15"/>
      <c r="F1266" s="9"/>
      <c r="J1266" s="9"/>
    </row>
    <row r="1267" spans="1:10" x14ac:dyDescent="0.2">
      <c r="A1267" s="9"/>
      <c r="B1267" s="9"/>
      <c r="C1267" s="9"/>
      <c r="D1267" s="9"/>
      <c r="E1267" s="15"/>
      <c r="F1267" s="9"/>
      <c r="J1267" s="9"/>
    </row>
    <row r="1268" spans="1:10" x14ac:dyDescent="0.2">
      <c r="A1268" s="9"/>
      <c r="B1268" s="9"/>
      <c r="C1268" s="9"/>
      <c r="D1268" s="9"/>
      <c r="E1268" s="15"/>
      <c r="F1268" s="9"/>
      <c r="J1268" s="9"/>
    </row>
    <row r="1269" spans="1:10" x14ac:dyDescent="0.2">
      <c r="A1269" s="9"/>
      <c r="B1269" s="9"/>
      <c r="C1269" s="9"/>
      <c r="D1269" s="9"/>
      <c r="E1269" s="15"/>
      <c r="F1269" s="9"/>
      <c r="J1269" s="9"/>
    </row>
    <row r="1270" spans="1:10" x14ac:dyDescent="0.2">
      <c r="A1270" s="9"/>
      <c r="B1270" s="9"/>
      <c r="C1270" s="9"/>
      <c r="D1270" s="9"/>
      <c r="E1270" s="15"/>
      <c r="F1270" s="9"/>
      <c r="J1270" s="9"/>
    </row>
    <row r="1271" spans="1:10" x14ac:dyDescent="0.2">
      <c r="A1271" s="28"/>
      <c r="B1271" s="28"/>
      <c r="C1271" s="28"/>
      <c r="D1271" s="28"/>
      <c r="E1271" s="16"/>
      <c r="J1271" s="9"/>
    </row>
    <row r="1272" spans="1:10" x14ac:dyDescent="0.2">
      <c r="A1272" s="28"/>
      <c r="B1272" s="28"/>
      <c r="C1272" s="28"/>
      <c r="D1272" s="28"/>
      <c r="E1272" s="16"/>
      <c r="J1272" s="9"/>
    </row>
    <row r="1273" spans="1:10" x14ac:dyDescent="0.2">
      <c r="A1273" s="28"/>
      <c r="B1273" s="28"/>
      <c r="C1273" s="28"/>
      <c r="D1273" s="28"/>
      <c r="E1273" s="16"/>
      <c r="J1273" s="9"/>
    </row>
    <row r="1274" spans="1:10" x14ac:dyDescent="0.2">
      <c r="A1274" s="28"/>
      <c r="B1274" s="28"/>
      <c r="C1274" s="28"/>
      <c r="D1274" s="28"/>
      <c r="E1274" s="16"/>
      <c r="J1274" s="9"/>
    </row>
    <row r="1275" spans="1:10" x14ac:dyDescent="0.2">
      <c r="A1275" s="28"/>
      <c r="B1275" s="28"/>
      <c r="C1275" s="28"/>
      <c r="D1275" s="28"/>
      <c r="E1275" s="16"/>
    </row>
    <row r="1276" spans="1:10" x14ac:dyDescent="0.2">
      <c r="A1276" s="28"/>
      <c r="B1276" s="28"/>
      <c r="C1276" s="28"/>
      <c r="D1276" s="28"/>
      <c r="E1276" s="16"/>
    </row>
    <row r="1277" spans="1:10" x14ac:dyDescent="0.2">
      <c r="A1277" s="28"/>
      <c r="B1277" s="28"/>
      <c r="C1277" s="28"/>
      <c r="D1277" s="28"/>
      <c r="E1277" s="16"/>
    </row>
    <row r="1278" spans="1:10" x14ac:dyDescent="0.2">
      <c r="A1278" s="28"/>
      <c r="B1278" s="28"/>
      <c r="C1278" s="28"/>
      <c r="D1278" s="28"/>
      <c r="E1278" s="16"/>
    </row>
    <row r="1279" spans="1:10" x14ac:dyDescent="0.2">
      <c r="A1279" s="28"/>
      <c r="B1279" s="28"/>
      <c r="C1279" s="28"/>
      <c r="D1279" s="28"/>
      <c r="E1279" s="16"/>
    </row>
    <row r="1280" spans="1:10" x14ac:dyDescent="0.2">
      <c r="A1280" s="28"/>
      <c r="B1280" s="28"/>
      <c r="C1280" s="28"/>
      <c r="D1280" s="28"/>
      <c r="E1280" s="16"/>
    </row>
    <row r="1281" spans="1:5" x14ac:dyDescent="0.2">
      <c r="A1281" s="28"/>
      <c r="B1281" s="28"/>
      <c r="C1281" s="28"/>
      <c r="D1281" s="28"/>
      <c r="E1281" s="16"/>
    </row>
    <row r="1282" spans="1:5" x14ac:dyDescent="0.2">
      <c r="A1282" s="28"/>
      <c r="B1282" s="28"/>
      <c r="C1282" s="28"/>
      <c r="D1282" s="28"/>
      <c r="E1282" s="16"/>
    </row>
    <row r="1283" spans="1:5" x14ac:dyDescent="0.2">
      <c r="A1283" s="28"/>
      <c r="B1283" s="28"/>
      <c r="C1283" s="28"/>
      <c r="D1283" s="28"/>
      <c r="E1283" s="16"/>
    </row>
    <row r="1284" spans="1:5" x14ac:dyDescent="0.2">
      <c r="A1284" s="28"/>
      <c r="B1284" s="28"/>
      <c r="C1284" s="28"/>
      <c r="D1284" s="28"/>
      <c r="E1284" s="16"/>
    </row>
    <row r="1285" spans="1:5" x14ac:dyDescent="0.2">
      <c r="A1285" s="28"/>
      <c r="B1285" s="28"/>
      <c r="C1285" s="28"/>
      <c r="D1285" s="28"/>
      <c r="E1285" s="16"/>
    </row>
    <row r="1286" spans="1:5" x14ac:dyDescent="0.2">
      <c r="A1286" s="28"/>
      <c r="B1286" s="28"/>
      <c r="C1286" s="28"/>
      <c r="D1286" s="28"/>
      <c r="E1286" s="16"/>
    </row>
    <row r="1287" spans="1:5" x14ac:dyDescent="0.2">
      <c r="A1287" s="28"/>
      <c r="B1287" s="28"/>
      <c r="C1287" s="28"/>
      <c r="D1287" s="28"/>
      <c r="E1287" s="16"/>
    </row>
    <row r="1288" spans="1:5" x14ac:dyDescent="0.2">
      <c r="A1288" s="28"/>
      <c r="B1288" s="28"/>
      <c r="C1288" s="28"/>
      <c r="D1288" s="28"/>
      <c r="E1288" s="16"/>
    </row>
    <row r="1289" spans="1:5" x14ac:dyDescent="0.2">
      <c r="A1289" s="28"/>
      <c r="B1289" s="28"/>
      <c r="C1289" s="28"/>
      <c r="D1289" s="28"/>
      <c r="E1289" s="16"/>
    </row>
    <row r="1290" spans="1:5" x14ac:dyDescent="0.2">
      <c r="A1290" s="28"/>
      <c r="B1290" s="28"/>
      <c r="C1290" s="28"/>
      <c r="D1290" s="28"/>
      <c r="E1290" s="16"/>
    </row>
    <row r="1291" spans="1:5" x14ac:dyDescent="0.2">
      <c r="A1291" s="28"/>
      <c r="B1291" s="28"/>
      <c r="C1291" s="28"/>
      <c r="D1291" s="28"/>
      <c r="E1291" s="16"/>
    </row>
    <row r="1292" spans="1:5" x14ac:dyDescent="0.2">
      <c r="A1292" s="28"/>
      <c r="B1292" s="28"/>
      <c r="C1292" s="28"/>
      <c r="D1292" s="28"/>
      <c r="E1292" s="16"/>
    </row>
    <row r="1293" spans="1:5" x14ac:dyDescent="0.2">
      <c r="A1293" s="28"/>
      <c r="B1293" s="28"/>
      <c r="C1293" s="28"/>
      <c r="D1293" s="28"/>
      <c r="E1293" s="16"/>
    </row>
    <row r="1294" spans="1:5" x14ac:dyDescent="0.2">
      <c r="A1294" s="28"/>
      <c r="B1294" s="28"/>
      <c r="C1294" s="28"/>
      <c r="D1294" s="28"/>
      <c r="E1294" s="16"/>
    </row>
    <row r="1295" spans="1:5" x14ac:dyDescent="0.2">
      <c r="A1295" s="28"/>
      <c r="B1295" s="28"/>
      <c r="C1295" s="28"/>
      <c r="D1295" s="28"/>
      <c r="E1295" s="16"/>
    </row>
    <row r="1296" spans="1:5" x14ac:dyDescent="0.2">
      <c r="A1296" s="28"/>
      <c r="B1296" s="28"/>
      <c r="C1296" s="28"/>
      <c r="D1296" s="28"/>
      <c r="E1296" s="16"/>
    </row>
    <row r="1297" spans="1:5" x14ac:dyDescent="0.2">
      <c r="A1297" s="28"/>
      <c r="B1297" s="28"/>
      <c r="C1297" s="28"/>
      <c r="D1297" s="28"/>
      <c r="E1297" s="16"/>
    </row>
    <row r="1298" spans="1:5" x14ac:dyDescent="0.2">
      <c r="A1298" s="28"/>
      <c r="B1298" s="28"/>
      <c r="C1298" s="28"/>
      <c r="D1298" s="28"/>
      <c r="E1298" s="16"/>
    </row>
    <row r="1299" spans="1:5" x14ac:dyDescent="0.2">
      <c r="A1299" s="28"/>
      <c r="B1299" s="28"/>
      <c r="C1299" s="28"/>
      <c r="D1299" s="28"/>
      <c r="E1299" s="16"/>
    </row>
    <row r="1300" spans="1:5" x14ac:dyDescent="0.2">
      <c r="A1300" s="28"/>
      <c r="B1300" s="28"/>
      <c r="C1300" s="28"/>
      <c r="D1300" s="28"/>
      <c r="E1300" s="16"/>
    </row>
    <row r="1301" spans="1:5" x14ac:dyDescent="0.2">
      <c r="A1301" s="28"/>
      <c r="B1301" s="28"/>
      <c r="C1301" s="28"/>
      <c r="D1301" s="28"/>
      <c r="E1301" s="16"/>
    </row>
    <row r="1302" spans="1:5" x14ac:dyDescent="0.2">
      <c r="A1302" s="28"/>
      <c r="B1302" s="28"/>
      <c r="C1302" s="28"/>
      <c r="D1302" s="28"/>
      <c r="E1302" s="16"/>
    </row>
    <row r="1303" spans="1:5" x14ac:dyDescent="0.2">
      <c r="A1303" s="28"/>
      <c r="B1303" s="28"/>
      <c r="C1303" s="28"/>
      <c r="D1303" s="28"/>
      <c r="E1303" s="16"/>
    </row>
    <row r="1304" spans="1:5" x14ac:dyDescent="0.2">
      <c r="A1304" s="28"/>
      <c r="B1304" s="28"/>
      <c r="C1304" s="28"/>
      <c r="D1304" s="28"/>
      <c r="E1304" s="16"/>
    </row>
    <row r="1305" spans="1:5" x14ac:dyDescent="0.2">
      <c r="A1305" s="28"/>
      <c r="B1305" s="28"/>
      <c r="C1305" s="28"/>
      <c r="D1305" s="28"/>
      <c r="E1305" s="16"/>
    </row>
    <row r="1306" spans="1:5" x14ac:dyDescent="0.2">
      <c r="A1306" s="28"/>
      <c r="B1306" s="28"/>
      <c r="C1306" s="28"/>
      <c r="D1306" s="28"/>
      <c r="E1306" s="16"/>
    </row>
    <row r="1307" spans="1:5" x14ac:dyDescent="0.2">
      <c r="A1307" s="28"/>
      <c r="B1307" s="28"/>
      <c r="C1307" s="28"/>
      <c r="D1307" s="28"/>
      <c r="E1307" s="16"/>
    </row>
    <row r="1308" spans="1:5" x14ac:dyDescent="0.2">
      <c r="A1308" s="28"/>
      <c r="B1308" s="28"/>
      <c r="C1308" s="28"/>
      <c r="D1308" s="28"/>
      <c r="E1308" s="16"/>
    </row>
    <row r="1309" spans="1:5" x14ac:dyDescent="0.2">
      <c r="A1309" s="28"/>
      <c r="B1309" s="28"/>
      <c r="C1309" s="28"/>
      <c r="D1309" s="28"/>
      <c r="E1309" s="16"/>
    </row>
    <row r="1310" spans="1:5" x14ac:dyDescent="0.2">
      <c r="A1310" s="28"/>
      <c r="B1310" s="28"/>
      <c r="C1310" s="28"/>
      <c r="D1310" s="28"/>
      <c r="E1310" s="16"/>
    </row>
    <row r="1311" spans="1:5" x14ac:dyDescent="0.2">
      <c r="A1311" s="28"/>
      <c r="B1311" s="28"/>
      <c r="C1311" s="28"/>
      <c r="D1311" s="28"/>
      <c r="E1311" s="16"/>
    </row>
    <row r="1312" spans="1:5" x14ac:dyDescent="0.2">
      <c r="A1312" s="28"/>
      <c r="B1312" s="28"/>
      <c r="C1312" s="28"/>
      <c r="D1312" s="28"/>
      <c r="E1312" s="16"/>
    </row>
    <row r="1313" spans="1:5" x14ac:dyDescent="0.2">
      <c r="A1313" s="28"/>
      <c r="B1313" s="28"/>
      <c r="C1313" s="28"/>
      <c r="D1313" s="28"/>
      <c r="E1313" s="16"/>
    </row>
    <row r="1314" spans="1:5" x14ac:dyDescent="0.2">
      <c r="A1314" s="28"/>
      <c r="B1314" s="28"/>
      <c r="C1314" s="28"/>
      <c r="D1314" s="28"/>
      <c r="E1314" s="16"/>
    </row>
    <row r="1315" spans="1:5" x14ac:dyDescent="0.2">
      <c r="A1315" s="28"/>
      <c r="B1315" s="28"/>
      <c r="C1315" s="28"/>
      <c r="D1315" s="28"/>
      <c r="E1315" s="16"/>
    </row>
    <row r="1316" spans="1:5" x14ac:dyDescent="0.2">
      <c r="A1316" s="28"/>
      <c r="B1316" s="28"/>
      <c r="C1316" s="28"/>
      <c r="D1316" s="28"/>
      <c r="E1316" s="16"/>
    </row>
    <row r="1317" spans="1:5" x14ac:dyDescent="0.2">
      <c r="A1317" s="28"/>
      <c r="B1317" s="28"/>
      <c r="C1317" s="28"/>
      <c r="D1317" s="28"/>
      <c r="E1317" s="16"/>
    </row>
    <row r="1318" spans="1:5" x14ac:dyDescent="0.2">
      <c r="A1318" s="28"/>
      <c r="B1318" s="28"/>
      <c r="C1318" s="28"/>
      <c r="D1318" s="28"/>
      <c r="E1318" s="16"/>
    </row>
    <row r="1319" spans="1:5" x14ac:dyDescent="0.2">
      <c r="A1319" s="28"/>
      <c r="B1319" s="28"/>
      <c r="C1319" s="28"/>
      <c r="D1319" s="28"/>
      <c r="E1319" s="16"/>
    </row>
    <row r="1320" spans="1:5" x14ac:dyDescent="0.2">
      <c r="A1320" s="28"/>
      <c r="B1320" s="28"/>
      <c r="C1320" s="28"/>
      <c r="D1320" s="28"/>
      <c r="E1320" s="16"/>
    </row>
    <row r="1321" spans="1:5" x14ac:dyDescent="0.2">
      <c r="A1321" s="28"/>
      <c r="B1321" s="28"/>
      <c r="C1321" s="28"/>
      <c r="D1321" s="28"/>
      <c r="E1321" s="16"/>
    </row>
    <row r="1322" spans="1:5" x14ac:dyDescent="0.2">
      <c r="A1322" s="28"/>
      <c r="B1322" s="28"/>
      <c r="C1322" s="28"/>
      <c r="D1322" s="28"/>
      <c r="E1322" s="16"/>
    </row>
    <row r="1323" spans="1:5" x14ac:dyDescent="0.2">
      <c r="A1323" s="28"/>
      <c r="B1323" s="28"/>
      <c r="C1323" s="28"/>
      <c r="D1323" s="28"/>
      <c r="E1323" s="16"/>
    </row>
    <row r="1324" spans="1:5" x14ac:dyDescent="0.2">
      <c r="A1324" s="28"/>
      <c r="B1324" s="28"/>
      <c r="C1324" s="28"/>
      <c r="D1324" s="28"/>
      <c r="E1324" s="16"/>
    </row>
    <row r="1325" spans="1:5" x14ac:dyDescent="0.2">
      <c r="A1325" s="28"/>
      <c r="B1325" s="28"/>
      <c r="C1325" s="28"/>
      <c r="D1325" s="28"/>
      <c r="E1325" s="16"/>
    </row>
    <row r="1326" spans="1:5" x14ac:dyDescent="0.2">
      <c r="A1326" s="28"/>
      <c r="B1326" s="28"/>
      <c r="C1326" s="28"/>
      <c r="D1326" s="28"/>
      <c r="E1326" s="16"/>
    </row>
    <row r="1327" spans="1:5" x14ac:dyDescent="0.2">
      <c r="A1327" s="28"/>
      <c r="B1327" s="28"/>
      <c r="C1327" s="28"/>
      <c r="D1327" s="28"/>
      <c r="E1327" s="16"/>
    </row>
    <row r="1328" spans="1:5" x14ac:dyDescent="0.2">
      <c r="A1328" s="28"/>
      <c r="B1328" s="28"/>
      <c r="C1328" s="28"/>
      <c r="D1328" s="28"/>
      <c r="E1328" s="16"/>
    </row>
    <row r="1329" spans="1:5" x14ac:dyDescent="0.2">
      <c r="A1329" s="28"/>
      <c r="B1329" s="28"/>
      <c r="C1329" s="28"/>
      <c r="D1329" s="28"/>
      <c r="E1329" s="16"/>
    </row>
    <row r="1330" spans="1:5" x14ac:dyDescent="0.2">
      <c r="A1330" s="28"/>
      <c r="B1330" s="28"/>
      <c r="C1330" s="28"/>
      <c r="D1330" s="28"/>
      <c r="E1330" s="16"/>
    </row>
    <row r="1331" spans="1:5" x14ac:dyDescent="0.2">
      <c r="A1331" s="28"/>
      <c r="B1331" s="28"/>
      <c r="C1331" s="28"/>
      <c r="D1331" s="28"/>
      <c r="E1331" s="16"/>
    </row>
    <row r="1332" spans="1:5" x14ac:dyDescent="0.2">
      <c r="A1332" s="28"/>
      <c r="B1332" s="28"/>
      <c r="C1332" s="28"/>
      <c r="D1332" s="28"/>
      <c r="E1332" s="16"/>
    </row>
    <row r="1333" spans="1:5" x14ac:dyDescent="0.2">
      <c r="A1333" s="28"/>
      <c r="B1333" s="28"/>
      <c r="C1333" s="28"/>
      <c r="D1333" s="28"/>
      <c r="E1333" s="16"/>
    </row>
    <row r="1334" spans="1:5" x14ac:dyDescent="0.2">
      <c r="A1334" s="28"/>
      <c r="B1334" s="28"/>
      <c r="C1334" s="28"/>
      <c r="D1334" s="28"/>
      <c r="E1334" s="16"/>
    </row>
    <row r="1335" spans="1:5" x14ac:dyDescent="0.2">
      <c r="A1335" s="28"/>
      <c r="B1335" s="28"/>
      <c r="C1335" s="28"/>
      <c r="D1335" s="28"/>
      <c r="E1335" s="16"/>
    </row>
    <row r="1336" spans="1:5" x14ac:dyDescent="0.2">
      <c r="A1336" s="28"/>
      <c r="B1336" s="28"/>
      <c r="C1336" s="28"/>
      <c r="D1336" s="28"/>
      <c r="E1336" s="16"/>
    </row>
    <row r="1337" spans="1:5" x14ac:dyDescent="0.2">
      <c r="A1337" s="28"/>
      <c r="B1337" s="28"/>
      <c r="C1337" s="28"/>
      <c r="D1337" s="28"/>
      <c r="E1337" s="16"/>
    </row>
    <row r="1338" spans="1:5" x14ac:dyDescent="0.2">
      <c r="A1338" s="28"/>
      <c r="B1338" s="28"/>
      <c r="C1338" s="28"/>
      <c r="D1338" s="28"/>
      <c r="E1338" s="16"/>
    </row>
    <row r="1339" spans="1:5" x14ac:dyDescent="0.2">
      <c r="A1339" s="28"/>
      <c r="B1339" s="28"/>
      <c r="C1339" s="28"/>
      <c r="D1339" s="28"/>
      <c r="E1339" s="16"/>
    </row>
    <row r="1340" spans="1:5" x14ac:dyDescent="0.2">
      <c r="A1340" s="28"/>
      <c r="B1340" s="28"/>
      <c r="C1340" s="28"/>
      <c r="D1340" s="28"/>
      <c r="E1340" s="16"/>
    </row>
    <row r="1341" spans="1:5" x14ac:dyDescent="0.2">
      <c r="A1341" s="28"/>
      <c r="B1341" s="28"/>
      <c r="C1341" s="28"/>
      <c r="D1341" s="28"/>
      <c r="E1341" s="16"/>
    </row>
    <row r="1342" spans="1:5" x14ac:dyDescent="0.2">
      <c r="A1342" s="28"/>
      <c r="B1342" s="28"/>
      <c r="C1342" s="28"/>
      <c r="D1342" s="28"/>
      <c r="E1342" s="16"/>
    </row>
    <row r="1343" spans="1:5" x14ac:dyDescent="0.2">
      <c r="A1343" s="28"/>
      <c r="B1343" s="28"/>
      <c r="C1343" s="28"/>
      <c r="D1343" s="28"/>
      <c r="E1343" s="16"/>
    </row>
    <row r="1344" spans="1:5" x14ac:dyDescent="0.2">
      <c r="A1344" s="28"/>
      <c r="B1344" s="28"/>
      <c r="C1344" s="28"/>
      <c r="D1344" s="28"/>
      <c r="E1344" s="16"/>
    </row>
    <row r="1345" spans="1:5" x14ac:dyDescent="0.2">
      <c r="A1345" s="28"/>
      <c r="B1345" s="28"/>
      <c r="C1345" s="28"/>
      <c r="D1345" s="28"/>
      <c r="E1345" s="16"/>
    </row>
    <row r="1346" spans="1:5" x14ac:dyDescent="0.2">
      <c r="A1346" s="28"/>
      <c r="B1346" s="28"/>
      <c r="C1346" s="28"/>
      <c r="D1346" s="28"/>
      <c r="E1346" s="16"/>
    </row>
    <row r="1347" spans="1:5" x14ac:dyDescent="0.2">
      <c r="A1347" s="28"/>
      <c r="B1347" s="28"/>
      <c r="C1347" s="28"/>
      <c r="D1347" s="28"/>
      <c r="E1347" s="16"/>
    </row>
    <row r="1348" spans="1:5" x14ac:dyDescent="0.2">
      <c r="A1348" s="28"/>
      <c r="B1348" s="28"/>
      <c r="C1348" s="28"/>
      <c r="D1348" s="28"/>
      <c r="E1348" s="16"/>
    </row>
    <row r="1349" spans="1:5" x14ac:dyDescent="0.2">
      <c r="A1349" s="28"/>
      <c r="B1349" s="28"/>
      <c r="C1349" s="28"/>
      <c r="D1349" s="28"/>
      <c r="E1349" s="16"/>
    </row>
    <row r="1350" spans="1:5" x14ac:dyDescent="0.2">
      <c r="A1350" s="28"/>
      <c r="B1350" s="28"/>
      <c r="C1350" s="28"/>
      <c r="D1350" s="28"/>
      <c r="E1350" s="16"/>
    </row>
    <row r="1351" spans="1:5" x14ac:dyDescent="0.2">
      <c r="A1351" s="28"/>
      <c r="B1351" s="28"/>
      <c r="C1351" s="28"/>
      <c r="D1351" s="28"/>
      <c r="E1351" s="16"/>
    </row>
    <row r="1352" spans="1:5" x14ac:dyDescent="0.2">
      <c r="A1352" s="28"/>
      <c r="B1352" s="28"/>
      <c r="C1352" s="28"/>
      <c r="D1352" s="28"/>
      <c r="E1352" s="16"/>
    </row>
    <row r="1353" spans="1:5" x14ac:dyDescent="0.2">
      <c r="A1353" s="28"/>
      <c r="B1353" s="28"/>
      <c r="C1353" s="28"/>
      <c r="D1353" s="28"/>
      <c r="E1353" s="16"/>
    </row>
    <row r="1354" spans="1:5" x14ac:dyDescent="0.2">
      <c r="A1354" s="28"/>
      <c r="B1354" s="28"/>
      <c r="C1354" s="28"/>
      <c r="D1354" s="28"/>
      <c r="E1354" s="16"/>
    </row>
    <row r="1355" spans="1:5" x14ac:dyDescent="0.2">
      <c r="A1355" s="28"/>
      <c r="B1355" s="28"/>
      <c r="C1355" s="28"/>
      <c r="D1355" s="28"/>
      <c r="E1355" s="16"/>
    </row>
    <row r="1356" spans="1:5" x14ac:dyDescent="0.2">
      <c r="A1356" s="28"/>
      <c r="B1356" s="28"/>
      <c r="C1356" s="28"/>
      <c r="D1356" s="28"/>
      <c r="E1356" s="16"/>
    </row>
    <row r="1357" spans="1:5" x14ac:dyDescent="0.2">
      <c r="A1357" s="28"/>
      <c r="B1357" s="28"/>
      <c r="C1357" s="28"/>
      <c r="D1357" s="28"/>
      <c r="E1357" s="16"/>
    </row>
    <row r="1358" spans="1:5" x14ac:dyDescent="0.2">
      <c r="A1358" s="28"/>
      <c r="B1358" s="28"/>
      <c r="C1358" s="28"/>
      <c r="D1358" s="28"/>
      <c r="E1358" s="16"/>
    </row>
    <row r="1359" spans="1:5" x14ac:dyDescent="0.2">
      <c r="A1359" s="28"/>
      <c r="B1359" s="28"/>
      <c r="C1359" s="28"/>
      <c r="D1359" s="28"/>
      <c r="E1359" s="16"/>
    </row>
    <row r="1360" spans="1:5" x14ac:dyDescent="0.2">
      <c r="A1360" s="28"/>
      <c r="B1360" s="28"/>
      <c r="C1360" s="28"/>
      <c r="D1360" s="28"/>
      <c r="E1360" s="16"/>
    </row>
    <row r="1361" spans="1:5" x14ac:dyDescent="0.2">
      <c r="A1361" s="28"/>
      <c r="B1361" s="28"/>
      <c r="C1361" s="28"/>
      <c r="D1361" s="28"/>
      <c r="E1361" s="16"/>
    </row>
    <row r="1362" spans="1:5" x14ac:dyDescent="0.2">
      <c r="A1362" s="28"/>
      <c r="B1362" s="28"/>
      <c r="C1362" s="28"/>
      <c r="D1362" s="28"/>
      <c r="E1362" s="16"/>
    </row>
    <row r="1363" spans="1:5" x14ac:dyDescent="0.2">
      <c r="A1363" s="28"/>
      <c r="B1363" s="28"/>
      <c r="C1363" s="28"/>
      <c r="D1363" s="28"/>
      <c r="E1363" s="16"/>
    </row>
    <row r="1364" spans="1:5" x14ac:dyDescent="0.2">
      <c r="A1364" s="28"/>
      <c r="B1364" s="28"/>
      <c r="C1364" s="28"/>
      <c r="D1364" s="28"/>
      <c r="E1364" s="16"/>
    </row>
    <row r="1365" spans="1:5" x14ac:dyDescent="0.2">
      <c r="A1365" s="28"/>
      <c r="B1365" s="28"/>
      <c r="C1365" s="28"/>
      <c r="D1365" s="28"/>
      <c r="E1365" s="16"/>
    </row>
    <row r="1366" spans="1:5" x14ac:dyDescent="0.2">
      <c r="A1366" s="28"/>
      <c r="B1366" s="28"/>
      <c r="C1366" s="28"/>
      <c r="D1366" s="28"/>
      <c r="E1366" s="16"/>
    </row>
    <row r="1367" spans="1:5" x14ac:dyDescent="0.2">
      <c r="A1367" s="28"/>
      <c r="B1367" s="28"/>
      <c r="C1367" s="28"/>
      <c r="D1367" s="28"/>
      <c r="E1367" s="16"/>
    </row>
    <row r="1368" spans="1:5" x14ac:dyDescent="0.2">
      <c r="A1368" s="28"/>
      <c r="B1368" s="28"/>
      <c r="C1368" s="28"/>
      <c r="D1368" s="28"/>
      <c r="E1368" s="16"/>
    </row>
    <row r="1369" spans="1:5" x14ac:dyDescent="0.2">
      <c r="A1369" s="28"/>
      <c r="B1369" s="28"/>
      <c r="C1369" s="28"/>
      <c r="D1369" s="28"/>
      <c r="E1369" s="16"/>
    </row>
    <row r="1370" spans="1:5" x14ac:dyDescent="0.2">
      <c r="A1370" s="28"/>
      <c r="B1370" s="28"/>
      <c r="C1370" s="28"/>
      <c r="D1370" s="28"/>
      <c r="E1370" s="16"/>
    </row>
    <row r="1371" spans="1:5" x14ac:dyDescent="0.2">
      <c r="A1371" s="28"/>
      <c r="B1371" s="28"/>
      <c r="C1371" s="28"/>
      <c r="D1371" s="28"/>
      <c r="E1371" s="16"/>
    </row>
    <row r="1372" spans="1:5" x14ac:dyDescent="0.2">
      <c r="A1372" s="28"/>
      <c r="B1372" s="28"/>
      <c r="C1372" s="28"/>
      <c r="D1372" s="28"/>
      <c r="E1372" s="16"/>
    </row>
    <row r="1373" spans="1:5" x14ac:dyDescent="0.2">
      <c r="A1373" s="28"/>
      <c r="B1373" s="28"/>
      <c r="C1373" s="28"/>
      <c r="D1373" s="28"/>
      <c r="E1373" s="16"/>
    </row>
    <row r="1374" spans="1:5" x14ac:dyDescent="0.2">
      <c r="A1374" s="28"/>
      <c r="B1374" s="28"/>
      <c r="C1374" s="28"/>
      <c r="D1374" s="28"/>
      <c r="E1374" s="16"/>
    </row>
    <row r="1375" spans="1:5" x14ac:dyDescent="0.2">
      <c r="A1375" s="28"/>
      <c r="B1375" s="28"/>
      <c r="C1375" s="28"/>
      <c r="D1375" s="28"/>
      <c r="E1375" s="16"/>
    </row>
    <row r="1376" spans="1:5" x14ac:dyDescent="0.2">
      <c r="A1376" s="28"/>
      <c r="B1376" s="28"/>
      <c r="C1376" s="28"/>
      <c r="D1376" s="28"/>
      <c r="E1376" s="16"/>
    </row>
    <row r="1377" spans="1:5" x14ac:dyDescent="0.2">
      <c r="A1377" s="28"/>
      <c r="B1377" s="28"/>
      <c r="C1377" s="28"/>
      <c r="D1377" s="28"/>
      <c r="E1377" s="16"/>
    </row>
    <row r="1378" spans="1:5" x14ac:dyDescent="0.2">
      <c r="A1378" s="28"/>
      <c r="B1378" s="28"/>
      <c r="C1378" s="28"/>
      <c r="D1378" s="28"/>
      <c r="E1378" s="16"/>
    </row>
    <row r="1379" spans="1:5" x14ac:dyDescent="0.2">
      <c r="A1379" s="28"/>
      <c r="B1379" s="28"/>
      <c r="C1379" s="28"/>
      <c r="D1379" s="28"/>
      <c r="E1379" s="16"/>
    </row>
    <row r="1380" spans="1:5" x14ac:dyDescent="0.2">
      <c r="A1380" s="28"/>
      <c r="B1380" s="28"/>
      <c r="C1380" s="28"/>
      <c r="D1380" s="28"/>
      <c r="E1380" s="16"/>
    </row>
    <row r="1381" spans="1:5" x14ac:dyDescent="0.2">
      <c r="A1381" s="28"/>
      <c r="B1381" s="28"/>
      <c r="C1381" s="28"/>
      <c r="D1381" s="28"/>
      <c r="E1381" s="16"/>
    </row>
    <row r="1382" spans="1:5" x14ac:dyDescent="0.2">
      <c r="A1382" s="28"/>
      <c r="B1382" s="28"/>
      <c r="C1382" s="28"/>
      <c r="D1382" s="28"/>
      <c r="E1382" s="16"/>
    </row>
    <row r="1383" spans="1:5" x14ac:dyDescent="0.2">
      <c r="A1383" s="28"/>
      <c r="B1383" s="28"/>
      <c r="C1383" s="28"/>
      <c r="D1383" s="28"/>
      <c r="E1383" s="16"/>
    </row>
    <row r="1384" spans="1:5" x14ac:dyDescent="0.2">
      <c r="A1384" s="28"/>
      <c r="B1384" s="28"/>
      <c r="C1384" s="28"/>
      <c r="D1384" s="28"/>
      <c r="E1384" s="16"/>
    </row>
    <row r="1385" spans="1:5" x14ac:dyDescent="0.2">
      <c r="A1385" s="28"/>
      <c r="B1385" s="28"/>
      <c r="C1385" s="28"/>
      <c r="D1385" s="28"/>
      <c r="E1385" s="16"/>
    </row>
    <row r="1386" spans="1:5" x14ac:dyDescent="0.2">
      <c r="A1386" s="28"/>
      <c r="B1386" s="28"/>
      <c r="C1386" s="28"/>
      <c r="D1386" s="28"/>
      <c r="E1386" s="16"/>
    </row>
    <row r="1387" spans="1:5" x14ac:dyDescent="0.2">
      <c r="A1387" s="28"/>
      <c r="B1387" s="28"/>
      <c r="C1387" s="28"/>
      <c r="D1387" s="28"/>
      <c r="E1387" s="16"/>
    </row>
    <row r="1388" spans="1:5" x14ac:dyDescent="0.2">
      <c r="A1388" s="28"/>
      <c r="B1388" s="28"/>
      <c r="C1388" s="28"/>
      <c r="D1388" s="28"/>
      <c r="E1388" s="16"/>
    </row>
    <row r="1389" spans="1:5" x14ac:dyDescent="0.2">
      <c r="A1389" s="28"/>
      <c r="B1389" s="28"/>
      <c r="C1389" s="28"/>
      <c r="D1389" s="28"/>
      <c r="E1389" s="16"/>
    </row>
    <row r="1390" spans="1:5" x14ac:dyDescent="0.2">
      <c r="A1390" s="28"/>
      <c r="B1390" s="28"/>
      <c r="C1390" s="28"/>
      <c r="D1390" s="28"/>
      <c r="E1390" s="16"/>
    </row>
    <row r="1391" spans="1:5" x14ac:dyDescent="0.2">
      <c r="A1391" s="28"/>
      <c r="B1391" s="28"/>
      <c r="C1391" s="28"/>
      <c r="D1391" s="28"/>
      <c r="E1391" s="16"/>
    </row>
    <row r="1392" spans="1:5" x14ac:dyDescent="0.2">
      <c r="A1392" s="28"/>
      <c r="B1392" s="28"/>
      <c r="C1392" s="28"/>
      <c r="D1392" s="28"/>
      <c r="E1392" s="16"/>
    </row>
    <row r="1393" spans="1:5" x14ac:dyDescent="0.2">
      <c r="A1393" s="28"/>
      <c r="B1393" s="28"/>
      <c r="C1393" s="28"/>
      <c r="D1393" s="28"/>
      <c r="E1393" s="16"/>
    </row>
    <row r="1394" spans="1:5" x14ac:dyDescent="0.2">
      <c r="A1394" s="28"/>
      <c r="B1394" s="28"/>
      <c r="C1394" s="28"/>
      <c r="D1394" s="28"/>
      <c r="E1394" s="16"/>
    </row>
    <row r="1395" spans="1:5" x14ac:dyDescent="0.2">
      <c r="A1395" s="28"/>
      <c r="B1395" s="28"/>
      <c r="C1395" s="28"/>
      <c r="D1395" s="28"/>
      <c r="E1395" s="16"/>
    </row>
    <row r="1396" spans="1:5" x14ac:dyDescent="0.2">
      <c r="A1396" s="28"/>
      <c r="B1396" s="28"/>
      <c r="C1396" s="28"/>
      <c r="D1396" s="28"/>
      <c r="E1396" s="16"/>
    </row>
    <row r="1397" spans="1:5" x14ac:dyDescent="0.2">
      <c r="A1397" s="28"/>
      <c r="B1397" s="28"/>
      <c r="C1397" s="28"/>
      <c r="D1397" s="28"/>
      <c r="E1397" s="16"/>
    </row>
    <row r="1398" spans="1:5" x14ac:dyDescent="0.2">
      <c r="A1398" s="28"/>
      <c r="B1398" s="28"/>
      <c r="C1398" s="28"/>
      <c r="D1398" s="28"/>
      <c r="E1398" s="16"/>
    </row>
    <row r="1399" spans="1:5" x14ac:dyDescent="0.2">
      <c r="A1399" s="28"/>
      <c r="B1399" s="28"/>
      <c r="C1399" s="28"/>
      <c r="D1399" s="28"/>
      <c r="E1399" s="16"/>
    </row>
    <row r="1400" spans="1:5" x14ac:dyDescent="0.2">
      <c r="A1400" s="28"/>
      <c r="B1400" s="28"/>
      <c r="C1400" s="28"/>
      <c r="D1400" s="28"/>
      <c r="E1400" s="16"/>
    </row>
    <row r="1401" spans="1:5" x14ac:dyDescent="0.2">
      <c r="A1401" s="28"/>
      <c r="B1401" s="28"/>
      <c r="C1401" s="28"/>
      <c r="D1401" s="28"/>
      <c r="E1401" s="16"/>
    </row>
    <row r="1402" spans="1:5" x14ac:dyDescent="0.2">
      <c r="A1402" s="28"/>
      <c r="B1402" s="28"/>
      <c r="C1402" s="28"/>
      <c r="D1402" s="28"/>
      <c r="E1402" s="16"/>
    </row>
    <row r="1403" spans="1:5" x14ac:dyDescent="0.2">
      <c r="A1403" s="28"/>
      <c r="B1403" s="28"/>
      <c r="C1403" s="28"/>
      <c r="D1403" s="28"/>
      <c r="E1403" s="16"/>
    </row>
    <row r="1404" spans="1:5" x14ac:dyDescent="0.2">
      <c r="A1404" s="28"/>
      <c r="B1404" s="28"/>
      <c r="C1404" s="28"/>
      <c r="D1404" s="28"/>
      <c r="E1404" s="16"/>
    </row>
    <row r="1405" spans="1:5" x14ac:dyDescent="0.2">
      <c r="A1405" s="28"/>
      <c r="B1405" s="28"/>
      <c r="C1405" s="28"/>
      <c r="D1405" s="28"/>
      <c r="E1405" s="16"/>
    </row>
    <row r="1406" spans="1:5" x14ac:dyDescent="0.2">
      <c r="A1406" s="28"/>
      <c r="B1406" s="28"/>
      <c r="C1406" s="28"/>
      <c r="D1406" s="28"/>
      <c r="E1406" s="16"/>
    </row>
    <row r="1407" spans="1:5" x14ac:dyDescent="0.2">
      <c r="A1407" s="28"/>
      <c r="B1407" s="28"/>
      <c r="C1407" s="28"/>
      <c r="D1407" s="28"/>
      <c r="E1407" s="16"/>
    </row>
    <row r="1408" spans="1:5" x14ac:dyDescent="0.2">
      <c r="A1408" s="28"/>
      <c r="B1408" s="28"/>
      <c r="C1408" s="28"/>
      <c r="D1408" s="28"/>
      <c r="E1408" s="16"/>
    </row>
    <row r="1409" spans="1:5" x14ac:dyDescent="0.2">
      <c r="A1409" s="28"/>
      <c r="B1409" s="28"/>
      <c r="C1409" s="28"/>
      <c r="D1409" s="28"/>
      <c r="E1409" s="16"/>
    </row>
    <row r="1410" spans="1:5" x14ac:dyDescent="0.2">
      <c r="A1410" s="28"/>
      <c r="B1410" s="28"/>
      <c r="C1410" s="28"/>
      <c r="D1410" s="28"/>
      <c r="E1410" s="16"/>
    </row>
    <row r="1411" spans="1:5" x14ac:dyDescent="0.2">
      <c r="A1411" s="28"/>
      <c r="B1411" s="28"/>
      <c r="C1411" s="28"/>
      <c r="D1411" s="28"/>
      <c r="E1411" s="16"/>
    </row>
    <row r="1412" spans="1:5" x14ac:dyDescent="0.2">
      <c r="A1412" s="28"/>
      <c r="B1412" s="28"/>
      <c r="C1412" s="28"/>
      <c r="D1412" s="28"/>
      <c r="E1412" s="16"/>
    </row>
    <row r="1413" spans="1:5" x14ac:dyDescent="0.2">
      <c r="A1413" s="28"/>
      <c r="B1413" s="28"/>
      <c r="C1413" s="28"/>
      <c r="D1413" s="28"/>
      <c r="E1413" s="16"/>
    </row>
    <row r="1414" spans="1:5" x14ac:dyDescent="0.2">
      <c r="A1414" s="28"/>
      <c r="B1414" s="28"/>
      <c r="C1414" s="28"/>
      <c r="D1414" s="28"/>
      <c r="E1414" s="16"/>
    </row>
    <row r="1415" spans="1:5" x14ac:dyDescent="0.2">
      <c r="A1415" s="28"/>
      <c r="B1415" s="28"/>
      <c r="C1415" s="28"/>
      <c r="D1415" s="28"/>
      <c r="E1415" s="16"/>
    </row>
    <row r="1416" spans="1:5" x14ac:dyDescent="0.2">
      <c r="A1416" s="28"/>
      <c r="B1416" s="28"/>
      <c r="C1416" s="28"/>
      <c r="D1416" s="28"/>
      <c r="E1416" s="16"/>
    </row>
    <row r="1417" spans="1:5" x14ac:dyDescent="0.2">
      <c r="A1417" s="28"/>
      <c r="B1417" s="28"/>
      <c r="C1417" s="28"/>
      <c r="D1417" s="28"/>
      <c r="E1417" s="16"/>
    </row>
    <row r="1418" spans="1:5" x14ac:dyDescent="0.2">
      <c r="A1418" s="28"/>
      <c r="B1418" s="28"/>
      <c r="C1418" s="28"/>
      <c r="D1418" s="28"/>
      <c r="E1418" s="16"/>
    </row>
    <row r="1419" spans="1:5" x14ac:dyDescent="0.2">
      <c r="A1419" s="28"/>
      <c r="B1419" s="28"/>
      <c r="C1419" s="28"/>
      <c r="D1419" s="28"/>
      <c r="E1419" s="16"/>
    </row>
    <row r="1420" spans="1:5" x14ac:dyDescent="0.2">
      <c r="A1420" s="28"/>
      <c r="B1420" s="28"/>
      <c r="C1420" s="28"/>
      <c r="D1420" s="28"/>
      <c r="E1420" s="16"/>
    </row>
    <row r="1421" spans="1:5" x14ac:dyDescent="0.2">
      <c r="A1421" s="28"/>
      <c r="B1421" s="28"/>
      <c r="C1421" s="28"/>
      <c r="D1421" s="28"/>
      <c r="E1421" s="16"/>
    </row>
    <row r="1422" spans="1:5" x14ac:dyDescent="0.2">
      <c r="A1422" s="28"/>
      <c r="B1422" s="28"/>
      <c r="C1422" s="28"/>
      <c r="D1422" s="28"/>
      <c r="E1422" s="16"/>
    </row>
    <row r="1423" spans="1:5" x14ac:dyDescent="0.2">
      <c r="A1423" s="28"/>
      <c r="B1423" s="28"/>
      <c r="C1423" s="28"/>
      <c r="D1423" s="28"/>
      <c r="E1423" s="16"/>
    </row>
    <row r="1424" spans="1:5" x14ac:dyDescent="0.2">
      <c r="A1424" s="28"/>
      <c r="B1424" s="28"/>
      <c r="C1424" s="28"/>
      <c r="D1424" s="28"/>
      <c r="E1424" s="16"/>
    </row>
    <row r="1425" spans="1:5" x14ac:dyDescent="0.2">
      <c r="A1425" s="28"/>
      <c r="B1425" s="28"/>
      <c r="C1425" s="28"/>
      <c r="D1425" s="28"/>
      <c r="E1425" s="16"/>
    </row>
    <row r="1426" spans="1:5" x14ac:dyDescent="0.2">
      <c r="A1426" s="28"/>
      <c r="B1426" s="28"/>
      <c r="C1426" s="28"/>
      <c r="D1426" s="28"/>
      <c r="E1426" s="16"/>
    </row>
    <row r="1427" spans="1:5" x14ac:dyDescent="0.2">
      <c r="A1427" s="28"/>
      <c r="B1427" s="28"/>
      <c r="C1427" s="28"/>
      <c r="D1427" s="28"/>
      <c r="E1427" s="16"/>
    </row>
    <row r="1428" spans="1:5" x14ac:dyDescent="0.2">
      <c r="A1428" s="28"/>
      <c r="B1428" s="28"/>
      <c r="C1428" s="28"/>
      <c r="D1428" s="28"/>
      <c r="E1428" s="16"/>
    </row>
    <row r="1429" spans="1:5" x14ac:dyDescent="0.2">
      <c r="A1429" s="28"/>
      <c r="B1429" s="28"/>
      <c r="C1429" s="28"/>
      <c r="D1429" s="28"/>
      <c r="E1429" s="16"/>
    </row>
    <row r="1430" spans="1:5" x14ac:dyDescent="0.2">
      <c r="A1430" s="28"/>
      <c r="B1430" s="28"/>
      <c r="C1430" s="28"/>
      <c r="D1430" s="28"/>
      <c r="E1430" s="16"/>
    </row>
    <row r="1431" spans="1:5" x14ac:dyDescent="0.2">
      <c r="A1431" s="28"/>
      <c r="B1431" s="28"/>
      <c r="C1431" s="28"/>
      <c r="D1431" s="28"/>
      <c r="E1431" s="16"/>
    </row>
    <row r="1432" spans="1:5" x14ac:dyDescent="0.2">
      <c r="A1432" s="28"/>
      <c r="B1432" s="28"/>
      <c r="C1432" s="28"/>
      <c r="D1432" s="28"/>
      <c r="E1432" s="16"/>
    </row>
    <row r="1433" spans="1:5" x14ac:dyDescent="0.2">
      <c r="A1433" s="28"/>
      <c r="B1433" s="28"/>
      <c r="C1433" s="28"/>
      <c r="D1433" s="28"/>
      <c r="E1433" s="16"/>
    </row>
    <row r="1434" spans="1:5" x14ac:dyDescent="0.2">
      <c r="A1434" s="28"/>
      <c r="B1434" s="28"/>
      <c r="C1434" s="28"/>
      <c r="D1434" s="28"/>
      <c r="E1434" s="16"/>
    </row>
    <row r="1435" spans="1:5" x14ac:dyDescent="0.2">
      <c r="A1435" s="28"/>
      <c r="B1435" s="28"/>
      <c r="C1435" s="28"/>
      <c r="D1435" s="28"/>
      <c r="E1435" s="16"/>
    </row>
    <row r="1436" spans="1:5" x14ac:dyDescent="0.2">
      <c r="A1436" s="28"/>
      <c r="B1436" s="28"/>
      <c r="C1436" s="28"/>
      <c r="D1436" s="28"/>
      <c r="E1436" s="16"/>
    </row>
    <row r="1437" spans="1:5" x14ac:dyDescent="0.2">
      <c r="A1437" s="28"/>
      <c r="B1437" s="28"/>
      <c r="C1437" s="28"/>
      <c r="D1437" s="28"/>
      <c r="E1437" s="16"/>
    </row>
    <row r="1438" spans="1:5" x14ac:dyDescent="0.2">
      <c r="A1438" s="28"/>
      <c r="B1438" s="28"/>
      <c r="C1438" s="28"/>
      <c r="D1438" s="28"/>
      <c r="E1438" s="16"/>
    </row>
    <row r="1439" spans="1:5" x14ac:dyDescent="0.2">
      <c r="A1439" s="28"/>
      <c r="B1439" s="28"/>
      <c r="C1439" s="28"/>
      <c r="D1439" s="28"/>
      <c r="E1439" s="16"/>
    </row>
    <row r="1440" spans="1:5" x14ac:dyDescent="0.2">
      <c r="A1440" s="28"/>
      <c r="B1440" s="28"/>
      <c r="C1440" s="28"/>
      <c r="D1440" s="28"/>
      <c r="E1440" s="16"/>
    </row>
    <row r="1441" spans="1:5" x14ac:dyDescent="0.2">
      <c r="A1441" s="28"/>
      <c r="B1441" s="28"/>
      <c r="C1441" s="28"/>
      <c r="D1441" s="28"/>
      <c r="E1441" s="16"/>
    </row>
    <row r="1442" spans="1:5" x14ac:dyDescent="0.2">
      <c r="A1442" s="28"/>
      <c r="B1442" s="28"/>
      <c r="C1442" s="28"/>
      <c r="D1442" s="28"/>
      <c r="E1442" s="16"/>
    </row>
    <row r="1443" spans="1:5" x14ac:dyDescent="0.2">
      <c r="A1443" s="28"/>
      <c r="B1443" s="28"/>
      <c r="C1443" s="28"/>
      <c r="D1443" s="28"/>
      <c r="E1443" s="16"/>
    </row>
    <row r="1444" spans="1:5" x14ac:dyDescent="0.2">
      <c r="A1444" s="28"/>
      <c r="B1444" s="28"/>
      <c r="C1444" s="28"/>
      <c r="D1444" s="28"/>
      <c r="E1444" s="16"/>
    </row>
    <row r="1445" spans="1:5" x14ac:dyDescent="0.2">
      <c r="A1445" s="28"/>
      <c r="B1445" s="28"/>
      <c r="C1445" s="28"/>
      <c r="D1445" s="28"/>
      <c r="E1445" s="16"/>
    </row>
    <row r="1446" spans="1:5" x14ac:dyDescent="0.2">
      <c r="A1446" s="28"/>
      <c r="B1446" s="28"/>
      <c r="C1446" s="28"/>
      <c r="D1446" s="28"/>
      <c r="E1446" s="16"/>
    </row>
    <row r="1447" spans="1:5" x14ac:dyDescent="0.2">
      <c r="A1447" s="28"/>
      <c r="B1447" s="28"/>
      <c r="C1447" s="28"/>
      <c r="D1447" s="28"/>
      <c r="E1447" s="16"/>
    </row>
    <row r="1448" spans="1:5" x14ac:dyDescent="0.2">
      <c r="A1448" s="28"/>
      <c r="B1448" s="28"/>
      <c r="C1448" s="28"/>
      <c r="D1448" s="28"/>
      <c r="E1448" s="16"/>
    </row>
    <row r="1449" spans="1:5" x14ac:dyDescent="0.2">
      <c r="A1449" s="28"/>
      <c r="B1449" s="28"/>
      <c r="C1449" s="28"/>
      <c r="D1449" s="28"/>
      <c r="E1449" s="16"/>
    </row>
    <row r="1450" spans="1:5" x14ac:dyDescent="0.2">
      <c r="A1450" s="28"/>
      <c r="B1450" s="28"/>
      <c r="C1450" s="28"/>
      <c r="D1450" s="28"/>
      <c r="E1450" s="16"/>
    </row>
    <row r="1451" spans="1:5" x14ac:dyDescent="0.2">
      <c r="A1451" s="28"/>
      <c r="B1451" s="28"/>
      <c r="C1451" s="28"/>
      <c r="D1451" s="28"/>
      <c r="E1451" s="16"/>
    </row>
    <row r="1452" spans="1:5" x14ac:dyDescent="0.2">
      <c r="A1452" s="28"/>
      <c r="B1452" s="28"/>
      <c r="C1452" s="28"/>
      <c r="D1452" s="28"/>
      <c r="E1452" s="16"/>
    </row>
    <row r="1453" spans="1:5" x14ac:dyDescent="0.2">
      <c r="A1453" s="28"/>
      <c r="B1453" s="28"/>
      <c r="C1453" s="28"/>
      <c r="D1453" s="28"/>
      <c r="E1453" s="16"/>
    </row>
    <row r="1454" spans="1:5" x14ac:dyDescent="0.2">
      <c r="A1454" s="28"/>
      <c r="B1454" s="28"/>
      <c r="C1454" s="28"/>
      <c r="D1454" s="28"/>
      <c r="E1454" s="16"/>
    </row>
    <row r="1455" spans="1:5" x14ac:dyDescent="0.2">
      <c r="A1455" s="28"/>
      <c r="B1455" s="28"/>
      <c r="C1455" s="28"/>
      <c r="D1455" s="28"/>
      <c r="E1455" s="16"/>
    </row>
    <row r="1456" spans="1:5" x14ac:dyDescent="0.2">
      <c r="A1456" s="28"/>
      <c r="B1456" s="28"/>
      <c r="C1456" s="28"/>
      <c r="D1456" s="28"/>
      <c r="E1456" s="16"/>
    </row>
    <row r="1457" spans="1:5" x14ac:dyDescent="0.2">
      <c r="A1457" s="28"/>
      <c r="B1457" s="28"/>
      <c r="C1457" s="28"/>
      <c r="D1457" s="28"/>
      <c r="E1457" s="16"/>
    </row>
    <row r="1458" spans="1:5" x14ac:dyDescent="0.2">
      <c r="A1458" s="28"/>
      <c r="B1458" s="28"/>
      <c r="C1458" s="28"/>
      <c r="D1458" s="28"/>
      <c r="E1458" s="16"/>
    </row>
    <row r="1459" spans="1:5" x14ac:dyDescent="0.2">
      <c r="A1459" s="28"/>
      <c r="B1459" s="28"/>
      <c r="C1459" s="28"/>
      <c r="D1459" s="28"/>
      <c r="E1459" s="16"/>
    </row>
    <row r="1460" spans="1:5" x14ac:dyDescent="0.2">
      <c r="A1460" s="28"/>
      <c r="B1460" s="28"/>
      <c r="C1460" s="28"/>
      <c r="D1460" s="28"/>
      <c r="E1460" s="16"/>
    </row>
    <row r="1461" spans="1:5" x14ac:dyDescent="0.2">
      <c r="A1461" s="28"/>
      <c r="B1461" s="28"/>
      <c r="C1461" s="28"/>
      <c r="D1461" s="28"/>
      <c r="E1461" s="16"/>
    </row>
    <row r="1462" spans="1:5" x14ac:dyDescent="0.2">
      <c r="A1462" s="28"/>
      <c r="B1462" s="28"/>
      <c r="C1462" s="28"/>
      <c r="D1462" s="28"/>
      <c r="E1462" s="16"/>
    </row>
    <row r="1463" spans="1:5" x14ac:dyDescent="0.2">
      <c r="A1463" s="28"/>
      <c r="B1463" s="28"/>
      <c r="C1463" s="28"/>
      <c r="D1463" s="28"/>
      <c r="E1463" s="16"/>
    </row>
    <row r="1464" spans="1:5" x14ac:dyDescent="0.2">
      <c r="A1464" s="28"/>
      <c r="B1464" s="28"/>
      <c r="C1464" s="28"/>
      <c r="D1464" s="28"/>
      <c r="E1464" s="16"/>
    </row>
    <row r="1465" spans="1:5" x14ac:dyDescent="0.2">
      <c r="A1465" s="28"/>
      <c r="B1465" s="28"/>
      <c r="C1465" s="28"/>
      <c r="D1465" s="28"/>
      <c r="E1465" s="16"/>
    </row>
    <row r="1466" spans="1:5" x14ac:dyDescent="0.2">
      <c r="A1466" s="28"/>
      <c r="B1466" s="28"/>
      <c r="C1466" s="28"/>
      <c r="D1466" s="28"/>
      <c r="E1466" s="16"/>
    </row>
    <row r="1467" spans="1:5" x14ac:dyDescent="0.2">
      <c r="A1467" s="28"/>
      <c r="B1467" s="28"/>
      <c r="C1467" s="28"/>
      <c r="D1467" s="28"/>
      <c r="E1467" s="16"/>
    </row>
    <row r="1468" spans="1:5" x14ac:dyDescent="0.2">
      <c r="A1468" s="28"/>
      <c r="B1468" s="28"/>
      <c r="C1468" s="28"/>
      <c r="D1468" s="28"/>
      <c r="E1468" s="16"/>
    </row>
    <row r="1469" spans="1:5" x14ac:dyDescent="0.2">
      <c r="A1469" s="28"/>
      <c r="B1469" s="28"/>
      <c r="C1469" s="28"/>
      <c r="D1469" s="28"/>
      <c r="E1469" s="16"/>
    </row>
    <row r="1470" spans="1:5" x14ac:dyDescent="0.2">
      <c r="A1470" s="28"/>
      <c r="B1470" s="28"/>
      <c r="C1470" s="28"/>
      <c r="D1470" s="28"/>
      <c r="E1470" s="16"/>
    </row>
    <row r="1471" spans="1:5" x14ac:dyDescent="0.2">
      <c r="A1471" s="28"/>
      <c r="B1471" s="28"/>
      <c r="C1471" s="28"/>
      <c r="D1471" s="28"/>
      <c r="E1471" s="16"/>
    </row>
    <row r="1472" spans="1:5" x14ac:dyDescent="0.2">
      <c r="A1472" s="28"/>
      <c r="B1472" s="28"/>
      <c r="C1472" s="28"/>
      <c r="D1472" s="28"/>
      <c r="E1472" s="16"/>
    </row>
    <row r="1473" spans="1:5" x14ac:dyDescent="0.2">
      <c r="A1473" s="28"/>
      <c r="B1473" s="28"/>
      <c r="C1473" s="28"/>
      <c r="D1473" s="28"/>
      <c r="E1473" s="16"/>
    </row>
    <row r="1474" spans="1:5" x14ac:dyDescent="0.2">
      <c r="A1474" s="28"/>
      <c r="B1474" s="28"/>
      <c r="C1474" s="28"/>
      <c r="D1474" s="28"/>
      <c r="E1474" s="16"/>
    </row>
    <row r="1475" spans="1:5" x14ac:dyDescent="0.2">
      <c r="A1475" s="28"/>
      <c r="B1475" s="28"/>
      <c r="C1475" s="28"/>
      <c r="D1475" s="28"/>
      <c r="E1475" s="16"/>
    </row>
    <row r="1476" spans="1:5" x14ac:dyDescent="0.2">
      <c r="A1476" s="28"/>
      <c r="B1476" s="28"/>
      <c r="C1476" s="28"/>
      <c r="D1476" s="28"/>
      <c r="E1476" s="16"/>
    </row>
    <row r="1477" spans="1:5" x14ac:dyDescent="0.2">
      <c r="A1477" s="28"/>
      <c r="B1477" s="28"/>
      <c r="C1477" s="28"/>
      <c r="D1477" s="28"/>
      <c r="E1477" s="16"/>
    </row>
    <row r="1478" spans="1:5" x14ac:dyDescent="0.2">
      <c r="A1478" s="28"/>
      <c r="B1478" s="28"/>
      <c r="C1478" s="28"/>
      <c r="D1478" s="28"/>
      <c r="E1478" s="16"/>
    </row>
    <row r="1479" spans="1:5" x14ac:dyDescent="0.2">
      <c r="A1479" s="28"/>
      <c r="B1479" s="28"/>
      <c r="C1479" s="28"/>
      <c r="D1479" s="28"/>
      <c r="E1479" s="16"/>
    </row>
    <row r="1480" spans="1:5" x14ac:dyDescent="0.2">
      <c r="A1480" s="28"/>
      <c r="B1480" s="28"/>
      <c r="C1480" s="28"/>
      <c r="D1480" s="28"/>
      <c r="E1480" s="16"/>
    </row>
    <row r="1481" spans="1:5" x14ac:dyDescent="0.2">
      <c r="A1481" s="28"/>
      <c r="B1481" s="28"/>
      <c r="C1481" s="28"/>
      <c r="D1481" s="28"/>
      <c r="E1481" s="16"/>
    </row>
    <row r="1482" spans="1:5" x14ac:dyDescent="0.2">
      <c r="A1482" s="28"/>
      <c r="B1482" s="28"/>
      <c r="C1482" s="28"/>
      <c r="D1482" s="28"/>
      <c r="E1482" s="16"/>
    </row>
    <row r="1483" spans="1:5" x14ac:dyDescent="0.2">
      <c r="A1483" s="28"/>
      <c r="B1483" s="28"/>
      <c r="C1483" s="28"/>
      <c r="D1483" s="28"/>
      <c r="E1483" s="16"/>
    </row>
    <row r="1484" spans="1:5" x14ac:dyDescent="0.2">
      <c r="A1484" s="28"/>
      <c r="B1484" s="28"/>
      <c r="C1484" s="28"/>
      <c r="D1484" s="28"/>
      <c r="E1484" s="16"/>
    </row>
    <row r="1485" spans="1:5" x14ac:dyDescent="0.2">
      <c r="A1485" s="28"/>
      <c r="B1485" s="28"/>
      <c r="C1485" s="28"/>
      <c r="D1485" s="28"/>
      <c r="E1485" s="16"/>
    </row>
    <row r="1486" spans="1:5" x14ac:dyDescent="0.2">
      <c r="A1486" s="28"/>
      <c r="B1486" s="28"/>
      <c r="C1486" s="28"/>
      <c r="D1486" s="28"/>
      <c r="E1486" s="16"/>
    </row>
    <row r="1487" spans="1:5" x14ac:dyDescent="0.2">
      <c r="A1487" s="28"/>
      <c r="B1487" s="28"/>
      <c r="C1487" s="28"/>
      <c r="D1487" s="28"/>
      <c r="E1487" s="16"/>
    </row>
    <row r="1488" spans="1:5" x14ac:dyDescent="0.2">
      <c r="A1488" s="28"/>
      <c r="B1488" s="28"/>
      <c r="C1488" s="28"/>
      <c r="D1488" s="28"/>
      <c r="E1488" s="16"/>
    </row>
    <row r="1489" spans="1:5" x14ac:dyDescent="0.2">
      <c r="A1489" s="28"/>
      <c r="B1489" s="28"/>
      <c r="C1489" s="28"/>
      <c r="D1489" s="28"/>
      <c r="E1489" s="16"/>
    </row>
    <row r="1490" spans="1:5" x14ac:dyDescent="0.2">
      <c r="A1490" s="28"/>
      <c r="B1490" s="28"/>
      <c r="C1490" s="28"/>
      <c r="D1490" s="28"/>
      <c r="E1490" s="16"/>
    </row>
    <row r="1491" spans="1:5" x14ac:dyDescent="0.2">
      <c r="A1491" s="28"/>
      <c r="B1491" s="28"/>
      <c r="C1491" s="28"/>
      <c r="D1491" s="28"/>
      <c r="E1491" s="16"/>
    </row>
    <row r="1492" spans="1:5" x14ac:dyDescent="0.2">
      <c r="A1492" s="28"/>
      <c r="B1492" s="28"/>
      <c r="C1492" s="28"/>
      <c r="D1492" s="28"/>
      <c r="E1492" s="16"/>
    </row>
    <row r="1493" spans="1:5" x14ac:dyDescent="0.2">
      <c r="A1493" s="28"/>
      <c r="B1493" s="28"/>
      <c r="C1493" s="28"/>
      <c r="D1493" s="28"/>
      <c r="E1493" s="16"/>
    </row>
    <row r="1494" spans="1:5" x14ac:dyDescent="0.2">
      <c r="A1494" s="28"/>
      <c r="B1494" s="28"/>
      <c r="C1494" s="28"/>
      <c r="D1494" s="28"/>
      <c r="E1494" s="16"/>
    </row>
    <row r="1495" spans="1:5" x14ac:dyDescent="0.2">
      <c r="A1495" s="28"/>
      <c r="B1495" s="28"/>
      <c r="C1495" s="28"/>
      <c r="D1495" s="28"/>
      <c r="E1495" s="16"/>
    </row>
    <row r="1496" spans="1:5" x14ac:dyDescent="0.2">
      <c r="A1496" s="28"/>
      <c r="B1496" s="28"/>
      <c r="C1496" s="28"/>
      <c r="D1496" s="28"/>
      <c r="E1496" s="16"/>
    </row>
    <row r="1497" spans="1:5" x14ac:dyDescent="0.2">
      <c r="A1497" s="28"/>
      <c r="B1497" s="28"/>
      <c r="C1497" s="28"/>
      <c r="D1497" s="28"/>
      <c r="E1497" s="16"/>
    </row>
    <row r="1498" spans="1:5" x14ac:dyDescent="0.2">
      <c r="A1498" s="28"/>
      <c r="B1498" s="28"/>
      <c r="C1498" s="28"/>
      <c r="D1498" s="28"/>
      <c r="E1498" s="16"/>
    </row>
    <row r="1499" spans="1:5" x14ac:dyDescent="0.2">
      <c r="A1499" s="28"/>
      <c r="B1499" s="28"/>
      <c r="C1499" s="28"/>
      <c r="D1499" s="28"/>
      <c r="E1499" s="16"/>
    </row>
    <row r="1500" spans="1:5" x14ac:dyDescent="0.2">
      <c r="A1500" s="28"/>
      <c r="B1500" s="28"/>
      <c r="C1500" s="28"/>
      <c r="D1500" s="28"/>
      <c r="E1500" s="16"/>
    </row>
    <row r="1501" spans="1:5" x14ac:dyDescent="0.2">
      <c r="A1501" s="28"/>
      <c r="B1501" s="28"/>
      <c r="C1501" s="28"/>
      <c r="D1501" s="28"/>
      <c r="E1501" s="16"/>
    </row>
    <row r="1502" spans="1:5" x14ac:dyDescent="0.2">
      <c r="A1502" s="28"/>
      <c r="B1502" s="28"/>
      <c r="C1502" s="28"/>
      <c r="D1502" s="28"/>
      <c r="E1502" s="16"/>
    </row>
    <row r="1503" spans="1:5" x14ac:dyDescent="0.2">
      <c r="A1503" s="28"/>
      <c r="B1503" s="28"/>
      <c r="C1503" s="28"/>
      <c r="D1503" s="28"/>
      <c r="E1503" s="16"/>
    </row>
    <row r="1504" spans="1:5" x14ac:dyDescent="0.2">
      <c r="A1504" s="28"/>
      <c r="B1504" s="28"/>
      <c r="C1504" s="28"/>
      <c r="D1504" s="28"/>
      <c r="E1504" s="16"/>
    </row>
    <row r="1505" spans="1:5" x14ac:dyDescent="0.2">
      <c r="A1505" s="28"/>
      <c r="B1505" s="28"/>
      <c r="C1505" s="28"/>
      <c r="D1505" s="28"/>
      <c r="E1505" s="16"/>
    </row>
    <row r="1506" spans="1:5" x14ac:dyDescent="0.2">
      <c r="A1506" s="28"/>
      <c r="B1506" s="28"/>
      <c r="C1506" s="28"/>
      <c r="D1506" s="28"/>
      <c r="E1506" s="16"/>
    </row>
    <row r="1507" spans="1:5" x14ac:dyDescent="0.2">
      <c r="A1507" s="28"/>
      <c r="B1507" s="28"/>
      <c r="C1507" s="28"/>
      <c r="D1507" s="28"/>
      <c r="E1507" s="16"/>
    </row>
    <row r="1508" spans="1:5" x14ac:dyDescent="0.2">
      <c r="A1508" s="28"/>
      <c r="B1508" s="28"/>
      <c r="C1508" s="28"/>
      <c r="D1508" s="28"/>
      <c r="E1508" s="16"/>
    </row>
    <row r="1509" spans="1:5" x14ac:dyDescent="0.2">
      <c r="A1509" s="28"/>
      <c r="B1509" s="28"/>
      <c r="C1509" s="28"/>
      <c r="D1509" s="28"/>
      <c r="E1509" s="16"/>
    </row>
    <row r="1510" spans="1:5" x14ac:dyDescent="0.2">
      <c r="A1510" s="28"/>
      <c r="B1510" s="28"/>
      <c r="C1510" s="28"/>
      <c r="D1510" s="28"/>
      <c r="E1510" s="16"/>
    </row>
    <row r="1511" spans="1:5" x14ac:dyDescent="0.2">
      <c r="A1511" s="28"/>
      <c r="B1511" s="28"/>
      <c r="C1511" s="28"/>
      <c r="D1511" s="28"/>
      <c r="E1511" s="16"/>
    </row>
    <row r="1512" spans="1:5" x14ac:dyDescent="0.2">
      <c r="A1512" s="28"/>
      <c r="B1512" s="28"/>
      <c r="C1512" s="28"/>
      <c r="D1512" s="28"/>
      <c r="E1512" s="16"/>
    </row>
    <row r="1513" spans="1:5" x14ac:dyDescent="0.2">
      <c r="A1513" s="28"/>
      <c r="B1513" s="28"/>
      <c r="C1513" s="28"/>
      <c r="D1513" s="28"/>
      <c r="E1513" s="16"/>
    </row>
    <row r="1514" spans="1:5" x14ac:dyDescent="0.2">
      <c r="A1514" s="28"/>
      <c r="B1514" s="28"/>
      <c r="C1514" s="28"/>
      <c r="D1514" s="28"/>
      <c r="E1514" s="16"/>
    </row>
    <row r="1515" spans="1:5" x14ac:dyDescent="0.2">
      <c r="A1515" s="28"/>
      <c r="B1515" s="28"/>
      <c r="C1515" s="28"/>
      <c r="D1515" s="28"/>
      <c r="E1515" s="16"/>
    </row>
    <row r="1516" spans="1:5" x14ac:dyDescent="0.2">
      <c r="A1516" s="28"/>
      <c r="B1516" s="28"/>
      <c r="C1516" s="28"/>
      <c r="D1516" s="28"/>
      <c r="E1516" s="16"/>
    </row>
    <row r="1517" spans="1:5" x14ac:dyDescent="0.2">
      <c r="A1517" s="28"/>
      <c r="B1517" s="28"/>
      <c r="C1517" s="28"/>
      <c r="D1517" s="28"/>
      <c r="E1517" s="16"/>
    </row>
    <row r="1518" spans="1:5" x14ac:dyDescent="0.2">
      <c r="A1518" s="28"/>
      <c r="B1518" s="28"/>
      <c r="C1518" s="28"/>
      <c r="D1518" s="28"/>
      <c r="E1518" s="16"/>
    </row>
    <row r="1519" spans="1:5" x14ac:dyDescent="0.2">
      <c r="A1519" s="28"/>
      <c r="B1519" s="28"/>
      <c r="C1519" s="28"/>
      <c r="D1519" s="28"/>
      <c r="E1519" s="16"/>
    </row>
    <row r="1520" spans="1:5" x14ac:dyDescent="0.2">
      <c r="A1520" s="28"/>
      <c r="B1520" s="28"/>
      <c r="C1520" s="28"/>
      <c r="D1520" s="28"/>
      <c r="E1520" s="16"/>
    </row>
    <row r="1521" spans="1:5" x14ac:dyDescent="0.2">
      <c r="A1521" s="28"/>
      <c r="B1521" s="28"/>
      <c r="C1521" s="28"/>
      <c r="D1521" s="28"/>
      <c r="E1521" s="16"/>
    </row>
    <row r="1522" spans="1:5" x14ac:dyDescent="0.2">
      <c r="A1522" s="28"/>
      <c r="B1522" s="28"/>
      <c r="C1522" s="28"/>
      <c r="D1522" s="28"/>
      <c r="E1522" s="16"/>
    </row>
    <row r="1523" spans="1:5" x14ac:dyDescent="0.2">
      <c r="A1523" s="28"/>
      <c r="B1523" s="28"/>
      <c r="C1523" s="28"/>
      <c r="D1523" s="28"/>
      <c r="E1523" s="16"/>
    </row>
    <row r="1524" spans="1:5" x14ac:dyDescent="0.2">
      <c r="A1524" s="28"/>
      <c r="B1524" s="28"/>
      <c r="C1524" s="28"/>
      <c r="D1524" s="28"/>
      <c r="E1524" s="16"/>
    </row>
    <row r="1525" spans="1:5" x14ac:dyDescent="0.2">
      <c r="A1525" s="28"/>
      <c r="B1525" s="28"/>
      <c r="C1525" s="28"/>
      <c r="D1525" s="28"/>
      <c r="E1525" s="16"/>
    </row>
    <row r="1526" spans="1:5" x14ac:dyDescent="0.2">
      <c r="A1526" s="28"/>
      <c r="B1526" s="28"/>
      <c r="C1526" s="28"/>
      <c r="D1526" s="28"/>
      <c r="E1526" s="16"/>
    </row>
    <row r="1527" spans="1:5" x14ac:dyDescent="0.2">
      <c r="A1527" s="28"/>
      <c r="B1527" s="28"/>
      <c r="C1527" s="28"/>
      <c r="D1527" s="28"/>
      <c r="E1527" s="16"/>
    </row>
    <row r="1528" spans="1:5" x14ac:dyDescent="0.2">
      <c r="A1528" s="28"/>
      <c r="B1528" s="28"/>
      <c r="C1528" s="28"/>
      <c r="D1528" s="28"/>
      <c r="E1528" s="16"/>
    </row>
    <row r="1529" spans="1:5" x14ac:dyDescent="0.2">
      <c r="A1529" s="28"/>
      <c r="B1529" s="28"/>
      <c r="C1529" s="28"/>
      <c r="D1529" s="28"/>
      <c r="E1529" s="16"/>
    </row>
    <row r="1530" spans="1:5" x14ac:dyDescent="0.2">
      <c r="A1530" s="28"/>
      <c r="B1530" s="28"/>
      <c r="C1530" s="28"/>
      <c r="D1530" s="28"/>
      <c r="E1530" s="16"/>
    </row>
    <row r="1531" spans="1:5" x14ac:dyDescent="0.2">
      <c r="A1531" s="28"/>
      <c r="B1531" s="28"/>
      <c r="C1531" s="28"/>
      <c r="D1531" s="28"/>
      <c r="E1531" s="16"/>
    </row>
    <row r="1532" spans="1:5" x14ac:dyDescent="0.2">
      <c r="A1532" s="28"/>
      <c r="B1532" s="28"/>
      <c r="C1532" s="28"/>
      <c r="D1532" s="28"/>
      <c r="E1532" s="16"/>
    </row>
    <row r="1533" spans="1:5" x14ac:dyDescent="0.2">
      <c r="A1533" s="28"/>
      <c r="B1533" s="28"/>
      <c r="C1533" s="28"/>
      <c r="D1533" s="28"/>
      <c r="E1533" s="16"/>
    </row>
    <row r="1534" spans="1:5" x14ac:dyDescent="0.2">
      <c r="A1534" s="28"/>
      <c r="B1534" s="28"/>
      <c r="C1534" s="28"/>
      <c r="D1534" s="28"/>
      <c r="E1534" s="16"/>
    </row>
    <row r="1535" spans="1:5" x14ac:dyDescent="0.2">
      <c r="A1535" s="28"/>
      <c r="B1535" s="28"/>
      <c r="C1535" s="28"/>
      <c r="D1535" s="28"/>
      <c r="E1535" s="16"/>
    </row>
    <row r="1536" spans="1:5" x14ac:dyDescent="0.2">
      <c r="A1536" s="28"/>
      <c r="B1536" s="28"/>
      <c r="C1536" s="28"/>
      <c r="D1536" s="28"/>
      <c r="E1536" s="16"/>
    </row>
    <row r="1537" spans="1:5" x14ac:dyDescent="0.2">
      <c r="A1537" s="28"/>
      <c r="B1537" s="28"/>
      <c r="C1537" s="28"/>
      <c r="D1537" s="28"/>
      <c r="E1537" s="16"/>
    </row>
    <row r="1538" spans="1:5" x14ac:dyDescent="0.2">
      <c r="A1538" s="28"/>
      <c r="B1538" s="28"/>
      <c r="C1538" s="28"/>
      <c r="D1538" s="28"/>
      <c r="E1538" s="16"/>
    </row>
    <row r="1539" spans="1:5" x14ac:dyDescent="0.2">
      <c r="A1539" s="28"/>
      <c r="B1539" s="28"/>
      <c r="C1539" s="28"/>
      <c r="D1539" s="28"/>
      <c r="E1539" s="16"/>
    </row>
    <row r="1540" spans="1:5" x14ac:dyDescent="0.2">
      <c r="A1540" s="28"/>
      <c r="B1540" s="28"/>
      <c r="C1540" s="28"/>
      <c r="D1540" s="28"/>
      <c r="E1540" s="16"/>
    </row>
    <row r="1541" spans="1:5" x14ac:dyDescent="0.2">
      <c r="A1541" s="28"/>
      <c r="B1541" s="28"/>
      <c r="C1541" s="28"/>
      <c r="D1541" s="28"/>
      <c r="E1541" s="16"/>
    </row>
    <row r="1542" spans="1:5" x14ac:dyDescent="0.2">
      <c r="A1542" s="28"/>
      <c r="B1542" s="28"/>
      <c r="C1542" s="28"/>
      <c r="D1542" s="28"/>
      <c r="E1542" s="16"/>
    </row>
    <row r="1543" spans="1:5" x14ac:dyDescent="0.2">
      <c r="A1543" s="28"/>
      <c r="B1543" s="28"/>
      <c r="C1543" s="28"/>
      <c r="D1543" s="28"/>
      <c r="E1543" s="16"/>
    </row>
    <row r="1544" spans="1:5" x14ac:dyDescent="0.2">
      <c r="A1544" s="28"/>
      <c r="B1544" s="28"/>
      <c r="C1544" s="28"/>
      <c r="D1544" s="28"/>
      <c r="E1544" s="16"/>
    </row>
    <row r="1545" spans="1:5" x14ac:dyDescent="0.2">
      <c r="A1545" s="28"/>
      <c r="B1545" s="28"/>
      <c r="C1545" s="28"/>
      <c r="D1545" s="28"/>
      <c r="E1545" s="16"/>
    </row>
    <row r="1546" spans="1:5" x14ac:dyDescent="0.2">
      <c r="A1546" s="28"/>
      <c r="B1546" s="28"/>
      <c r="C1546" s="28"/>
      <c r="D1546" s="28"/>
      <c r="E1546" s="16"/>
    </row>
    <row r="1547" spans="1:5" x14ac:dyDescent="0.2">
      <c r="A1547" s="28"/>
      <c r="B1547" s="28"/>
      <c r="C1547" s="28"/>
      <c r="D1547" s="28"/>
      <c r="E1547" s="16"/>
    </row>
    <row r="1548" spans="1:5" x14ac:dyDescent="0.2">
      <c r="A1548" s="28"/>
      <c r="B1548" s="28"/>
      <c r="C1548" s="28"/>
      <c r="D1548" s="28"/>
      <c r="E1548" s="16"/>
    </row>
    <row r="1549" spans="1:5" x14ac:dyDescent="0.2">
      <c r="A1549" s="28"/>
      <c r="B1549" s="28"/>
      <c r="C1549" s="28"/>
      <c r="D1549" s="28"/>
      <c r="E1549" s="16"/>
    </row>
    <row r="1550" spans="1:5" x14ac:dyDescent="0.2">
      <c r="A1550" s="28"/>
      <c r="B1550" s="28"/>
      <c r="C1550" s="28"/>
      <c r="D1550" s="28"/>
      <c r="E1550" s="16"/>
    </row>
    <row r="1551" spans="1:5" x14ac:dyDescent="0.2">
      <c r="A1551" s="28"/>
      <c r="B1551" s="28"/>
      <c r="C1551" s="28"/>
      <c r="D1551" s="28"/>
      <c r="E1551" s="16"/>
    </row>
    <row r="1552" spans="1:5" x14ac:dyDescent="0.2">
      <c r="A1552" s="28"/>
      <c r="B1552" s="28"/>
      <c r="C1552" s="28"/>
      <c r="D1552" s="28"/>
      <c r="E1552" s="16"/>
    </row>
    <row r="1553" spans="1:5" x14ac:dyDescent="0.2">
      <c r="A1553" s="28"/>
      <c r="B1553" s="28"/>
      <c r="C1553" s="28"/>
      <c r="D1553" s="28"/>
      <c r="E1553" s="16"/>
    </row>
    <row r="1554" spans="1:5" x14ac:dyDescent="0.2">
      <c r="A1554" s="28"/>
      <c r="B1554" s="28"/>
      <c r="C1554" s="28"/>
      <c r="D1554" s="28"/>
      <c r="E1554" s="16"/>
    </row>
    <row r="1555" spans="1:5" x14ac:dyDescent="0.2">
      <c r="A1555" s="28"/>
      <c r="B1555" s="28"/>
      <c r="C1555" s="28"/>
      <c r="D1555" s="28"/>
      <c r="E1555" s="16"/>
    </row>
    <row r="1556" spans="1:5" x14ac:dyDescent="0.2">
      <c r="A1556" s="28"/>
      <c r="B1556" s="28"/>
      <c r="C1556" s="28"/>
      <c r="D1556" s="28"/>
      <c r="E1556" s="16"/>
    </row>
    <row r="1557" spans="1:5" x14ac:dyDescent="0.2">
      <c r="A1557" s="28"/>
      <c r="B1557" s="28"/>
      <c r="C1557" s="28"/>
      <c r="D1557" s="28"/>
      <c r="E1557" s="16"/>
    </row>
    <row r="1558" spans="1:5" x14ac:dyDescent="0.2">
      <c r="A1558" s="28"/>
      <c r="B1558" s="28"/>
      <c r="C1558" s="28"/>
      <c r="D1558" s="28"/>
      <c r="E1558" s="16"/>
    </row>
    <row r="1559" spans="1:5" x14ac:dyDescent="0.2">
      <c r="A1559" s="28"/>
      <c r="B1559" s="28"/>
      <c r="C1559" s="28"/>
      <c r="D1559" s="28"/>
      <c r="E1559" s="16"/>
    </row>
    <row r="1560" spans="1:5" x14ac:dyDescent="0.2">
      <c r="A1560" s="28"/>
      <c r="B1560" s="28"/>
      <c r="C1560" s="28"/>
      <c r="D1560" s="28"/>
      <c r="E1560" s="16"/>
    </row>
    <row r="1561" spans="1:5" x14ac:dyDescent="0.2">
      <c r="A1561" s="28"/>
      <c r="B1561" s="28"/>
      <c r="C1561" s="28"/>
      <c r="D1561" s="28"/>
      <c r="E1561" s="16"/>
    </row>
    <row r="1562" spans="1:5" x14ac:dyDescent="0.2">
      <c r="A1562" s="28"/>
      <c r="B1562" s="28"/>
      <c r="C1562" s="28"/>
      <c r="D1562" s="28"/>
      <c r="E1562" s="16"/>
    </row>
    <row r="1563" spans="1:5" x14ac:dyDescent="0.2">
      <c r="A1563" s="28"/>
      <c r="B1563" s="28"/>
      <c r="C1563" s="28"/>
      <c r="D1563" s="28"/>
      <c r="E1563" s="16"/>
    </row>
    <row r="1564" spans="1:5" x14ac:dyDescent="0.2">
      <c r="A1564" s="28"/>
      <c r="B1564" s="28"/>
      <c r="C1564" s="28"/>
      <c r="D1564" s="28"/>
      <c r="E1564" s="16"/>
    </row>
    <row r="1565" spans="1:5" x14ac:dyDescent="0.2">
      <c r="A1565" s="28"/>
      <c r="B1565" s="28"/>
      <c r="C1565" s="28"/>
      <c r="D1565" s="28"/>
      <c r="E1565" s="16"/>
    </row>
    <row r="1566" spans="1:5" x14ac:dyDescent="0.2">
      <c r="A1566" s="28"/>
      <c r="B1566" s="28"/>
      <c r="C1566" s="28"/>
      <c r="D1566" s="28"/>
      <c r="E1566" s="16"/>
    </row>
    <row r="1567" spans="1:5" x14ac:dyDescent="0.2">
      <c r="A1567" s="28"/>
      <c r="B1567" s="28"/>
      <c r="C1567" s="28"/>
      <c r="D1567" s="28"/>
      <c r="E1567" s="16"/>
    </row>
    <row r="1568" spans="1:5" x14ac:dyDescent="0.2">
      <c r="A1568" s="28"/>
      <c r="B1568" s="28"/>
      <c r="C1568" s="28"/>
      <c r="D1568" s="28"/>
      <c r="E1568" s="16"/>
    </row>
    <row r="1569" spans="1:5" x14ac:dyDescent="0.2">
      <c r="A1569" s="28"/>
      <c r="B1569" s="28"/>
      <c r="C1569" s="28"/>
      <c r="D1569" s="28"/>
      <c r="E1569" s="16"/>
    </row>
    <row r="1570" spans="1:5" x14ac:dyDescent="0.2">
      <c r="A1570" s="28"/>
      <c r="B1570" s="28"/>
      <c r="C1570" s="28"/>
      <c r="D1570" s="28"/>
      <c r="E1570" s="16"/>
    </row>
    <row r="1571" spans="1:5" x14ac:dyDescent="0.2">
      <c r="A1571" s="28"/>
      <c r="B1571" s="28"/>
      <c r="C1571" s="28"/>
      <c r="D1571" s="28"/>
      <c r="E1571" s="16"/>
    </row>
    <row r="1572" spans="1:5" x14ac:dyDescent="0.2">
      <c r="A1572" s="28"/>
      <c r="B1572" s="28"/>
      <c r="C1572" s="28"/>
      <c r="D1572" s="28"/>
      <c r="E1572" s="16"/>
    </row>
    <row r="1573" spans="1:5" x14ac:dyDescent="0.2">
      <c r="A1573" s="28"/>
      <c r="B1573" s="28"/>
      <c r="C1573" s="28"/>
      <c r="D1573" s="28"/>
      <c r="E1573" s="16"/>
    </row>
    <row r="1574" spans="1:5" x14ac:dyDescent="0.2">
      <c r="A1574" s="28"/>
      <c r="B1574" s="28"/>
      <c r="C1574" s="28"/>
      <c r="D1574" s="28"/>
      <c r="E1574" s="16"/>
    </row>
    <row r="1575" spans="1:5" x14ac:dyDescent="0.2">
      <c r="A1575" s="28"/>
      <c r="B1575" s="28"/>
      <c r="C1575" s="28"/>
      <c r="D1575" s="28"/>
      <c r="E1575" s="16"/>
    </row>
    <row r="1576" spans="1:5" x14ac:dyDescent="0.2">
      <c r="A1576" s="28"/>
      <c r="B1576" s="28"/>
      <c r="C1576" s="28"/>
      <c r="D1576" s="28"/>
      <c r="E1576" s="16"/>
    </row>
    <row r="1577" spans="1:5" x14ac:dyDescent="0.2">
      <c r="A1577" s="28"/>
      <c r="B1577" s="28"/>
      <c r="C1577" s="28"/>
      <c r="D1577" s="28"/>
      <c r="E1577" s="16"/>
    </row>
    <row r="1578" spans="1:5" x14ac:dyDescent="0.2">
      <c r="A1578" s="28"/>
      <c r="B1578" s="28"/>
      <c r="C1578" s="28"/>
      <c r="D1578" s="28"/>
      <c r="E1578" s="16"/>
    </row>
    <row r="1579" spans="1:5" x14ac:dyDescent="0.2">
      <c r="A1579" s="28"/>
      <c r="B1579" s="28"/>
      <c r="C1579" s="28"/>
      <c r="D1579" s="28"/>
      <c r="E1579" s="16"/>
    </row>
    <row r="1580" spans="1:5" x14ac:dyDescent="0.2">
      <c r="A1580" s="28"/>
      <c r="B1580" s="28"/>
      <c r="C1580" s="28"/>
      <c r="D1580" s="28"/>
      <c r="E1580" s="16"/>
    </row>
    <row r="1581" spans="1:5" x14ac:dyDescent="0.2">
      <c r="A1581" s="28"/>
      <c r="B1581" s="28"/>
      <c r="C1581" s="28"/>
      <c r="D1581" s="28"/>
      <c r="E1581" s="16"/>
    </row>
    <row r="1582" spans="1:5" x14ac:dyDescent="0.2">
      <c r="A1582" s="28"/>
      <c r="B1582" s="28"/>
      <c r="C1582" s="28"/>
      <c r="D1582" s="28"/>
      <c r="E1582" s="16"/>
    </row>
    <row r="1583" spans="1:5" x14ac:dyDescent="0.2">
      <c r="A1583" s="28"/>
      <c r="B1583" s="28"/>
      <c r="C1583" s="28"/>
      <c r="D1583" s="28"/>
      <c r="E1583" s="16"/>
    </row>
    <row r="1584" spans="1:5" x14ac:dyDescent="0.2">
      <c r="A1584" s="28"/>
      <c r="B1584" s="28"/>
      <c r="C1584" s="28"/>
      <c r="D1584" s="28"/>
      <c r="E1584" s="16"/>
    </row>
    <row r="1585" spans="1:5" x14ac:dyDescent="0.2">
      <c r="A1585" s="28"/>
      <c r="B1585" s="28"/>
      <c r="C1585" s="28"/>
      <c r="D1585" s="28"/>
      <c r="E1585" s="16"/>
    </row>
    <row r="1586" spans="1:5" x14ac:dyDescent="0.2">
      <c r="A1586" s="28"/>
      <c r="B1586" s="28"/>
      <c r="C1586" s="28"/>
      <c r="D1586" s="28"/>
      <c r="E1586" s="16"/>
    </row>
    <row r="1587" spans="1:5" x14ac:dyDescent="0.2">
      <c r="A1587" s="28"/>
      <c r="B1587" s="28"/>
      <c r="C1587" s="28"/>
      <c r="D1587" s="28"/>
      <c r="E1587" s="16"/>
    </row>
    <row r="1588" spans="1:5" x14ac:dyDescent="0.2">
      <c r="A1588" s="28"/>
      <c r="B1588" s="28"/>
      <c r="C1588" s="28"/>
      <c r="D1588" s="28"/>
      <c r="E1588" s="16"/>
    </row>
    <row r="1589" spans="1:5" x14ac:dyDescent="0.2">
      <c r="A1589" s="28"/>
      <c r="B1589" s="28"/>
      <c r="C1589" s="28"/>
      <c r="D1589" s="28"/>
      <c r="E1589" s="16"/>
    </row>
    <row r="1590" spans="1:5" x14ac:dyDescent="0.2">
      <c r="A1590" s="28"/>
      <c r="B1590" s="28"/>
      <c r="C1590" s="28"/>
      <c r="D1590" s="28"/>
      <c r="E1590" s="16"/>
    </row>
    <row r="1591" spans="1:5" x14ac:dyDescent="0.2">
      <c r="A1591" s="28"/>
      <c r="B1591" s="28"/>
      <c r="C1591" s="28"/>
      <c r="D1591" s="28"/>
      <c r="E1591" s="16"/>
    </row>
    <row r="1592" spans="1:5" x14ac:dyDescent="0.2">
      <c r="A1592" s="28"/>
      <c r="B1592" s="28"/>
      <c r="C1592" s="28"/>
      <c r="D1592" s="28"/>
      <c r="E1592" s="16"/>
    </row>
    <row r="1593" spans="1:5" x14ac:dyDescent="0.2">
      <c r="A1593" s="28"/>
      <c r="B1593" s="28"/>
      <c r="C1593" s="28"/>
      <c r="D1593" s="28"/>
      <c r="E1593" s="16"/>
    </row>
    <row r="1594" spans="1:5" x14ac:dyDescent="0.2">
      <c r="A1594" s="28"/>
      <c r="B1594" s="28"/>
      <c r="C1594" s="28"/>
      <c r="D1594" s="28"/>
      <c r="E1594" s="16"/>
    </row>
    <row r="1595" spans="1:5" x14ac:dyDescent="0.2">
      <c r="A1595" s="28"/>
      <c r="B1595" s="28"/>
      <c r="C1595" s="28"/>
      <c r="D1595" s="28"/>
      <c r="E1595" s="16"/>
    </row>
    <row r="1596" spans="1:5" x14ac:dyDescent="0.2">
      <c r="A1596" s="28"/>
      <c r="B1596" s="28"/>
      <c r="C1596" s="28"/>
      <c r="D1596" s="28"/>
      <c r="E1596" s="16"/>
    </row>
    <row r="1597" spans="1:5" x14ac:dyDescent="0.2">
      <c r="A1597" s="28"/>
      <c r="B1597" s="28"/>
      <c r="C1597" s="28"/>
      <c r="D1597" s="28"/>
      <c r="E1597" s="16"/>
    </row>
    <row r="1598" spans="1:5" x14ac:dyDescent="0.2">
      <c r="A1598" s="28"/>
      <c r="B1598" s="28"/>
      <c r="C1598" s="28"/>
      <c r="D1598" s="28"/>
      <c r="E1598" s="16"/>
    </row>
    <row r="1599" spans="1:5" x14ac:dyDescent="0.2">
      <c r="A1599" s="28"/>
      <c r="B1599" s="28"/>
      <c r="C1599" s="28"/>
      <c r="D1599" s="28"/>
      <c r="E1599" s="16"/>
    </row>
    <row r="1600" spans="1:5" x14ac:dyDescent="0.2">
      <c r="A1600" s="28"/>
      <c r="B1600" s="28"/>
      <c r="C1600" s="28"/>
      <c r="D1600" s="28"/>
      <c r="E1600" s="16"/>
    </row>
    <row r="1601" spans="1:5" x14ac:dyDescent="0.2">
      <c r="A1601" s="28"/>
      <c r="B1601" s="28"/>
      <c r="C1601" s="28"/>
      <c r="D1601" s="28"/>
      <c r="E1601" s="16"/>
    </row>
    <row r="1602" spans="1:5" x14ac:dyDescent="0.2">
      <c r="A1602" s="28"/>
      <c r="B1602" s="28"/>
      <c r="C1602" s="28"/>
      <c r="D1602" s="28"/>
      <c r="E1602" s="16"/>
    </row>
    <row r="1603" spans="1:5" x14ac:dyDescent="0.2">
      <c r="A1603" s="28"/>
      <c r="B1603" s="28"/>
      <c r="C1603" s="28"/>
      <c r="D1603" s="28"/>
      <c r="E1603" s="16"/>
    </row>
    <row r="1604" spans="1:5" x14ac:dyDescent="0.2">
      <c r="A1604" s="28"/>
      <c r="B1604" s="28"/>
      <c r="C1604" s="28"/>
      <c r="D1604" s="28"/>
      <c r="E1604" s="16"/>
    </row>
    <row r="1605" spans="1:5" x14ac:dyDescent="0.2">
      <c r="A1605" s="28"/>
      <c r="B1605" s="28"/>
      <c r="C1605" s="28"/>
      <c r="D1605" s="28"/>
      <c r="E1605" s="16"/>
    </row>
    <row r="1606" spans="1:5" x14ac:dyDescent="0.2">
      <c r="A1606" s="28"/>
      <c r="B1606" s="28"/>
      <c r="C1606" s="28"/>
      <c r="D1606" s="28"/>
      <c r="E1606" s="16"/>
    </row>
    <row r="1607" spans="1:5" x14ac:dyDescent="0.2">
      <c r="A1607" s="28"/>
      <c r="B1607" s="28"/>
      <c r="C1607" s="28"/>
      <c r="D1607" s="28"/>
      <c r="E1607" s="16"/>
    </row>
    <row r="1608" spans="1:5" x14ac:dyDescent="0.2">
      <c r="A1608" s="28"/>
      <c r="B1608" s="28"/>
      <c r="C1608" s="28"/>
      <c r="D1608" s="28"/>
      <c r="E1608" s="16"/>
    </row>
    <row r="1609" spans="1:5" x14ac:dyDescent="0.2">
      <c r="A1609" s="28"/>
      <c r="B1609" s="28"/>
      <c r="C1609" s="28"/>
      <c r="D1609" s="28"/>
      <c r="E1609" s="16"/>
    </row>
    <row r="1610" spans="1:5" x14ac:dyDescent="0.2">
      <c r="A1610" s="28"/>
      <c r="B1610" s="28"/>
      <c r="C1610" s="28"/>
      <c r="D1610" s="28"/>
      <c r="E1610" s="16"/>
    </row>
    <row r="1611" spans="1:5" x14ac:dyDescent="0.2">
      <c r="A1611" s="28"/>
      <c r="B1611" s="28"/>
      <c r="C1611" s="28"/>
      <c r="D1611" s="28"/>
      <c r="E1611" s="16"/>
    </row>
    <row r="1612" spans="1:5" x14ac:dyDescent="0.2">
      <c r="A1612" s="28"/>
      <c r="B1612" s="28"/>
      <c r="C1612" s="28"/>
      <c r="D1612" s="28"/>
      <c r="E1612" s="16"/>
    </row>
    <row r="1613" spans="1:5" x14ac:dyDescent="0.2">
      <c r="A1613" s="28"/>
      <c r="B1613" s="28"/>
      <c r="C1613" s="28"/>
      <c r="D1613" s="28"/>
      <c r="E1613" s="16"/>
    </row>
    <row r="1614" spans="1:5" x14ac:dyDescent="0.2">
      <c r="A1614" s="28"/>
      <c r="B1614" s="28"/>
      <c r="C1614" s="28"/>
      <c r="D1614" s="28"/>
      <c r="E1614" s="16"/>
    </row>
    <row r="1615" spans="1:5" x14ac:dyDescent="0.2">
      <c r="A1615" s="28"/>
      <c r="B1615" s="28"/>
      <c r="C1615" s="28"/>
      <c r="D1615" s="28"/>
      <c r="E1615" s="16"/>
    </row>
    <row r="1616" spans="1:5" x14ac:dyDescent="0.2">
      <c r="A1616" s="28"/>
      <c r="B1616" s="28"/>
      <c r="C1616" s="28"/>
      <c r="D1616" s="28"/>
      <c r="E1616" s="16"/>
    </row>
    <row r="1617" spans="1:5" x14ac:dyDescent="0.2">
      <c r="A1617" s="28"/>
      <c r="B1617" s="28"/>
      <c r="C1617" s="28"/>
      <c r="D1617" s="28"/>
      <c r="E1617" s="16"/>
    </row>
    <row r="1618" spans="1:5" x14ac:dyDescent="0.2">
      <c r="A1618" s="28"/>
      <c r="B1618" s="28"/>
      <c r="C1618" s="28"/>
      <c r="D1618" s="28"/>
      <c r="E1618" s="16"/>
    </row>
    <row r="1619" spans="1:5" x14ac:dyDescent="0.2">
      <c r="A1619" s="28"/>
      <c r="B1619" s="28"/>
      <c r="C1619" s="28"/>
      <c r="D1619" s="28"/>
      <c r="E1619" s="16"/>
    </row>
    <row r="1620" spans="1:5" x14ac:dyDescent="0.2">
      <c r="A1620" s="28"/>
      <c r="B1620" s="28"/>
      <c r="C1620" s="28"/>
      <c r="D1620" s="28"/>
      <c r="E1620" s="16"/>
    </row>
    <row r="1621" spans="1:5" x14ac:dyDescent="0.2">
      <c r="A1621" s="28"/>
      <c r="B1621" s="28"/>
      <c r="C1621" s="28"/>
      <c r="D1621" s="28"/>
      <c r="E1621" s="16"/>
    </row>
    <row r="1622" spans="1:5" x14ac:dyDescent="0.2">
      <c r="A1622" s="28"/>
      <c r="B1622" s="28"/>
      <c r="C1622" s="28"/>
      <c r="D1622" s="28"/>
      <c r="E1622" s="16"/>
    </row>
    <row r="1623" spans="1:5" x14ac:dyDescent="0.2">
      <c r="A1623" s="28"/>
      <c r="B1623" s="28"/>
      <c r="C1623" s="28"/>
      <c r="D1623" s="28"/>
      <c r="E1623" s="16"/>
    </row>
    <row r="1624" spans="1:5" x14ac:dyDescent="0.2">
      <c r="A1624" s="28"/>
      <c r="B1624" s="28"/>
      <c r="C1624" s="28"/>
      <c r="D1624" s="28"/>
      <c r="E1624" s="16"/>
    </row>
    <row r="1625" spans="1:5" x14ac:dyDescent="0.2">
      <c r="A1625" s="28"/>
      <c r="B1625" s="28"/>
      <c r="C1625" s="28"/>
      <c r="D1625" s="28"/>
      <c r="E1625" s="16"/>
    </row>
    <row r="1626" spans="1:5" x14ac:dyDescent="0.2">
      <c r="A1626" s="28"/>
      <c r="B1626" s="28"/>
      <c r="C1626" s="28"/>
      <c r="D1626" s="28"/>
      <c r="E1626" s="16"/>
    </row>
    <row r="1627" spans="1:5" x14ac:dyDescent="0.2">
      <c r="A1627" s="28"/>
      <c r="B1627" s="28"/>
      <c r="C1627" s="28"/>
      <c r="D1627" s="28"/>
      <c r="E1627" s="16"/>
    </row>
    <row r="1628" spans="1:5" x14ac:dyDescent="0.2">
      <c r="A1628" s="28"/>
      <c r="B1628" s="28"/>
      <c r="C1628" s="28"/>
      <c r="D1628" s="28"/>
      <c r="E1628" s="16"/>
    </row>
    <row r="1629" spans="1:5" x14ac:dyDescent="0.2">
      <c r="A1629" s="28"/>
      <c r="B1629" s="28"/>
      <c r="C1629" s="28"/>
      <c r="D1629" s="28"/>
      <c r="E1629" s="16"/>
    </row>
    <row r="1630" spans="1:5" x14ac:dyDescent="0.2">
      <c r="A1630" s="28"/>
      <c r="B1630" s="28"/>
      <c r="C1630" s="28"/>
      <c r="D1630" s="28"/>
      <c r="E1630" s="16"/>
    </row>
    <row r="1631" spans="1:5" x14ac:dyDescent="0.2">
      <c r="A1631" s="28"/>
      <c r="B1631" s="28"/>
      <c r="C1631" s="28"/>
      <c r="D1631" s="28"/>
      <c r="E1631" s="16"/>
    </row>
    <row r="1632" spans="1:5" x14ac:dyDescent="0.2">
      <c r="A1632" s="28"/>
      <c r="B1632" s="28"/>
      <c r="C1632" s="28"/>
      <c r="D1632" s="28"/>
      <c r="E1632" s="16"/>
    </row>
    <row r="1633" spans="1:5" x14ac:dyDescent="0.2">
      <c r="A1633" s="28"/>
      <c r="B1633" s="28"/>
      <c r="C1633" s="28"/>
      <c r="D1633" s="28"/>
      <c r="E1633" s="16"/>
    </row>
    <row r="1634" spans="1:5" x14ac:dyDescent="0.2">
      <c r="A1634" s="28"/>
      <c r="B1634" s="28"/>
      <c r="C1634" s="28"/>
      <c r="D1634" s="28"/>
      <c r="E1634" s="16"/>
    </row>
    <row r="1635" spans="1:5" x14ac:dyDescent="0.2">
      <c r="A1635" s="28"/>
      <c r="B1635" s="28"/>
      <c r="C1635" s="28"/>
      <c r="D1635" s="28"/>
      <c r="E1635" s="16"/>
    </row>
    <row r="1636" spans="1:5" x14ac:dyDescent="0.2">
      <c r="A1636" s="28"/>
      <c r="B1636" s="28"/>
      <c r="C1636" s="28"/>
      <c r="D1636" s="28"/>
      <c r="E1636" s="16"/>
    </row>
    <row r="1637" spans="1:5" x14ac:dyDescent="0.2">
      <c r="A1637" s="28"/>
      <c r="B1637" s="28"/>
      <c r="C1637" s="28"/>
      <c r="D1637" s="28"/>
      <c r="E1637" s="16"/>
    </row>
    <row r="1638" spans="1:5" x14ac:dyDescent="0.2">
      <c r="A1638" s="28"/>
      <c r="B1638" s="28"/>
      <c r="C1638" s="28"/>
      <c r="D1638" s="28"/>
      <c r="E1638" s="16"/>
    </row>
    <row r="1639" spans="1:5" x14ac:dyDescent="0.2">
      <c r="A1639" s="28"/>
      <c r="B1639" s="28"/>
      <c r="C1639" s="28"/>
      <c r="D1639" s="28"/>
      <c r="E1639" s="16"/>
    </row>
    <row r="1640" spans="1:5" x14ac:dyDescent="0.2">
      <c r="A1640" s="28"/>
      <c r="B1640" s="28"/>
      <c r="C1640" s="28"/>
      <c r="D1640" s="28"/>
      <c r="E1640" s="16"/>
    </row>
    <row r="1641" spans="1:5" x14ac:dyDescent="0.2">
      <c r="A1641" s="28"/>
      <c r="B1641" s="28"/>
      <c r="C1641" s="28"/>
      <c r="D1641" s="28"/>
      <c r="E1641" s="16"/>
    </row>
    <row r="1642" spans="1:5" x14ac:dyDescent="0.2">
      <c r="A1642" s="28"/>
      <c r="B1642" s="28"/>
      <c r="C1642" s="28"/>
      <c r="D1642" s="28"/>
      <c r="E1642" s="16"/>
    </row>
    <row r="1643" spans="1:5" x14ac:dyDescent="0.2">
      <c r="A1643" s="28"/>
      <c r="B1643" s="28"/>
      <c r="C1643" s="28"/>
      <c r="D1643" s="28"/>
      <c r="E1643" s="16"/>
    </row>
    <row r="1644" spans="1:5" x14ac:dyDescent="0.2">
      <c r="A1644" s="28"/>
      <c r="B1644" s="28"/>
      <c r="C1644" s="28"/>
      <c r="D1644" s="28"/>
      <c r="E1644" s="16"/>
    </row>
    <row r="1645" spans="1:5" x14ac:dyDescent="0.2">
      <c r="A1645" s="28"/>
      <c r="B1645" s="28"/>
      <c r="C1645" s="28"/>
      <c r="D1645" s="28"/>
      <c r="E1645" s="16"/>
    </row>
    <row r="1646" spans="1:5" x14ac:dyDescent="0.2">
      <c r="A1646" s="28"/>
      <c r="B1646" s="28"/>
      <c r="C1646" s="28"/>
      <c r="D1646" s="28"/>
      <c r="E1646" s="16"/>
    </row>
    <row r="1647" spans="1:5" x14ac:dyDescent="0.2">
      <c r="A1647" s="28"/>
      <c r="B1647" s="28"/>
      <c r="C1647" s="28"/>
      <c r="D1647" s="28"/>
      <c r="E1647" s="16"/>
    </row>
    <row r="1648" spans="1:5" x14ac:dyDescent="0.2">
      <c r="A1648" s="28"/>
      <c r="B1648" s="28"/>
      <c r="C1648" s="28"/>
      <c r="D1648" s="28"/>
      <c r="E1648" s="16"/>
    </row>
    <row r="1649" spans="1:5" x14ac:dyDescent="0.2">
      <c r="A1649" s="28"/>
      <c r="B1649" s="28"/>
      <c r="C1649" s="28"/>
      <c r="D1649" s="28"/>
      <c r="E1649" s="16"/>
    </row>
    <row r="1650" spans="1:5" x14ac:dyDescent="0.2">
      <c r="A1650" s="28"/>
      <c r="B1650" s="28"/>
      <c r="C1650" s="28"/>
      <c r="D1650" s="28"/>
      <c r="E1650" s="16"/>
    </row>
    <row r="1651" spans="1:5" x14ac:dyDescent="0.2">
      <c r="A1651" s="28"/>
      <c r="B1651" s="28"/>
      <c r="C1651" s="28"/>
      <c r="D1651" s="28"/>
      <c r="E1651" s="16"/>
    </row>
    <row r="1652" spans="1:5" x14ac:dyDescent="0.2">
      <c r="A1652" s="28"/>
      <c r="B1652" s="28"/>
      <c r="C1652" s="28"/>
      <c r="D1652" s="28"/>
      <c r="E1652" s="16"/>
    </row>
    <row r="1653" spans="1:5" x14ac:dyDescent="0.2">
      <c r="A1653" s="28"/>
      <c r="B1653" s="28"/>
      <c r="C1653" s="28"/>
      <c r="D1653" s="28"/>
      <c r="E1653" s="16"/>
    </row>
    <row r="1654" spans="1:5" x14ac:dyDescent="0.2">
      <c r="A1654" s="28"/>
      <c r="B1654" s="28"/>
      <c r="C1654" s="28"/>
      <c r="D1654" s="28"/>
      <c r="E1654" s="16"/>
    </row>
    <row r="1655" spans="1:5" x14ac:dyDescent="0.2">
      <c r="A1655" s="28"/>
      <c r="B1655" s="28"/>
      <c r="C1655" s="28"/>
      <c r="D1655" s="28"/>
      <c r="E1655" s="16"/>
    </row>
    <row r="1656" spans="1:5" x14ac:dyDescent="0.2">
      <c r="A1656" s="28"/>
      <c r="B1656" s="28"/>
      <c r="C1656" s="28"/>
      <c r="D1656" s="28"/>
      <c r="E1656" s="16"/>
    </row>
    <row r="1657" spans="1:5" x14ac:dyDescent="0.2">
      <c r="A1657" s="28"/>
      <c r="B1657" s="28"/>
      <c r="C1657" s="28"/>
      <c r="D1657" s="28"/>
      <c r="E1657" s="16"/>
    </row>
    <row r="1658" spans="1:5" x14ac:dyDescent="0.2">
      <c r="A1658" s="28"/>
      <c r="B1658" s="28"/>
      <c r="C1658" s="28"/>
      <c r="D1658" s="28"/>
      <c r="E1658" s="16"/>
    </row>
    <row r="1659" spans="1:5" x14ac:dyDescent="0.2">
      <c r="A1659" s="28"/>
      <c r="B1659" s="28"/>
      <c r="C1659" s="28"/>
      <c r="D1659" s="28"/>
      <c r="E1659" s="16"/>
    </row>
    <row r="1660" spans="1:5" x14ac:dyDescent="0.2">
      <c r="A1660" s="28"/>
      <c r="B1660" s="28"/>
      <c r="C1660" s="28"/>
      <c r="D1660" s="28"/>
      <c r="E1660" s="16"/>
    </row>
    <row r="1661" spans="1:5" x14ac:dyDescent="0.2">
      <c r="A1661" s="28"/>
      <c r="B1661" s="28"/>
      <c r="C1661" s="28"/>
      <c r="D1661" s="28"/>
      <c r="E1661" s="16"/>
    </row>
    <row r="1662" spans="1:5" x14ac:dyDescent="0.2">
      <c r="A1662" s="28"/>
      <c r="B1662" s="28"/>
      <c r="C1662" s="28"/>
      <c r="D1662" s="28"/>
      <c r="E1662" s="16"/>
    </row>
    <row r="1663" spans="1:5" x14ac:dyDescent="0.2">
      <c r="A1663" s="28"/>
      <c r="B1663" s="28"/>
      <c r="C1663" s="28"/>
      <c r="D1663" s="28"/>
      <c r="E1663" s="16"/>
    </row>
    <row r="1664" spans="1:5" x14ac:dyDescent="0.2">
      <c r="A1664" s="28"/>
      <c r="B1664" s="28"/>
      <c r="C1664" s="28"/>
      <c r="D1664" s="28"/>
      <c r="E1664" s="16"/>
    </row>
    <row r="1665" spans="1:5" x14ac:dyDescent="0.2">
      <c r="A1665" s="28"/>
      <c r="B1665" s="28"/>
      <c r="C1665" s="28"/>
      <c r="D1665" s="28"/>
      <c r="E1665" s="16"/>
    </row>
    <row r="1666" spans="1:5" x14ac:dyDescent="0.2">
      <c r="A1666" s="28"/>
      <c r="B1666" s="28"/>
      <c r="C1666" s="28"/>
      <c r="D1666" s="28"/>
      <c r="E1666" s="16"/>
    </row>
    <row r="1667" spans="1:5" x14ac:dyDescent="0.2">
      <c r="A1667" s="28"/>
      <c r="B1667" s="28"/>
      <c r="C1667" s="28"/>
      <c r="D1667" s="28"/>
      <c r="E1667" s="16"/>
    </row>
    <row r="1668" spans="1:5" x14ac:dyDescent="0.2">
      <c r="A1668" s="28"/>
      <c r="B1668" s="28"/>
      <c r="C1668" s="28"/>
      <c r="D1668" s="28"/>
      <c r="E1668" s="16"/>
    </row>
    <row r="1669" spans="1:5" x14ac:dyDescent="0.2">
      <c r="A1669" s="28"/>
      <c r="B1669" s="28"/>
      <c r="C1669" s="28"/>
      <c r="D1669" s="28"/>
      <c r="E1669" s="16"/>
    </row>
    <row r="1670" spans="1:5" x14ac:dyDescent="0.2">
      <c r="A1670" s="28"/>
      <c r="B1670" s="28"/>
      <c r="C1670" s="28"/>
      <c r="D1670" s="28"/>
      <c r="E1670" s="16"/>
    </row>
    <row r="1671" spans="1:5" x14ac:dyDescent="0.2">
      <c r="A1671" s="28"/>
      <c r="B1671" s="28"/>
      <c r="C1671" s="28"/>
      <c r="D1671" s="28"/>
      <c r="E1671" s="16"/>
    </row>
    <row r="1672" spans="1:5" x14ac:dyDescent="0.2">
      <c r="A1672" s="28"/>
      <c r="B1672" s="28"/>
      <c r="C1672" s="28"/>
      <c r="D1672" s="28"/>
      <c r="E1672" s="16"/>
    </row>
    <row r="1673" spans="1:5" x14ac:dyDescent="0.2">
      <c r="A1673" s="28"/>
      <c r="B1673" s="28"/>
      <c r="C1673" s="28"/>
      <c r="D1673" s="28"/>
      <c r="E1673" s="16"/>
    </row>
    <row r="1674" spans="1:5" x14ac:dyDescent="0.2">
      <c r="A1674" s="28"/>
      <c r="B1674" s="28"/>
      <c r="C1674" s="28"/>
      <c r="D1674" s="28"/>
      <c r="E1674" s="16"/>
    </row>
    <row r="1675" spans="1:5" x14ac:dyDescent="0.2">
      <c r="A1675" s="28"/>
      <c r="B1675" s="28"/>
      <c r="C1675" s="28"/>
      <c r="D1675" s="28"/>
      <c r="E1675" s="16"/>
    </row>
    <row r="1676" spans="1:5" x14ac:dyDescent="0.2">
      <c r="A1676" s="28"/>
      <c r="B1676" s="28"/>
      <c r="C1676" s="28"/>
      <c r="D1676" s="28"/>
      <c r="E1676" s="16"/>
    </row>
    <row r="1677" spans="1:5" x14ac:dyDescent="0.2">
      <c r="A1677" s="28"/>
      <c r="B1677" s="28"/>
      <c r="C1677" s="28"/>
      <c r="D1677" s="28"/>
      <c r="E1677" s="16"/>
    </row>
    <row r="1678" spans="1:5" x14ac:dyDescent="0.2">
      <c r="A1678" s="28"/>
      <c r="B1678" s="28"/>
      <c r="C1678" s="28"/>
      <c r="D1678" s="28"/>
      <c r="E1678" s="16"/>
    </row>
    <row r="1679" spans="1:5" x14ac:dyDescent="0.2">
      <c r="A1679" s="28"/>
      <c r="B1679" s="28"/>
      <c r="C1679" s="28"/>
      <c r="D1679" s="28"/>
      <c r="E1679" s="16"/>
    </row>
    <row r="1680" spans="1:5" x14ac:dyDescent="0.2">
      <c r="A1680" s="28"/>
      <c r="B1680" s="28"/>
      <c r="C1680" s="28"/>
      <c r="D1680" s="28"/>
      <c r="E1680" s="16"/>
    </row>
    <row r="1681" spans="1:5" x14ac:dyDescent="0.2">
      <c r="A1681" s="28"/>
      <c r="B1681" s="28"/>
      <c r="C1681" s="28"/>
      <c r="D1681" s="28"/>
      <c r="E1681" s="16"/>
    </row>
    <row r="1682" spans="1:5" x14ac:dyDescent="0.2">
      <c r="A1682" s="28"/>
      <c r="B1682" s="28"/>
      <c r="C1682" s="28"/>
      <c r="D1682" s="28"/>
      <c r="E1682" s="16"/>
    </row>
    <row r="1683" spans="1:5" x14ac:dyDescent="0.2">
      <c r="A1683" s="28"/>
      <c r="B1683" s="28"/>
      <c r="C1683" s="28"/>
      <c r="D1683" s="28"/>
      <c r="E1683" s="16"/>
    </row>
    <row r="1684" spans="1:5" x14ac:dyDescent="0.2">
      <c r="A1684" s="28"/>
      <c r="B1684" s="28"/>
      <c r="C1684" s="28"/>
      <c r="D1684" s="28"/>
      <c r="E1684" s="16"/>
    </row>
    <row r="1685" spans="1:5" x14ac:dyDescent="0.2">
      <c r="A1685" s="28"/>
      <c r="B1685" s="28"/>
      <c r="C1685" s="28"/>
      <c r="D1685" s="28"/>
      <c r="E1685" s="16"/>
    </row>
    <row r="1686" spans="1:5" x14ac:dyDescent="0.2">
      <c r="A1686" s="28"/>
      <c r="B1686" s="28"/>
      <c r="C1686" s="28"/>
      <c r="D1686" s="28"/>
      <c r="E1686" s="16"/>
    </row>
    <row r="1687" spans="1:5" x14ac:dyDescent="0.2">
      <c r="A1687" s="28"/>
      <c r="B1687" s="28"/>
      <c r="C1687" s="28"/>
      <c r="D1687" s="28"/>
      <c r="E1687" s="16"/>
    </row>
    <row r="1688" spans="1:5" x14ac:dyDescent="0.2">
      <c r="A1688" s="28"/>
      <c r="B1688" s="28"/>
      <c r="C1688" s="28"/>
      <c r="D1688" s="28"/>
      <c r="E1688" s="16"/>
    </row>
    <row r="1689" spans="1:5" x14ac:dyDescent="0.2">
      <c r="A1689" s="28"/>
      <c r="B1689" s="28"/>
      <c r="C1689" s="28"/>
      <c r="D1689" s="28"/>
      <c r="E1689" s="16"/>
    </row>
    <row r="1690" spans="1:5" x14ac:dyDescent="0.2">
      <c r="A1690" s="28"/>
      <c r="B1690" s="28"/>
      <c r="C1690" s="28"/>
      <c r="D1690" s="28"/>
      <c r="E1690" s="16"/>
    </row>
    <row r="1691" spans="1:5" x14ac:dyDescent="0.2">
      <c r="A1691" s="28"/>
      <c r="B1691" s="28"/>
      <c r="C1691" s="28"/>
      <c r="D1691" s="28"/>
      <c r="E1691" s="16"/>
    </row>
    <row r="1692" spans="1:5" x14ac:dyDescent="0.2">
      <c r="A1692" s="28"/>
      <c r="B1692" s="28"/>
      <c r="C1692" s="28"/>
      <c r="D1692" s="28"/>
      <c r="E1692" s="16"/>
    </row>
    <row r="1693" spans="1:5" x14ac:dyDescent="0.2">
      <c r="A1693" s="28"/>
      <c r="B1693" s="28"/>
      <c r="C1693" s="28"/>
      <c r="D1693" s="28"/>
      <c r="E1693" s="16"/>
    </row>
    <row r="1694" spans="1:5" x14ac:dyDescent="0.2">
      <c r="A1694" s="28"/>
      <c r="B1694" s="28"/>
      <c r="C1694" s="28"/>
      <c r="D1694" s="28"/>
      <c r="E1694" s="16"/>
    </row>
    <row r="1695" spans="1:5" x14ac:dyDescent="0.2">
      <c r="A1695" s="28"/>
      <c r="B1695" s="28"/>
      <c r="C1695" s="28"/>
      <c r="D1695" s="28"/>
      <c r="E1695" s="16"/>
    </row>
    <row r="1696" spans="1:5" x14ac:dyDescent="0.2">
      <c r="A1696" s="28"/>
      <c r="B1696" s="28"/>
      <c r="C1696" s="28"/>
      <c r="D1696" s="28"/>
      <c r="E1696" s="16"/>
    </row>
    <row r="1697" spans="1:5" x14ac:dyDescent="0.2">
      <c r="A1697" s="28"/>
      <c r="B1697" s="28"/>
      <c r="C1697" s="28"/>
      <c r="D1697" s="28"/>
      <c r="E1697" s="16"/>
    </row>
    <row r="1698" spans="1:5" x14ac:dyDescent="0.2">
      <c r="A1698" s="28"/>
      <c r="B1698" s="28"/>
      <c r="C1698" s="28"/>
      <c r="D1698" s="28"/>
      <c r="E1698" s="16"/>
    </row>
    <row r="1699" spans="1:5" x14ac:dyDescent="0.2">
      <c r="A1699" s="28"/>
      <c r="B1699" s="28"/>
      <c r="C1699" s="28"/>
      <c r="D1699" s="28"/>
      <c r="E1699" s="16"/>
    </row>
    <row r="1700" spans="1:5" x14ac:dyDescent="0.2">
      <c r="A1700" s="28"/>
      <c r="B1700" s="28"/>
      <c r="C1700" s="28"/>
      <c r="D1700" s="28"/>
      <c r="E1700" s="16"/>
    </row>
    <row r="1701" spans="1:5" x14ac:dyDescent="0.2">
      <c r="A1701" s="28"/>
      <c r="B1701" s="28"/>
      <c r="C1701" s="28"/>
      <c r="D1701" s="28"/>
      <c r="E1701" s="16"/>
    </row>
    <row r="1702" spans="1:5" x14ac:dyDescent="0.2">
      <c r="A1702" s="28"/>
      <c r="B1702" s="28"/>
      <c r="C1702" s="28"/>
      <c r="D1702" s="28"/>
      <c r="E1702" s="16"/>
    </row>
    <row r="1703" spans="1:5" x14ac:dyDescent="0.2">
      <c r="A1703" s="28"/>
      <c r="B1703" s="28"/>
      <c r="C1703" s="28"/>
      <c r="D1703" s="28"/>
      <c r="E1703" s="16"/>
    </row>
    <row r="1704" spans="1:5" x14ac:dyDescent="0.2">
      <c r="A1704" s="28"/>
      <c r="B1704" s="28"/>
      <c r="C1704" s="28"/>
      <c r="D1704" s="28"/>
      <c r="E1704" s="16"/>
    </row>
    <row r="1705" spans="1:5" x14ac:dyDescent="0.2">
      <c r="A1705" s="28"/>
      <c r="B1705" s="28"/>
      <c r="C1705" s="28"/>
      <c r="D1705" s="28"/>
      <c r="E1705" s="16"/>
    </row>
    <row r="1706" spans="1:5" x14ac:dyDescent="0.2">
      <c r="A1706" s="28"/>
      <c r="B1706" s="28"/>
      <c r="C1706" s="28"/>
      <c r="D1706" s="28"/>
      <c r="E1706" s="16"/>
    </row>
    <row r="1707" spans="1:5" x14ac:dyDescent="0.2">
      <c r="A1707" s="28"/>
      <c r="B1707" s="28"/>
      <c r="C1707" s="28"/>
      <c r="D1707" s="28"/>
      <c r="E1707" s="16"/>
    </row>
    <row r="1708" spans="1:5" x14ac:dyDescent="0.2">
      <c r="A1708" s="28"/>
      <c r="B1708" s="28"/>
      <c r="C1708" s="28"/>
      <c r="D1708" s="28"/>
      <c r="E1708" s="16"/>
    </row>
    <row r="1709" spans="1:5" x14ac:dyDescent="0.2">
      <c r="A1709" s="28"/>
      <c r="B1709" s="28"/>
      <c r="C1709" s="28"/>
      <c r="D1709" s="28"/>
      <c r="E1709" s="16"/>
    </row>
    <row r="1710" spans="1:5" x14ac:dyDescent="0.2">
      <c r="A1710" s="28"/>
      <c r="B1710" s="28"/>
      <c r="C1710" s="28"/>
      <c r="D1710" s="28"/>
      <c r="E1710" s="16"/>
    </row>
    <row r="1711" spans="1:5" x14ac:dyDescent="0.2">
      <c r="A1711" s="28"/>
      <c r="B1711" s="28"/>
      <c r="C1711" s="28"/>
      <c r="D1711" s="28"/>
      <c r="E1711" s="16"/>
    </row>
    <row r="1712" spans="1:5" x14ac:dyDescent="0.2">
      <c r="A1712" s="28"/>
      <c r="B1712" s="28"/>
      <c r="C1712" s="28"/>
      <c r="D1712" s="28"/>
      <c r="E1712" s="16"/>
    </row>
    <row r="1713" spans="1:5" x14ac:dyDescent="0.2">
      <c r="A1713" s="28"/>
      <c r="B1713" s="28"/>
      <c r="C1713" s="28"/>
      <c r="D1713" s="28"/>
      <c r="E1713" s="16"/>
    </row>
    <row r="1714" spans="1:5" x14ac:dyDescent="0.2">
      <c r="A1714" s="28"/>
      <c r="B1714" s="28"/>
      <c r="C1714" s="28"/>
      <c r="D1714" s="28"/>
      <c r="E1714" s="16"/>
    </row>
    <row r="1715" spans="1:5" x14ac:dyDescent="0.2">
      <c r="A1715" s="28"/>
      <c r="B1715" s="28"/>
      <c r="C1715" s="28"/>
      <c r="D1715" s="28"/>
      <c r="E1715" s="16"/>
    </row>
    <row r="1716" spans="1:5" x14ac:dyDescent="0.2">
      <c r="A1716" s="28"/>
      <c r="B1716" s="28"/>
      <c r="C1716" s="28"/>
      <c r="D1716" s="28"/>
      <c r="E1716" s="16"/>
    </row>
    <row r="1717" spans="1:5" x14ac:dyDescent="0.2">
      <c r="A1717" s="28"/>
      <c r="B1717" s="28"/>
      <c r="C1717" s="28"/>
      <c r="D1717" s="28"/>
      <c r="E1717" s="16"/>
    </row>
    <row r="1718" spans="1:5" x14ac:dyDescent="0.2">
      <c r="A1718" s="28"/>
      <c r="B1718" s="28"/>
      <c r="C1718" s="28"/>
      <c r="D1718" s="28"/>
      <c r="E1718" s="16"/>
    </row>
    <row r="1719" spans="1:5" x14ac:dyDescent="0.2">
      <c r="A1719" s="28"/>
      <c r="B1719" s="28"/>
      <c r="C1719" s="28"/>
      <c r="D1719" s="28"/>
      <c r="E1719" s="16"/>
    </row>
    <row r="1720" spans="1:5" x14ac:dyDescent="0.2">
      <c r="A1720" s="28"/>
      <c r="B1720" s="28"/>
      <c r="C1720" s="28"/>
      <c r="D1720" s="28"/>
      <c r="E1720" s="16"/>
    </row>
    <row r="1721" spans="1:5" x14ac:dyDescent="0.2">
      <c r="A1721" s="28"/>
      <c r="B1721" s="28"/>
      <c r="C1721" s="28"/>
      <c r="D1721" s="28"/>
      <c r="E1721" s="16"/>
    </row>
    <row r="1722" spans="1:5" x14ac:dyDescent="0.2">
      <c r="A1722" s="28"/>
      <c r="B1722" s="28"/>
      <c r="C1722" s="28"/>
      <c r="D1722" s="28"/>
      <c r="E1722" s="16"/>
    </row>
    <row r="1723" spans="1:5" x14ac:dyDescent="0.2">
      <c r="A1723" s="28"/>
      <c r="B1723" s="28"/>
      <c r="C1723" s="28"/>
      <c r="D1723" s="28"/>
      <c r="E1723" s="16"/>
    </row>
    <row r="1724" spans="1:5" x14ac:dyDescent="0.2">
      <c r="A1724" s="28"/>
      <c r="B1724" s="28"/>
      <c r="C1724" s="28"/>
      <c r="D1724" s="28"/>
      <c r="E1724" s="16"/>
    </row>
    <row r="1725" spans="1:5" x14ac:dyDescent="0.2">
      <c r="A1725" s="28"/>
      <c r="B1725" s="28"/>
      <c r="C1725" s="28"/>
      <c r="D1725" s="28"/>
      <c r="E1725" s="16"/>
    </row>
    <row r="1726" spans="1:5" x14ac:dyDescent="0.2">
      <c r="A1726" s="28"/>
      <c r="B1726" s="28"/>
      <c r="C1726" s="28"/>
      <c r="D1726" s="28"/>
      <c r="E1726" s="16"/>
    </row>
    <row r="1727" spans="1:5" x14ac:dyDescent="0.2">
      <c r="A1727" s="28"/>
      <c r="B1727" s="28"/>
      <c r="C1727" s="28"/>
      <c r="D1727" s="28"/>
      <c r="E1727" s="16"/>
    </row>
    <row r="1728" spans="1:5" x14ac:dyDescent="0.2">
      <c r="A1728" s="28"/>
      <c r="B1728" s="28"/>
      <c r="C1728" s="28"/>
      <c r="D1728" s="28"/>
      <c r="E1728" s="16"/>
    </row>
    <row r="1729" spans="1:5" x14ac:dyDescent="0.2">
      <c r="A1729" s="28"/>
      <c r="B1729" s="28"/>
      <c r="C1729" s="28"/>
      <c r="D1729" s="28"/>
      <c r="E1729" s="16"/>
    </row>
    <row r="1730" spans="1:5" x14ac:dyDescent="0.2">
      <c r="A1730" s="28"/>
      <c r="B1730" s="28"/>
      <c r="C1730" s="28"/>
      <c r="D1730" s="28"/>
      <c r="E1730" s="16"/>
    </row>
    <row r="1731" spans="1:5" x14ac:dyDescent="0.2">
      <c r="A1731" s="28"/>
      <c r="B1731" s="28"/>
      <c r="C1731" s="28"/>
      <c r="D1731" s="28"/>
      <c r="E1731" s="16"/>
    </row>
    <row r="1732" spans="1:5" x14ac:dyDescent="0.2">
      <c r="A1732" s="28"/>
      <c r="B1732" s="28"/>
      <c r="C1732" s="28"/>
      <c r="D1732" s="28"/>
      <c r="E1732" s="16"/>
    </row>
    <row r="1733" spans="1:5" x14ac:dyDescent="0.2">
      <c r="A1733" s="28"/>
      <c r="B1733" s="28"/>
      <c r="C1733" s="28"/>
      <c r="D1733" s="28"/>
      <c r="E1733" s="16"/>
    </row>
    <row r="1734" spans="1:5" x14ac:dyDescent="0.2">
      <c r="A1734" s="28"/>
      <c r="B1734" s="28"/>
      <c r="C1734" s="28"/>
      <c r="D1734" s="28"/>
      <c r="E1734" s="16"/>
    </row>
    <row r="1735" spans="1:5" x14ac:dyDescent="0.2">
      <c r="A1735" s="28"/>
      <c r="B1735" s="28"/>
      <c r="C1735" s="28"/>
      <c r="D1735" s="28"/>
      <c r="E1735" s="16"/>
    </row>
    <row r="1736" spans="1:5" x14ac:dyDescent="0.2">
      <c r="A1736" s="28"/>
      <c r="B1736" s="28"/>
      <c r="C1736" s="28"/>
      <c r="D1736" s="28"/>
      <c r="E1736" s="16"/>
    </row>
    <row r="1737" spans="1:5" x14ac:dyDescent="0.2">
      <c r="A1737" s="28"/>
      <c r="B1737" s="28"/>
      <c r="C1737" s="28"/>
      <c r="D1737" s="28"/>
      <c r="E1737" s="16"/>
    </row>
    <row r="1738" spans="1:5" x14ac:dyDescent="0.2">
      <c r="A1738" s="28"/>
      <c r="B1738" s="28"/>
      <c r="C1738" s="28"/>
      <c r="D1738" s="28"/>
      <c r="E1738" s="16"/>
    </row>
    <row r="1739" spans="1:5" x14ac:dyDescent="0.2">
      <c r="A1739" s="28"/>
      <c r="B1739" s="28"/>
      <c r="C1739" s="28"/>
      <c r="D1739" s="28"/>
      <c r="E1739" s="16"/>
    </row>
    <row r="1740" spans="1:5" x14ac:dyDescent="0.2">
      <c r="A1740" s="28"/>
      <c r="B1740" s="28"/>
      <c r="C1740" s="28"/>
      <c r="D1740" s="28"/>
      <c r="E1740" s="16"/>
    </row>
    <row r="1741" spans="1:5" x14ac:dyDescent="0.2">
      <c r="A1741" s="28"/>
      <c r="B1741" s="28"/>
      <c r="C1741" s="28"/>
      <c r="D1741" s="28"/>
      <c r="E1741" s="16"/>
    </row>
    <row r="1742" spans="1:5" x14ac:dyDescent="0.2">
      <c r="A1742" s="28"/>
      <c r="B1742" s="28"/>
      <c r="C1742" s="28"/>
      <c r="D1742" s="28"/>
      <c r="E1742" s="16"/>
    </row>
    <row r="1743" spans="1:5" x14ac:dyDescent="0.2">
      <c r="A1743" s="28"/>
      <c r="B1743" s="28"/>
      <c r="C1743" s="28"/>
      <c r="D1743" s="28"/>
      <c r="E1743" s="16"/>
    </row>
    <row r="1744" spans="1:5" x14ac:dyDescent="0.2">
      <c r="A1744" s="28"/>
      <c r="B1744" s="28"/>
      <c r="C1744" s="28"/>
      <c r="D1744" s="28"/>
      <c r="E1744" s="16"/>
    </row>
    <row r="1745" spans="1:5" x14ac:dyDescent="0.2">
      <c r="A1745" s="28"/>
      <c r="B1745" s="28"/>
      <c r="C1745" s="28"/>
      <c r="D1745" s="28"/>
      <c r="E1745" s="16"/>
    </row>
    <row r="1746" spans="1:5" x14ac:dyDescent="0.2">
      <c r="A1746" s="28"/>
      <c r="B1746" s="28"/>
      <c r="C1746" s="28"/>
      <c r="D1746" s="28"/>
      <c r="E1746" s="16"/>
    </row>
    <row r="1747" spans="1:5" x14ac:dyDescent="0.2">
      <c r="A1747" s="28"/>
      <c r="B1747" s="28"/>
      <c r="C1747" s="28"/>
      <c r="D1747" s="28"/>
      <c r="E1747" s="16"/>
    </row>
    <row r="1748" spans="1:5" x14ac:dyDescent="0.2">
      <c r="A1748" s="28"/>
      <c r="B1748" s="28"/>
      <c r="C1748" s="28"/>
      <c r="D1748" s="28"/>
      <c r="E1748" s="16"/>
    </row>
    <row r="1749" spans="1:5" x14ac:dyDescent="0.2">
      <c r="A1749" s="28"/>
      <c r="B1749" s="28"/>
      <c r="C1749" s="28"/>
      <c r="D1749" s="28"/>
      <c r="E1749" s="16"/>
    </row>
    <row r="1750" spans="1:5" x14ac:dyDescent="0.2">
      <c r="A1750" s="28"/>
      <c r="B1750" s="28"/>
      <c r="C1750" s="28"/>
      <c r="D1750" s="28"/>
      <c r="E1750" s="16"/>
    </row>
    <row r="1751" spans="1:5" x14ac:dyDescent="0.2">
      <c r="A1751" s="28"/>
      <c r="B1751" s="28"/>
      <c r="C1751" s="28"/>
      <c r="D1751" s="28"/>
      <c r="E1751" s="16"/>
    </row>
    <row r="1752" spans="1:5" x14ac:dyDescent="0.2">
      <c r="A1752" s="28"/>
      <c r="B1752" s="28"/>
      <c r="C1752" s="28"/>
      <c r="D1752" s="28"/>
      <c r="E1752" s="16"/>
    </row>
    <row r="1753" spans="1:5" x14ac:dyDescent="0.2">
      <c r="A1753" s="28"/>
      <c r="B1753" s="28"/>
      <c r="C1753" s="28"/>
      <c r="D1753" s="28"/>
      <c r="E1753" s="16"/>
    </row>
    <row r="1754" spans="1:5" x14ac:dyDescent="0.2">
      <c r="A1754" s="28"/>
      <c r="B1754" s="28"/>
      <c r="C1754" s="28"/>
      <c r="D1754" s="28"/>
      <c r="E1754" s="16"/>
    </row>
    <row r="1755" spans="1:5" x14ac:dyDescent="0.2">
      <c r="A1755" s="28"/>
      <c r="B1755" s="28"/>
      <c r="C1755" s="28"/>
      <c r="D1755" s="28"/>
      <c r="E1755" s="16"/>
    </row>
    <row r="1756" spans="1:5" x14ac:dyDescent="0.2">
      <c r="A1756" s="28"/>
      <c r="B1756" s="28"/>
      <c r="C1756" s="28"/>
      <c r="D1756" s="28"/>
      <c r="E1756" s="16"/>
    </row>
    <row r="1757" spans="1:5" x14ac:dyDescent="0.2">
      <c r="A1757" s="28"/>
      <c r="B1757" s="28"/>
      <c r="C1757" s="28"/>
      <c r="D1757" s="28"/>
      <c r="E1757" s="16"/>
    </row>
    <row r="1758" spans="1:5" x14ac:dyDescent="0.2">
      <c r="A1758" s="28"/>
      <c r="B1758" s="28"/>
      <c r="C1758" s="28"/>
      <c r="D1758" s="28"/>
      <c r="E1758" s="16"/>
    </row>
    <row r="1759" spans="1:5" x14ac:dyDescent="0.2">
      <c r="A1759" s="28"/>
      <c r="B1759" s="28"/>
      <c r="C1759" s="28"/>
      <c r="D1759" s="28"/>
      <c r="E1759" s="16"/>
    </row>
    <row r="1760" spans="1:5" x14ac:dyDescent="0.2">
      <c r="A1760" s="28"/>
      <c r="B1760" s="28"/>
      <c r="C1760" s="28"/>
      <c r="D1760" s="28"/>
      <c r="E1760" s="16"/>
    </row>
    <row r="1761" spans="1:5" x14ac:dyDescent="0.2">
      <c r="A1761" s="28"/>
      <c r="B1761" s="28"/>
      <c r="C1761" s="28"/>
      <c r="D1761" s="28"/>
      <c r="E1761" s="16"/>
    </row>
    <row r="1762" spans="1:5" x14ac:dyDescent="0.2">
      <c r="A1762" s="28"/>
      <c r="B1762" s="28"/>
      <c r="C1762" s="28"/>
      <c r="D1762" s="28"/>
      <c r="E1762" s="16"/>
    </row>
    <row r="1763" spans="1:5" x14ac:dyDescent="0.2">
      <c r="A1763" s="28"/>
      <c r="B1763" s="28"/>
      <c r="C1763" s="28"/>
      <c r="D1763" s="28"/>
      <c r="E1763" s="16"/>
    </row>
    <row r="1764" spans="1:5" x14ac:dyDescent="0.2">
      <c r="A1764" s="28"/>
      <c r="B1764" s="28"/>
      <c r="C1764" s="28"/>
      <c r="D1764" s="28"/>
      <c r="E1764" s="16"/>
    </row>
    <row r="1765" spans="1:5" x14ac:dyDescent="0.2">
      <c r="A1765" s="28"/>
      <c r="B1765" s="28"/>
      <c r="C1765" s="28"/>
      <c r="D1765" s="28"/>
      <c r="E1765" s="16"/>
    </row>
    <row r="1766" spans="1:5" x14ac:dyDescent="0.2">
      <c r="A1766" s="28"/>
      <c r="B1766" s="28"/>
      <c r="C1766" s="28"/>
      <c r="D1766" s="28"/>
      <c r="E1766" s="16"/>
    </row>
    <row r="1767" spans="1:5" x14ac:dyDescent="0.2">
      <c r="A1767" s="28"/>
      <c r="B1767" s="28"/>
      <c r="C1767" s="28"/>
      <c r="D1767" s="28"/>
      <c r="E1767" s="16"/>
    </row>
    <row r="1768" spans="1:5" x14ac:dyDescent="0.2">
      <c r="A1768" s="28"/>
      <c r="B1768" s="28"/>
      <c r="C1768" s="28"/>
      <c r="D1768" s="28"/>
      <c r="E1768" s="16"/>
    </row>
    <row r="1769" spans="1:5" x14ac:dyDescent="0.2">
      <c r="A1769" s="28"/>
      <c r="B1769" s="28"/>
      <c r="C1769" s="28"/>
      <c r="D1769" s="28"/>
      <c r="E1769" s="16"/>
    </row>
    <row r="1770" spans="1:5" x14ac:dyDescent="0.2">
      <c r="A1770" s="28"/>
      <c r="B1770" s="28"/>
      <c r="C1770" s="28"/>
      <c r="D1770" s="28"/>
      <c r="E1770" s="16"/>
    </row>
    <row r="1771" spans="1:5" x14ac:dyDescent="0.2">
      <c r="A1771" s="28"/>
      <c r="B1771" s="28"/>
      <c r="C1771" s="28"/>
      <c r="D1771" s="28"/>
      <c r="E1771" s="16"/>
    </row>
    <row r="1772" spans="1:5" x14ac:dyDescent="0.2">
      <c r="A1772" s="28"/>
      <c r="B1772" s="28"/>
      <c r="C1772" s="28"/>
      <c r="D1772" s="28"/>
      <c r="E1772" s="16"/>
    </row>
    <row r="1773" spans="1:5" x14ac:dyDescent="0.2">
      <c r="A1773" s="28"/>
      <c r="B1773" s="28"/>
      <c r="C1773" s="28"/>
      <c r="D1773" s="28"/>
      <c r="E1773" s="16"/>
    </row>
    <row r="1774" spans="1:5" x14ac:dyDescent="0.2">
      <c r="A1774" s="28"/>
      <c r="B1774" s="28"/>
      <c r="C1774" s="28"/>
      <c r="D1774" s="28"/>
      <c r="E1774" s="16"/>
    </row>
    <row r="1775" spans="1:5" x14ac:dyDescent="0.2">
      <c r="A1775" s="28"/>
      <c r="B1775" s="28"/>
      <c r="C1775" s="28"/>
      <c r="D1775" s="28"/>
      <c r="E1775" s="16"/>
    </row>
    <row r="1776" spans="1:5" x14ac:dyDescent="0.2">
      <c r="A1776" s="28"/>
      <c r="B1776" s="28"/>
      <c r="C1776" s="28"/>
      <c r="D1776" s="28"/>
      <c r="E1776" s="16"/>
    </row>
    <row r="1777" spans="1:5" x14ac:dyDescent="0.2">
      <c r="A1777" s="28"/>
      <c r="B1777" s="28"/>
      <c r="C1777" s="28"/>
      <c r="D1777" s="28"/>
      <c r="E1777" s="16"/>
    </row>
    <row r="1778" spans="1:5" x14ac:dyDescent="0.2">
      <c r="A1778" s="28"/>
      <c r="B1778" s="28"/>
      <c r="C1778" s="28"/>
      <c r="D1778" s="28"/>
      <c r="E1778" s="16"/>
    </row>
    <row r="1779" spans="1:5" x14ac:dyDescent="0.2">
      <c r="A1779" s="28"/>
      <c r="B1779" s="28"/>
      <c r="C1779" s="28"/>
      <c r="D1779" s="28"/>
      <c r="E1779" s="16"/>
    </row>
    <row r="1780" spans="1:5" x14ac:dyDescent="0.2">
      <c r="A1780" s="28"/>
      <c r="B1780" s="28"/>
      <c r="C1780" s="28"/>
      <c r="D1780" s="28"/>
      <c r="E1780" s="16"/>
    </row>
    <row r="1781" spans="1:5" x14ac:dyDescent="0.2">
      <c r="A1781" s="28"/>
      <c r="B1781" s="28"/>
      <c r="C1781" s="28"/>
      <c r="D1781" s="28"/>
      <c r="E1781" s="16"/>
    </row>
    <row r="1782" spans="1:5" x14ac:dyDescent="0.2">
      <c r="A1782" s="28"/>
      <c r="B1782" s="28"/>
      <c r="C1782" s="28"/>
      <c r="D1782" s="28"/>
      <c r="E1782" s="16"/>
    </row>
    <row r="1783" spans="1:5" x14ac:dyDescent="0.2">
      <c r="A1783" s="28"/>
      <c r="B1783" s="28"/>
      <c r="C1783" s="28"/>
      <c r="D1783" s="28"/>
      <c r="E1783" s="16"/>
    </row>
    <row r="1784" spans="1:5" x14ac:dyDescent="0.2">
      <c r="A1784" s="28"/>
      <c r="B1784" s="28"/>
      <c r="C1784" s="28"/>
      <c r="D1784" s="28"/>
      <c r="E1784" s="16"/>
    </row>
    <row r="1785" spans="1:5" x14ac:dyDescent="0.2">
      <c r="A1785" s="28"/>
      <c r="B1785" s="28"/>
      <c r="C1785" s="28"/>
      <c r="D1785" s="28"/>
      <c r="E1785" s="16"/>
    </row>
    <row r="1786" spans="1:5" x14ac:dyDescent="0.2">
      <c r="A1786" s="28"/>
      <c r="B1786" s="28"/>
      <c r="C1786" s="28"/>
      <c r="D1786" s="28"/>
      <c r="E1786" s="16"/>
    </row>
    <row r="1787" spans="1:5" x14ac:dyDescent="0.2">
      <c r="A1787" s="28"/>
      <c r="B1787" s="28"/>
      <c r="C1787" s="28"/>
      <c r="D1787" s="28"/>
      <c r="E1787" s="16"/>
    </row>
    <row r="1788" spans="1:5" x14ac:dyDescent="0.2">
      <c r="A1788" s="28"/>
      <c r="B1788" s="28"/>
      <c r="C1788" s="28"/>
      <c r="D1788" s="28"/>
      <c r="E1788" s="16"/>
    </row>
    <row r="1789" spans="1:5" x14ac:dyDescent="0.2">
      <c r="A1789" s="28"/>
      <c r="B1789" s="28"/>
      <c r="C1789" s="28"/>
      <c r="D1789" s="28"/>
      <c r="E1789" s="16"/>
    </row>
    <row r="1790" spans="1:5" x14ac:dyDescent="0.2">
      <c r="A1790" s="28"/>
      <c r="B1790" s="28"/>
      <c r="C1790" s="28"/>
      <c r="D1790" s="28"/>
      <c r="E1790" s="16"/>
    </row>
    <row r="1791" spans="1:5" x14ac:dyDescent="0.2">
      <c r="A1791" s="28"/>
      <c r="B1791" s="28"/>
      <c r="C1791" s="28"/>
      <c r="D1791" s="28"/>
      <c r="E1791" s="16"/>
    </row>
    <row r="1792" spans="1:5" x14ac:dyDescent="0.2">
      <c r="A1792" s="28"/>
      <c r="B1792" s="28"/>
      <c r="C1792" s="28"/>
      <c r="D1792" s="28"/>
      <c r="E1792" s="16"/>
    </row>
    <row r="1793" spans="1:5" x14ac:dyDescent="0.2">
      <c r="A1793" s="28"/>
      <c r="B1793" s="28"/>
      <c r="C1793" s="28"/>
      <c r="D1793" s="28"/>
      <c r="E1793" s="16"/>
    </row>
    <row r="1794" spans="1:5" x14ac:dyDescent="0.2">
      <c r="A1794" s="28"/>
      <c r="B1794" s="28"/>
      <c r="C1794" s="28"/>
      <c r="D1794" s="28"/>
      <c r="E1794" s="16"/>
    </row>
    <row r="1795" spans="1:5" x14ac:dyDescent="0.2">
      <c r="A1795" s="28"/>
      <c r="B1795" s="28"/>
      <c r="C1795" s="28"/>
      <c r="D1795" s="28"/>
      <c r="E1795" s="16"/>
    </row>
    <row r="1796" spans="1:5" x14ac:dyDescent="0.2">
      <c r="A1796" s="28"/>
      <c r="B1796" s="28"/>
      <c r="C1796" s="28"/>
      <c r="D1796" s="28"/>
      <c r="E1796" s="16"/>
    </row>
    <row r="1797" spans="1:5" x14ac:dyDescent="0.2">
      <c r="A1797" s="28"/>
      <c r="B1797" s="28"/>
      <c r="C1797" s="28"/>
      <c r="D1797" s="28"/>
      <c r="E1797" s="16"/>
    </row>
    <row r="1798" spans="1:5" x14ac:dyDescent="0.2">
      <c r="A1798" s="28"/>
      <c r="B1798" s="28"/>
      <c r="C1798" s="28"/>
      <c r="D1798" s="28"/>
      <c r="E1798" s="16"/>
    </row>
    <row r="1799" spans="1:5" x14ac:dyDescent="0.2">
      <c r="A1799" s="28"/>
      <c r="B1799" s="28"/>
      <c r="C1799" s="28"/>
      <c r="D1799" s="28"/>
      <c r="E1799" s="16"/>
    </row>
    <row r="1800" spans="1:5" x14ac:dyDescent="0.2">
      <c r="A1800" s="28"/>
      <c r="B1800" s="28"/>
      <c r="C1800" s="28"/>
      <c r="D1800" s="28"/>
      <c r="E1800" s="16"/>
    </row>
    <row r="1801" spans="1:5" x14ac:dyDescent="0.2">
      <c r="A1801" s="28"/>
      <c r="B1801" s="28"/>
      <c r="C1801" s="28"/>
      <c r="D1801" s="28"/>
      <c r="E1801" s="16"/>
    </row>
    <row r="1802" spans="1:5" x14ac:dyDescent="0.2">
      <c r="A1802" s="28"/>
      <c r="B1802" s="28"/>
      <c r="C1802" s="28"/>
      <c r="D1802" s="28"/>
      <c r="E1802" s="16"/>
    </row>
    <row r="1803" spans="1:5" x14ac:dyDescent="0.2">
      <c r="A1803" s="28"/>
      <c r="B1803" s="28"/>
      <c r="C1803" s="28"/>
      <c r="D1803" s="28"/>
      <c r="E1803" s="16"/>
    </row>
    <row r="1804" spans="1:5" x14ac:dyDescent="0.2">
      <c r="A1804" s="28"/>
      <c r="B1804" s="28"/>
      <c r="C1804" s="28"/>
      <c r="D1804" s="28"/>
      <c r="E1804" s="16"/>
    </row>
    <row r="1805" spans="1:5" x14ac:dyDescent="0.2">
      <c r="A1805" s="28"/>
      <c r="B1805" s="28"/>
      <c r="C1805" s="28"/>
      <c r="D1805" s="28"/>
      <c r="E1805" s="16"/>
    </row>
    <row r="1806" spans="1:5" x14ac:dyDescent="0.2">
      <c r="A1806" s="28"/>
      <c r="B1806" s="28"/>
      <c r="C1806" s="28"/>
      <c r="D1806" s="28"/>
      <c r="E1806" s="16"/>
    </row>
    <row r="1807" spans="1:5" x14ac:dyDescent="0.2">
      <c r="A1807" s="28"/>
      <c r="B1807" s="28"/>
      <c r="C1807" s="28"/>
      <c r="D1807" s="28"/>
      <c r="E1807" s="16"/>
    </row>
    <row r="1808" spans="1:5" x14ac:dyDescent="0.2">
      <c r="A1808" s="28"/>
      <c r="B1808" s="28"/>
      <c r="C1808" s="28"/>
      <c r="D1808" s="28"/>
      <c r="E1808" s="16"/>
    </row>
    <row r="1809" spans="1:5" x14ac:dyDescent="0.2">
      <c r="A1809" s="28"/>
      <c r="B1809" s="28"/>
      <c r="C1809" s="28"/>
      <c r="D1809" s="28"/>
      <c r="E1809" s="16"/>
    </row>
    <row r="1810" spans="1:5" x14ac:dyDescent="0.2">
      <c r="A1810" s="28"/>
      <c r="B1810" s="28"/>
      <c r="C1810" s="28"/>
      <c r="D1810" s="28"/>
      <c r="E1810" s="16"/>
    </row>
    <row r="1811" spans="1:5" x14ac:dyDescent="0.2">
      <c r="A1811" s="28"/>
      <c r="B1811" s="28"/>
      <c r="C1811" s="28"/>
      <c r="D1811" s="28"/>
      <c r="E1811" s="16"/>
    </row>
    <row r="1812" spans="1:5" x14ac:dyDescent="0.2">
      <c r="A1812" s="28"/>
      <c r="B1812" s="28"/>
      <c r="C1812" s="28"/>
      <c r="D1812" s="28"/>
      <c r="E1812" s="16"/>
    </row>
    <row r="1813" spans="1:5" x14ac:dyDescent="0.2">
      <c r="A1813" s="28"/>
      <c r="B1813" s="28"/>
      <c r="C1813" s="28"/>
      <c r="D1813" s="28"/>
      <c r="E1813" s="16"/>
    </row>
    <row r="1814" spans="1:5" x14ac:dyDescent="0.2">
      <c r="A1814" s="28"/>
      <c r="B1814" s="28"/>
      <c r="C1814" s="28"/>
      <c r="D1814" s="28"/>
      <c r="E1814" s="16"/>
    </row>
    <row r="1815" spans="1:5" x14ac:dyDescent="0.2">
      <c r="A1815" s="28"/>
      <c r="B1815" s="28"/>
      <c r="C1815" s="28"/>
      <c r="D1815" s="28"/>
      <c r="E1815" s="16"/>
    </row>
    <row r="1816" spans="1:5" x14ac:dyDescent="0.2">
      <c r="A1816" s="28"/>
      <c r="B1816" s="28"/>
      <c r="C1816" s="28"/>
      <c r="D1816" s="28"/>
      <c r="E1816" s="16"/>
    </row>
    <row r="1817" spans="1:5" x14ac:dyDescent="0.2">
      <c r="A1817" s="28"/>
      <c r="B1817" s="28"/>
      <c r="C1817" s="28"/>
      <c r="D1817" s="28"/>
      <c r="E1817" s="16"/>
    </row>
    <row r="1818" spans="1:5" x14ac:dyDescent="0.2">
      <c r="A1818" s="28"/>
      <c r="B1818" s="28"/>
      <c r="C1818" s="28"/>
      <c r="D1818" s="28"/>
      <c r="E1818" s="16"/>
    </row>
    <row r="1819" spans="1:5" x14ac:dyDescent="0.2">
      <c r="A1819" s="28"/>
      <c r="B1819" s="28"/>
      <c r="C1819" s="28"/>
      <c r="D1819" s="28"/>
      <c r="E1819" s="16"/>
    </row>
    <row r="1820" spans="1:5" x14ac:dyDescent="0.2">
      <c r="A1820" s="28"/>
      <c r="B1820" s="28"/>
      <c r="C1820" s="28"/>
      <c r="D1820" s="28"/>
      <c r="E1820" s="16"/>
    </row>
    <row r="1821" spans="1:5" x14ac:dyDescent="0.2">
      <c r="A1821" s="28"/>
      <c r="B1821" s="28"/>
      <c r="C1821" s="28"/>
      <c r="D1821" s="28"/>
      <c r="E1821" s="16"/>
    </row>
    <row r="1822" spans="1:5" x14ac:dyDescent="0.2">
      <c r="A1822" s="28"/>
      <c r="B1822" s="28"/>
      <c r="C1822" s="28"/>
      <c r="D1822" s="28"/>
      <c r="E1822" s="16"/>
    </row>
    <row r="1823" spans="1:5" x14ac:dyDescent="0.2">
      <c r="A1823" s="28"/>
      <c r="B1823" s="28"/>
      <c r="C1823" s="28"/>
      <c r="D1823" s="28"/>
      <c r="E1823" s="16"/>
    </row>
    <row r="1824" spans="1:5" x14ac:dyDescent="0.2">
      <c r="A1824" s="28"/>
      <c r="B1824" s="28"/>
      <c r="C1824" s="28"/>
      <c r="D1824" s="28"/>
      <c r="E1824" s="16"/>
    </row>
    <row r="1825" spans="1:5" x14ac:dyDescent="0.2">
      <c r="A1825" s="28"/>
      <c r="B1825" s="28"/>
      <c r="C1825" s="28"/>
      <c r="D1825" s="28"/>
      <c r="E1825" s="16"/>
    </row>
    <row r="1826" spans="1:5" x14ac:dyDescent="0.2">
      <c r="A1826" s="28"/>
      <c r="B1826" s="28"/>
      <c r="C1826" s="28"/>
      <c r="D1826" s="28"/>
      <c r="E1826" s="16"/>
    </row>
    <row r="1827" spans="1:5" x14ac:dyDescent="0.2">
      <c r="A1827" s="28"/>
      <c r="B1827" s="28"/>
      <c r="C1827" s="28"/>
      <c r="D1827" s="28"/>
      <c r="E1827" s="16"/>
    </row>
    <row r="1828" spans="1:5" x14ac:dyDescent="0.2">
      <c r="A1828" s="28"/>
      <c r="B1828" s="28"/>
      <c r="C1828" s="28"/>
      <c r="D1828" s="28"/>
      <c r="E1828" s="16"/>
    </row>
    <row r="1829" spans="1:5" x14ac:dyDescent="0.2">
      <c r="A1829" s="28"/>
      <c r="B1829" s="28"/>
      <c r="C1829" s="28"/>
      <c r="D1829" s="28"/>
      <c r="E1829" s="16"/>
    </row>
    <row r="1830" spans="1:5" x14ac:dyDescent="0.2">
      <c r="A1830" s="28"/>
      <c r="B1830" s="28"/>
      <c r="C1830" s="28"/>
      <c r="D1830" s="28"/>
      <c r="E1830" s="16"/>
    </row>
    <row r="1831" spans="1:5" x14ac:dyDescent="0.2">
      <c r="A1831" s="28"/>
      <c r="B1831" s="28"/>
      <c r="C1831" s="28"/>
      <c r="D1831" s="28"/>
      <c r="E1831" s="16"/>
    </row>
    <row r="1832" spans="1:5" x14ac:dyDescent="0.2">
      <c r="A1832" s="28"/>
      <c r="B1832" s="28"/>
      <c r="C1832" s="28"/>
      <c r="D1832" s="28"/>
      <c r="E1832" s="16"/>
    </row>
    <row r="1833" spans="1:5" x14ac:dyDescent="0.2">
      <c r="A1833" s="28"/>
      <c r="B1833" s="28"/>
      <c r="C1833" s="28"/>
      <c r="D1833" s="28"/>
      <c r="E1833" s="16"/>
    </row>
    <row r="1834" spans="1:5" x14ac:dyDescent="0.2">
      <c r="A1834" s="28"/>
      <c r="B1834" s="28"/>
      <c r="C1834" s="28"/>
      <c r="D1834" s="28"/>
      <c r="E1834" s="16"/>
    </row>
    <row r="1835" spans="1:5" x14ac:dyDescent="0.2">
      <c r="A1835" s="28"/>
      <c r="B1835" s="28"/>
      <c r="C1835" s="28"/>
      <c r="D1835" s="28"/>
      <c r="E1835" s="16"/>
    </row>
    <row r="1836" spans="1:5" x14ac:dyDescent="0.2">
      <c r="A1836" s="28"/>
      <c r="B1836" s="28"/>
      <c r="C1836" s="28"/>
      <c r="D1836" s="28"/>
      <c r="E1836" s="16"/>
    </row>
    <row r="1837" spans="1:5" x14ac:dyDescent="0.2">
      <c r="A1837" s="28"/>
      <c r="B1837" s="28"/>
      <c r="C1837" s="28"/>
      <c r="D1837" s="28"/>
      <c r="E1837" s="16"/>
    </row>
    <row r="1838" spans="1:5" x14ac:dyDescent="0.2">
      <c r="A1838" s="28"/>
      <c r="B1838" s="28"/>
      <c r="C1838" s="28"/>
      <c r="D1838" s="28"/>
      <c r="E1838" s="16"/>
    </row>
    <row r="1839" spans="1:5" x14ac:dyDescent="0.2">
      <c r="A1839" s="28"/>
      <c r="B1839" s="28"/>
      <c r="C1839" s="28"/>
      <c r="D1839" s="28"/>
      <c r="E1839" s="16"/>
    </row>
    <row r="1840" spans="1:5" x14ac:dyDescent="0.2">
      <c r="A1840" s="28"/>
      <c r="B1840" s="28"/>
      <c r="C1840" s="28"/>
      <c r="D1840" s="28"/>
      <c r="E1840" s="16"/>
    </row>
    <row r="1841" spans="1:5" x14ac:dyDescent="0.2">
      <c r="A1841" s="28"/>
      <c r="B1841" s="28"/>
      <c r="C1841" s="28"/>
      <c r="D1841" s="28"/>
      <c r="E1841" s="16"/>
    </row>
    <row r="1842" spans="1:5" x14ac:dyDescent="0.2">
      <c r="A1842" s="28"/>
      <c r="B1842" s="28"/>
      <c r="C1842" s="28"/>
      <c r="D1842" s="28"/>
      <c r="E1842" s="16"/>
    </row>
    <row r="1843" spans="1:5" x14ac:dyDescent="0.2">
      <c r="A1843" s="28"/>
      <c r="B1843" s="28"/>
      <c r="C1843" s="28"/>
      <c r="D1843" s="28"/>
      <c r="E1843" s="16"/>
    </row>
    <row r="1844" spans="1:5" x14ac:dyDescent="0.2">
      <c r="A1844" s="28"/>
      <c r="B1844" s="28"/>
      <c r="C1844" s="28"/>
      <c r="D1844" s="28"/>
      <c r="E1844" s="16"/>
    </row>
    <row r="1845" spans="1:5" x14ac:dyDescent="0.2">
      <c r="A1845" s="28"/>
      <c r="B1845" s="28"/>
      <c r="C1845" s="28"/>
      <c r="D1845" s="28"/>
      <c r="E1845" s="16"/>
    </row>
    <row r="1846" spans="1:5" x14ac:dyDescent="0.2">
      <c r="A1846" s="28"/>
      <c r="B1846" s="28"/>
      <c r="C1846" s="28"/>
      <c r="D1846" s="28"/>
      <c r="E1846" s="16"/>
    </row>
    <row r="1847" spans="1:5" x14ac:dyDescent="0.2">
      <c r="A1847" s="28"/>
      <c r="B1847" s="28"/>
      <c r="C1847" s="28"/>
      <c r="D1847" s="28"/>
      <c r="E1847" s="16"/>
    </row>
    <row r="1848" spans="1:5" x14ac:dyDescent="0.2">
      <c r="A1848" s="28"/>
      <c r="B1848" s="28"/>
      <c r="C1848" s="28"/>
      <c r="D1848" s="28"/>
      <c r="E1848" s="16"/>
    </row>
    <row r="1849" spans="1:5" x14ac:dyDescent="0.2">
      <c r="A1849" s="28"/>
      <c r="B1849" s="28"/>
      <c r="C1849" s="28"/>
      <c r="D1849" s="28"/>
      <c r="E1849" s="16"/>
    </row>
    <row r="1850" spans="1:5" x14ac:dyDescent="0.2">
      <c r="A1850" s="28"/>
      <c r="B1850" s="28"/>
      <c r="C1850" s="28"/>
      <c r="D1850" s="28"/>
      <c r="E1850" s="16"/>
    </row>
    <row r="1851" spans="1:5" x14ac:dyDescent="0.2">
      <c r="A1851" s="28"/>
      <c r="B1851" s="28"/>
      <c r="C1851" s="28"/>
      <c r="D1851" s="28"/>
      <c r="E1851" s="16"/>
    </row>
    <row r="1852" spans="1:5" x14ac:dyDescent="0.2">
      <c r="A1852" s="28"/>
      <c r="B1852" s="28"/>
      <c r="C1852" s="28"/>
      <c r="D1852" s="28"/>
      <c r="E1852" s="16"/>
    </row>
    <row r="1853" spans="1:5" x14ac:dyDescent="0.2">
      <c r="A1853" s="28"/>
      <c r="B1853" s="28"/>
      <c r="C1853" s="28"/>
      <c r="D1853" s="28"/>
      <c r="E1853" s="16"/>
    </row>
    <row r="1854" spans="1:5" x14ac:dyDescent="0.2">
      <c r="A1854" s="28"/>
      <c r="B1854" s="28"/>
      <c r="C1854" s="28"/>
      <c r="D1854" s="28"/>
      <c r="E1854" s="16"/>
    </row>
    <row r="1855" spans="1:5" x14ac:dyDescent="0.2">
      <c r="A1855" s="28"/>
      <c r="B1855" s="28"/>
      <c r="C1855" s="28"/>
      <c r="D1855" s="28"/>
      <c r="E1855" s="16"/>
    </row>
    <row r="1856" spans="1:5" x14ac:dyDescent="0.2">
      <c r="A1856" s="28"/>
      <c r="B1856" s="28"/>
      <c r="C1856" s="28"/>
      <c r="D1856" s="28"/>
      <c r="E1856" s="16"/>
    </row>
    <row r="1857" spans="1:5" x14ac:dyDescent="0.2">
      <c r="A1857" s="28"/>
      <c r="B1857" s="28"/>
      <c r="C1857" s="28"/>
      <c r="D1857" s="28"/>
      <c r="E1857" s="16"/>
    </row>
    <row r="1858" spans="1:5" x14ac:dyDescent="0.2">
      <c r="A1858" s="28"/>
      <c r="B1858" s="28"/>
      <c r="C1858" s="28"/>
      <c r="D1858" s="28"/>
      <c r="E1858" s="16"/>
    </row>
    <row r="1859" spans="1:5" x14ac:dyDescent="0.2">
      <c r="A1859" s="28"/>
      <c r="B1859" s="28"/>
      <c r="C1859" s="28"/>
      <c r="D1859" s="28"/>
      <c r="E1859" s="16"/>
    </row>
    <row r="1860" spans="1:5" x14ac:dyDescent="0.2">
      <c r="A1860" s="28"/>
      <c r="B1860" s="28"/>
      <c r="C1860" s="28"/>
      <c r="D1860" s="28"/>
      <c r="E1860" s="16"/>
    </row>
    <row r="1861" spans="1:5" x14ac:dyDescent="0.2">
      <c r="A1861" s="28"/>
      <c r="B1861" s="28"/>
      <c r="C1861" s="28"/>
      <c r="D1861" s="28"/>
      <c r="E1861" s="16"/>
    </row>
    <row r="1862" spans="1:5" x14ac:dyDescent="0.2">
      <c r="A1862" s="28"/>
      <c r="B1862" s="28"/>
      <c r="C1862" s="28"/>
      <c r="D1862" s="28"/>
      <c r="E1862" s="16"/>
    </row>
    <row r="1863" spans="1:5" x14ac:dyDescent="0.2">
      <c r="A1863" s="28"/>
      <c r="B1863" s="28"/>
      <c r="C1863" s="28"/>
      <c r="D1863" s="28"/>
      <c r="E1863" s="16"/>
    </row>
    <row r="1864" spans="1:5" x14ac:dyDescent="0.2">
      <c r="A1864" s="28"/>
      <c r="B1864" s="28"/>
      <c r="C1864" s="28"/>
      <c r="D1864" s="28"/>
      <c r="E1864" s="16"/>
    </row>
    <row r="1865" spans="1:5" x14ac:dyDescent="0.2">
      <c r="A1865" s="28"/>
      <c r="B1865" s="28"/>
      <c r="C1865" s="28"/>
      <c r="D1865" s="28"/>
      <c r="E1865" s="16"/>
    </row>
    <row r="1866" spans="1:5" x14ac:dyDescent="0.2">
      <c r="A1866" s="28"/>
      <c r="B1866" s="28"/>
      <c r="C1866" s="28"/>
      <c r="D1866" s="28"/>
      <c r="E1866" s="16"/>
    </row>
    <row r="1867" spans="1:5" x14ac:dyDescent="0.2">
      <c r="A1867" s="28"/>
      <c r="B1867" s="28"/>
      <c r="C1867" s="28"/>
      <c r="D1867" s="28"/>
      <c r="E1867" s="16"/>
    </row>
    <row r="1868" spans="1:5" x14ac:dyDescent="0.2">
      <c r="A1868" s="28"/>
      <c r="B1868" s="28"/>
      <c r="C1868" s="28"/>
      <c r="D1868" s="28"/>
      <c r="E1868" s="16"/>
    </row>
    <row r="1869" spans="1:5" x14ac:dyDescent="0.2">
      <c r="A1869" s="28"/>
      <c r="B1869" s="28"/>
      <c r="C1869" s="28"/>
      <c r="D1869" s="28"/>
      <c r="E1869" s="16"/>
    </row>
    <row r="1870" spans="1:5" x14ac:dyDescent="0.2">
      <c r="A1870" s="28"/>
      <c r="B1870" s="28"/>
      <c r="C1870" s="28"/>
      <c r="D1870" s="28"/>
      <c r="E1870" s="16"/>
    </row>
    <row r="1871" spans="1:5" x14ac:dyDescent="0.2">
      <c r="A1871" s="28"/>
      <c r="B1871" s="28"/>
      <c r="C1871" s="28"/>
      <c r="D1871" s="28"/>
      <c r="E1871" s="16"/>
    </row>
    <row r="1872" spans="1:5" x14ac:dyDescent="0.2">
      <c r="A1872" s="28"/>
      <c r="B1872" s="28"/>
      <c r="C1872" s="28"/>
      <c r="D1872" s="28"/>
      <c r="E1872" s="16"/>
    </row>
    <row r="1873" spans="1:5" x14ac:dyDescent="0.2">
      <c r="A1873" s="28"/>
      <c r="B1873" s="28"/>
      <c r="C1873" s="28"/>
      <c r="D1873" s="28"/>
      <c r="E1873" s="16"/>
    </row>
    <row r="1874" spans="1:5" x14ac:dyDescent="0.2">
      <c r="A1874" s="28"/>
      <c r="B1874" s="28"/>
      <c r="C1874" s="28"/>
      <c r="D1874" s="28"/>
      <c r="E1874" s="16"/>
    </row>
    <row r="1875" spans="1:5" x14ac:dyDescent="0.2">
      <c r="A1875" s="28"/>
      <c r="B1875" s="28"/>
      <c r="C1875" s="28"/>
      <c r="D1875" s="28"/>
      <c r="E1875" s="16"/>
    </row>
    <row r="1876" spans="1:5" x14ac:dyDescent="0.2">
      <c r="A1876" s="28"/>
      <c r="B1876" s="28"/>
      <c r="C1876" s="28"/>
      <c r="D1876" s="28"/>
      <c r="E1876" s="16"/>
    </row>
    <row r="1877" spans="1:5" x14ac:dyDescent="0.2">
      <c r="A1877" s="28"/>
      <c r="B1877" s="28"/>
      <c r="C1877" s="28"/>
      <c r="D1877" s="28"/>
      <c r="E1877" s="16"/>
    </row>
    <row r="1878" spans="1:5" x14ac:dyDescent="0.2">
      <c r="A1878" s="28"/>
      <c r="B1878" s="28"/>
      <c r="C1878" s="28"/>
      <c r="D1878" s="28"/>
      <c r="E1878" s="16"/>
    </row>
    <row r="1879" spans="1:5" x14ac:dyDescent="0.2">
      <c r="A1879" s="28"/>
      <c r="B1879" s="28"/>
      <c r="C1879" s="28"/>
      <c r="D1879" s="28"/>
      <c r="E1879" s="16"/>
    </row>
    <row r="1880" spans="1:5" x14ac:dyDescent="0.2">
      <c r="A1880" s="28"/>
      <c r="B1880" s="28"/>
      <c r="C1880" s="28"/>
      <c r="D1880" s="28"/>
      <c r="E1880" s="16"/>
    </row>
    <row r="1881" spans="1:5" x14ac:dyDescent="0.2">
      <c r="A1881" s="28"/>
      <c r="B1881" s="28"/>
      <c r="C1881" s="28"/>
      <c r="D1881" s="28"/>
      <c r="E1881" s="16"/>
    </row>
    <row r="1882" spans="1:5" x14ac:dyDescent="0.2">
      <c r="A1882" s="28"/>
      <c r="B1882" s="28"/>
      <c r="C1882" s="28"/>
      <c r="D1882" s="28"/>
      <c r="E1882" s="16"/>
    </row>
    <row r="1883" spans="1:5" x14ac:dyDescent="0.2">
      <c r="A1883" s="28"/>
      <c r="B1883" s="28"/>
      <c r="C1883" s="28"/>
      <c r="D1883" s="28"/>
      <c r="E1883" s="16"/>
    </row>
    <row r="1884" spans="1:5" x14ac:dyDescent="0.2">
      <c r="A1884" s="28"/>
      <c r="B1884" s="28"/>
      <c r="C1884" s="28"/>
      <c r="D1884" s="28"/>
      <c r="E1884" s="16"/>
    </row>
    <row r="1885" spans="1:5" x14ac:dyDescent="0.2">
      <c r="A1885" s="28"/>
      <c r="B1885" s="28"/>
      <c r="C1885" s="28"/>
      <c r="D1885" s="28"/>
      <c r="E1885" s="16"/>
    </row>
    <row r="1886" spans="1:5" x14ac:dyDescent="0.2">
      <c r="A1886" s="28"/>
      <c r="B1886" s="28"/>
      <c r="C1886" s="28"/>
      <c r="D1886" s="28"/>
      <c r="E1886" s="16"/>
    </row>
    <row r="1887" spans="1:5" x14ac:dyDescent="0.2">
      <c r="A1887" s="28"/>
      <c r="B1887" s="28"/>
      <c r="C1887" s="28"/>
      <c r="D1887" s="28"/>
      <c r="E1887" s="16"/>
    </row>
    <row r="1888" spans="1:5" x14ac:dyDescent="0.2">
      <c r="A1888" s="28"/>
      <c r="B1888" s="28"/>
      <c r="C1888" s="28"/>
      <c r="D1888" s="28"/>
      <c r="E1888" s="16"/>
    </row>
    <row r="1889" spans="1:5" x14ac:dyDescent="0.2">
      <c r="A1889" s="28"/>
      <c r="B1889" s="28"/>
      <c r="C1889" s="28"/>
      <c r="D1889" s="28"/>
      <c r="E1889" s="16"/>
    </row>
    <row r="1890" spans="1:5" x14ac:dyDescent="0.2">
      <c r="A1890" s="28"/>
      <c r="B1890" s="28"/>
      <c r="C1890" s="28"/>
      <c r="D1890" s="28"/>
      <c r="E1890" s="16"/>
    </row>
    <row r="1891" spans="1:5" x14ac:dyDescent="0.2">
      <c r="A1891" s="28"/>
      <c r="B1891" s="28"/>
      <c r="C1891" s="28"/>
      <c r="D1891" s="28"/>
      <c r="E1891" s="16"/>
    </row>
    <row r="1892" spans="1:5" x14ac:dyDescent="0.2">
      <c r="A1892" s="28"/>
      <c r="B1892" s="28"/>
      <c r="C1892" s="28"/>
      <c r="D1892" s="28"/>
      <c r="E1892" s="16"/>
    </row>
    <row r="1893" spans="1:5" x14ac:dyDescent="0.2">
      <c r="A1893" s="28"/>
      <c r="B1893" s="28"/>
      <c r="C1893" s="28"/>
      <c r="D1893" s="28"/>
      <c r="E1893" s="16"/>
    </row>
    <row r="1894" spans="1:5" x14ac:dyDescent="0.2">
      <c r="A1894" s="28"/>
      <c r="B1894" s="28"/>
      <c r="C1894" s="28"/>
      <c r="D1894" s="28"/>
      <c r="E1894" s="16"/>
    </row>
    <row r="1895" spans="1:5" x14ac:dyDescent="0.2">
      <c r="A1895" s="28"/>
      <c r="B1895" s="28"/>
      <c r="C1895" s="28"/>
      <c r="D1895" s="28"/>
      <c r="E1895" s="16"/>
    </row>
    <row r="1896" spans="1:5" x14ac:dyDescent="0.2">
      <c r="A1896" s="28"/>
      <c r="B1896" s="28"/>
      <c r="C1896" s="28"/>
      <c r="D1896" s="28"/>
      <c r="E1896" s="16"/>
    </row>
    <row r="1897" spans="1:5" x14ac:dyDescent="0.2">
      <c r="A1897" s="28"/>
      <c r="B1897" s="28"/>
      <c r="C1897" s="28"/>
      <c r="D1897" s="28"/>
      <c r="E1897" s="16"/>
    </row>
    <row r="1898" spans="1:5" x14ac:dyDescent="0.2">
      <c r="A1898" s="28"/>
      <c r="B1898" s="28"/>
      <c r="C1898" s="28"/>
      <c r="D1898" s="28"/>
      <c r="E1898" s="16"/>
    </row>
    <row r="1899" spans="1:5" x14ac:dyDescent="0.2">
      <c r="A1899" s="28"/>
      <c r="B1899" s="28"/>
      <c r="C1899" s="28"/>
      <c r="D1899" s="28"/>
      <c r="E1899" s="16"/>
    </row>
    <row r="1900" spans="1:5" x14ac:dyDescent="0.2">
      <c r="A1900" s="28"/>
      <c r="B1900" s="28"/>
      <c r="C1900" s="28"/>
      <c r="D1900" s="28"/>
      <c r="E1900" s="16"/>
    </row>
    <row r="1901" spans="1:5" x14ac:dyDescent="0.2">
      <c r="A1901" s="28"/>
      <c r="B1901" s="28"/>
      <c r="C1901" s="28"/>
      <c r="D1901" s="28"/>
      <c r="E1901" s="16"/>
    </row>
    <row r="1902" spans="1:5" x14ac:dyDescent="0.2">
      <c r="A1902" s="28"/>
      <c r="B1902" s="28"/>
      <c r="C1902" s="28"/>
      <c r="D1902" s="28"/>
      <c r="E1902" s="16"/>
    </row>
    <row r="1903" spans="1:5" x14ac:dyDescent="0.2">
      <c r="A1903" s="28"/>
      <c r="B1903" s="28"/>
      <c r="C1903" s="28"/>
      <c r="D1903" s="28"/>
      <c r="E1903" s="16"/>
    </row>
    <row r="1904" spans="1:5" x14ac:dyDescent="0.2">
      <c r="A1904" s="28"/>
      <c r="B1904" s="28"/>
      <c r="C1904" s="28"/>
      <c r="D1904" s="28"/>
      <c r="E1904" s="16"/>
    </row>
    <row r="1905" spans="1:5" x14ac:dyDescent="0.2">
      <c r="A1905" s="28"/>
      <c r="B1905" s="28"/>
      <c r="C1905" s="28"/>
      <c r="D1905" s="28"/>
      <c r="E1905" s="16"/>
    </row>
    <row r="1906" spans="1:5" x14ac:dyDescent="0.2">
      <c r="A1906" s="28"/>
      <c r="B1906" s="28"/>
      <c r="C1906" s="28"/>
      <c r="D1906" s="28"/>
      <c r="E1906" s="16"/>
    </row>
    <row r="1907" spans="1:5" x14ac:dyDescent="0.2">
      <c r="A1907" s="28"/>
      <c r="B1907" s="28"/>
      <c r="C1907" s="28"/>
      <c r="D1907" s="28"/>
      <c r="E1907" s="16"/>
    </row>
    <row r="1908" spans="1:5" x14ac:dyDescent="0.2">
      <c r="A1908" s="28"/>
      <c r="B1908" s="28"/>
      <c r="C1908" s="28"/>
      <c r="D1908" s="28"/>
      <c r="E1908" s="16"/>
    </row>
    <row r="1909" spans="1:5" x14ac:dyDescent="0.2">
      <c r="A1909" s="28"/>
      <c r="B1909" s="28"/>
      <c r="C1909" s="28"/>
      <c r="D1909" s="28"/>
      <c r="E1909" s="16"/>
    </row>
    <row r="1910" spans="1:5" x14ac:dyDescent="0.2">
      <c r="A1910" s="28"/>
      <c r="B1910" s="28"/>
      <c r="C1910" s="28"/>
      <c r="D1910" s="28"/>
      <c r="E1910" s="16"/>
    </row>
    <row r="1911" spans="1:5" x14ac:dyDescent="0.2">
      <c r="A1911" s="28"/>
      <c r="B1911" s="28"/>
      <c r="C1911" s="28"/>
      <c r="D1911" s="28"/>
      <c r="E1911" s="16"/>
    </row>
    <row r="1912" spans="1:5" x14ac:dyDescent="0.2">
      <c r="A1912" s="28"/>
      <c r="B1912" s="28"/>
      <c r="C1912" s="28"/>
      <c r="D1912" s="28"/>
      <c r="E1912" s="16"/>
    </row>
    <row r="1913" spans="1:5" x14ac:dyDescent="0.2">
      <c r="A1913" s="28"/>
      <c r="B1913" s="28"/>
      <c r="C1913" s="28"/>
      <c r="D1913" s="28"/>
      <c r="E1913" s="16"/>
    </row>
    <row r="1914" spans="1:5" x14ac:dyDescent="0.2">
      <c r="A1914" s="28"/>
      <c r="B1914" s="28"/>
      <c r="C1914" s="28"/>
      <c r="D1914" s="28"/>
      <c r="E1914" s="16"/>
    </row>
    <row r="1915" spans="1:5" x14ac:dyDescent="0.2">
      <c r="A1915" s="28"/>
      <c r="B1915" s="28"/>
      <c r="C1915" s="28"/>
      <c r="D1915" s="28"/>
      <c r="E1915" s="16"/>
    </row>
    <row r="1916" spans="1:5" x14ac:dyDescent="0.2">
      <c r="A1916" s="28"/>
      <c r="B1916" s="28"/>
      <c r="C1916" s="28"/>
      <c r="D1916" s="28"/>
      <c r="E1916" s="16"/>
    </row>
    <row r="1917" spans="1:5" x14ac:dyDescent="0.2">
      <c r="A1917" s="28"/>
      <c r="B1917" s="28"/>
      <c r="C1917" s="28"/>
      <c r="D1917" s="28"/>
      <c r="E1917" s="16"/>
    </row>
    <row r="1918" spans="1:5" x14ac:dyDescent="0.2">
      <c r="A1918" s="28"/>
      <c r="B1918" s="28"/>
      <c r="C1918" s="28"/>
      <c r="D1918" s="28"/>
      <c r="E1918" s="16"/>
    </row>
    <row r="1919" spans="1:5" x14ac:dyDescent="0.2">
      <c r="A1919" s="28"/>
      <c r="B1919" s="28"/>
      <c r="C1919" s="28"/>
      <c r="D1919" s="28"/>
      <c r="E1919" s="16"/>
    </row>
    <row r="1920" spans="1:5" x14ac:dyDescent="0.2">
      <c r="A1920" s="28"/>
      <c r="B1920" s="28"/>
      <c r="C1920" s="28"/>
      <c r="D1920" s="28"/>
      <c r="E1920" s="16"/>
    </row>
    <row r="1921" spans="1:5" x14ac:dyDescent="0.2">
      <c r="A1921" s="28"/>
      <c r="B1921" s="28"/>
      <c r="C1921" s="28"/>
      <c r="D1921" s="28"/>
      <c r="E1921" s="16"/>
    </row>
    <row r="1922" spans="1:5" x14ac:dyDescent="0.2">
      <c r="A1922" s="28"/>
      <c r="B1922" s="28"/>
      <c r="C1922" s="28"/>
      <c r="D1922" s="28"/>
      <c r="E1922" s="16"/>
    </row>
    <row r="1923" spans="1:5" x14ac:dyDescent="0.2">
      <c r="A1923" s="28"/>
      <c r="B1923" s="28"/>
      <c r="C1923" s="28"/>
      <c r="D1923" s="28"/>
      <c r="E1923" s="16"/>
    </row>
    <row r="1924" spans="1:5" x14ac:dyDescent="0.2">
      <c r="A1924" s="28"/>
      <c r="B1924" s="28"/>
      <c r="C1924" s="28"/>
      <c r="D1924" s="28"/>
      <c r="E1924" s="16"/>
    </row>
    <row r="1925" spans="1:5" x14ac:dyDescent="0.2">
      <c r="A1925" s="28"/>
      <c r="B1925" s="28"/>
      <c r="C1925" s="28"/>
      <c r="D1925" s="28"/>
      <c r="E1925" s="16"/>
    </row>
    <row r="1926" spans="1:5" x14ac:dyDescent="0.2">
      <c r="A1926" s="28"/>
      <c r="B1926" s="28"/>
      <c r="C1926" s="28"/>
      <c r="D1926" s="28"/>
      <c r="E1926" s="16"/>
    </row>
    <row r="1927" spans="1:5" x14ac:dyDescent="0.2">
      <c r="A1927" s="28"/>
      <c r="B1927" s="28"/>
      <c r="C1927" s="28"/>
      <c r="D1927" s="28"/>
      <c r="E1927" s="16"/>
    </row>
    <row r="1928" spans="1:5" x14ac:dyDescent="0.2">
      <c r="A1928" s="28"/>
      <c r="B1928" s="28"/>
      <c r="C1928" s="28"/>
      <c r="D1928" s="28"/>
      <c r="E1928" s="16"/>
    </row>
    <row r="1929" spans="1:5" x14ac:dyDescent="0.2">
      <c r="A1929" s="28"/>
      <c r="B1929" s="28"/>
      <c r="C1929" s="28"/>
      <c r="D1929" s="28"/>
      <c r="E1929" s="16"/>
    </row>
    <row r="1930" spans="1:5" x14ac:dyDescent="0.2">
      <c r="A1930" s="28"/>
      <c r="B1930" s="28"/>
      <c r="C1930" s="28"/>
      <c r="D1930" s="28"/>
      <c r="E1930" s="16"/>
    </row>
    <row r="1931" spans="1:5" x14ac:dyDescent="0.2">
      <c r="A1931" s="28"/>
      <c r="B1931" s="28"/>
      <c r="C1931" s="28"/>
      <c r="D1931" s="28"/>
      <c r="E1931" s="16"/>
    </row>
    <row r="1932" spans="1:5" x14ac:dyDescent="0.2">
      <c r="A1932" s="28"/>
      <c r="B1932" s="28"/>
      <c r="C1932" s="28"/>
      <c r="D1932" s="28"/>
      <c r="E1932" s="16"/>
    </row>
    <row r="1933" spans="1:5" x14ac:dyDescent="0.2">
      <c r="A1933" s="28"/>
      <c r="B1933" s="28"/>
      <c r="C1933" s="28"/>
      <c r="D1933" s="28"/>
      <c r="E1933" s="16"/>
    </row>
    <row r="1934" spans="1:5" x14ac:dyDescent="0.2">
      <c r="A1934" s="28"/>
      <c r="B1934" s="28"/>
      <c r="C1934" s="28"/>
      <c r="D1934" s="28"/>
      <c r="E1934" s="16"/>
    </row>
    <row r="1935" spans="1:5" x14ac:dyDescent="0.2">
      <c r="A1935" s="28"/>
      <c r="B1935" s="28"/>
      <c r="C1935" s="28"/>
      <c r="D1935" s="28"/>
      <c r="E1935" s="16"/>
    </row>
    <row r="1936" spans="1:5" x14ac:dyDescent="0.2">
      <c r="A1936" s="28"/>
      <c r="B1936" s="28"/>
      <c r="C1936" s="28"/>
      <c r="D1936" s="28"/>
      <c r="E1936" s="16"/>
    </row>
    <row r="1937" spans="1:5" x14ac:dyDescent="0.2">
      <c r="A1937" s="28"/>
      <c r="B1937" s="28"/>
      <c r="C1937" s="28"/>
      <c r="D1937" s="28"/>
      <c r="E1937" s="16"/>
    </row>
    <row r="1938" spans="1:5" x14ac:dyDescent="0.2">
      <c r="A1938" s="28"/>
      <c r="B1938" s="28"/>
      <c r="C1938" s="28"/>
      <c r="D1938" s="28"/>
      <c r="E1938" s="16"/>
    </row>
    <row r="1939" spans="1:5" x14ac:dyDescent="0.2">
      <c r="A1939" s="28"/>
      <c r="B1939" s="28"/>
      <c r="C1939" s="28"/>
      <c r="D1939" s="28"/>
      <c r="E1939" s="16"/>
    </row>
    <row r="1940" spans="1:5" x14ac:dyDescent="0.2">
      <c r="A1940" s="28"/>
      <c r="B1940" s="28"/>
      <c r="C1940" s="28"/>
      <c r="D1940" s="28"/>
      <c r="E1940" s="16"/>
    </row>
    <row r="1941" spans="1:5" x14ac:dyDescent="0.2">
      <c r="A1941" s="28"/>
      <c r="B1941" s="28"/>
      <c r="C1941" s="28"/>
      <c r="D1941" s="28"/>
      <c r="E1941" s="16"/>
    </row>
    <row r="1942" spans="1:5" x14ac:dyDescent="0.2">
      <c r="A1942" s="28"/>
      <c r="B1942" s="28"/>
      <c r="C1942" s="28"/>
      <c r="D1942" s="28"/>
      <c r="E1942" s="16"/>
    </row>
    <row r="1943" spans="1:5" x14ac:dyDescent="0.2">
      <c r="A1943" s="28"/>
      <c r="B1943" s="28"/>
      <c r="C1943" s="28"/>
      <c r="D1943" s="28"/>
      <c r="E1943" s="16"/>
    </row>
    <row r="1944" spans="1:5" x14ac:dyDescent="0.2">
      <c r="A1944" s="28"/>
      <c r="B1944" s="28"/>
      <c r="C1944" s="28"/>
      <c r="D1944" s="28"/>
      <c r="E1944" s="16"/>
    </row>
    <row r="1945" spans="1:5" x14ac:dyDescent="0.2">
      <c r="A1945" s="28"/>
      <c r="B1945" s="28"/>
      <c r="C1945" s="28"/>
      <c r="D1945" s="28"/>
      <c r="E1945" s="16"/>
    </row>
    <row r="1946" spans="1:5" x14ac:dyDescent="0.2">
      <c r="A1946" s="28"/>
      <c r="B1946" s="28"/>
      <c r="C1946" s="28"/>
      <c r="D1946" s="28"/>
      <c r="E1946" s="16"/>
    </row>
    <row r="1947" spans="1:5" x14ac:dyDescent="0.2">
      <c r="A1947" s="28"/>
      <c r="B1947" s="28"/>
      <c r="C1947" s="28"/>
      <c r="D1947" s="28"/>
      <c r="E1947" s="16"/>
    </row>
    <row r="1948" spans="1:5" x14ac:dyDescent="0.2">
      <c r="A1948" s="28"/>
      <c r="B1948" s="28"/>
      <c r="C1948" s="28"/>
      <c r="D1948" s="28"/>
      <c r="E1948" s="16"/>
    </row>
    <row r="1949" spans="1:5" x14ac:dyDescent="0.2">
      <c r="A1949" s="28"/>
      <c r="B1949" s="28"/>
      <c r="C1949" s="28"/>
      <c r="D1949" s="28"/>
      <c r="E1949" s="16"/>
    </row>
    <row r="1950" spans="1:5" x14ac:dyDescent="0.2">
      <c r="A1950" s="28"/>
      <c r="B1950" s="28"/>
      <c r="C1950" s="28"/>
      <c r="D1950" s="28"/>
      <c r="E1950" s="16"/>
    </row>
    <row r="1951" spans="1:5" x14ac:dyDescent="0.2">
      <c r="A1951" s="28"/>
      <c r="B1951" s="28"/>
      <c r="C1951" s="28"/>
      <c r="D1951" s="28"/>
      <c r="E1951" s="16"/>
    </row>
    <row r="1952" spans="1:5" x14ac:dyDescent="0.2">
      <c r="A1952" s="28"/>
      <c r="B1952" s="28"/>
      <c r="C1952" s="28"/>
      <c r="D1952" s="28"/>
      <c r="E1952" s="16"/>
    </row>
    <row r="1953" spans="1:5" x14ac:dyDescent="0.2">
      <c r="A1953" s="28"/>
      <c r="B1953" s="28"/>
      <c r="C1953" s="28"/>
      <c r="D1953" s="28"/>
      <c r="E1953" s="16"/>
    </row>
    <row r="1954" spans="1:5" x14ac:dyDescent="0.2">
      <c r="A1954" s="28"/>
      <c r="B1954" s="28"/>
      <c r="C1954" s="28"/>
      <c r="D1954" s="28"/>
      <c r="E1954" s="16"/>
    </row>
    <row r="1955" spans="1:5" x14ac:dyDescent="0.2">
      <c r="A1955" s="28"/>
      <c r="B1955" s="28"/>
      <c r="C1955" s="28"/>
      <c r="D1955" s="28"/>
      <c r="E1955" s="16"/>
    </row>
    <row r="1956" spans="1:5" x14ac:dyDescent="0.2">
      <c r="A1956" s="28"/>
      <c r="B1956" s="28"/>
      <c r="C1956" s="28"/>
      <c r="D1956" s="28"/>
      <c r="E1956" s="16"/>
    </row>
    <row r="1957" spans="1:5" x14ac:dyDescent="0.2">
      <c r="A1957" s="28"/>
      <c r="B1957" s="28"/>
      <c r="C1957" s="28"/>
      <c r="D1957" s="28"/>
      <c r="E1957" s="16"/>
    </row>
    <row r="1958" spans="1:5" x14ac:dyDescent="0.2">
      <c r="A1958" s="28"/>
      <c r="B1958" s="28"/>
      <c r="C1958" s="28"/>
      <c r="D1958" s="28"/>
      <c r="E1958" s="16"/>
    </row>
    <row r="1959" spans="1:5" x14ac:dyDescent="0.2">
      <c r="A1959" s="28"/>
      <c r="B1959" s="28"/>
      <c r="C1959" s="28"/>
      <c r="D1959" s="28"/>
      <c r="E1959" s="16"/>
    </row>
    <row r="1960" spans="1:5" x14ac:dyDescent="0.2">
      <c r="A1960" s="28"/>
      <c r="B1960" s="28"/>
      <c r="C1960" s="28"/>
      <c r="D1960" s="28"/>
      <c r="E1960" s="16"/>
    </row>
    <row r="1961" spans="1:5" x14ac:dyDescent="0.2">
      <c r="A1961" s="28"/>
      <c r="B1961" s="28"/>
      <c r="C1961" s="28"/>
      <c r="D1961" s="28"/>
      <c r="E1961" s="16"/>
    </row>
    <row r="1962" spans="1:5" x14ac:dyDescent="0.2">
      <c r="A1962" s="28"/>
      <c r="B1962" s="28"/>
      <c r="C1962" s="28"/>
      <c r="D1962" s="28"/>
      <c r="E1962" s="16"/>
    </row>
    <row r="1963" spans="1:5" x14ac:dyDescent="0.2">
      <c r="A1963" s="28"/>
      <c r="B1963" s="28"/>
      <c r="C1963" s="28"/>
      <c r="D1963" s="28"/>
      <c r="E1963" s="16"/>
    </row>
    <row r="1964" spans="1:5" x14ac:dyDescent="0.2">
      <c r="A1964" s="28"/>
      <c r="B1964" s="28"/>
      <c r="C1964" s="28"/>
      <c r="D1964" s="28"/>
      <c r="E1964" s="16"/>
    </row>
    <row r="1965" spans="1:5" x14ac:dyDescent="0.2">
      <c r="A1965" s="28"/>
      <c r="B1965" s="28"/>
      <c r="C1965" s="28"/>
      <c r="D1965" s="28"/>
      <c r="E1965" s="16"/>
    </row>
    <row r="1966" spans="1:5" x14ac:dyDescent="0.2">
      <c r="A1966" s="28"/>
      <c r="B1966" s="28"/>
      <c r="C1966" s="28"/>
      <c r="D1966" s="28"/>
      <c r="E1966" s="16"/>
    </row>
    <row r="1967" spans="1:5" x14ac:dyDescent="0.2">
      <c r="A1967" s="28"/>
      <c r="B1967" s="28"/>
      <c r="C1967" s="28"/>
      <c r="D1967" s="28"/>
      <c r="E1967" s="16"/>
    </row>
    <row r="1968" spans="1:5" x14ac:dyDescent="0.2">
      <c r="A1968" s="28"/>
      <c r="B1968" s="28"/>
      <c r="C1968" s="28"/>
      <c r="D1968" s="28"/>
      <c r="E1968" s="16"/>
    </row>
    <row r="1969" spans="1:5" x14ac:dyDescent="0.2">
      <c r="A1969" s="28"/>
      <c r="B1969" s="28"/>
      <c r="C1969" s="28"/>
      <c r="D1969" s="28"/>
      <c r="E1969" s="16"/>
    </row>
    <row r="1970" spans="1:5" x14ac:dyDescent="0.2">
      <c r="A1970" s="28"/>
      <c r="B1970" s="28"/>
      <c r="C1970" s="28"/>
      <c r="D1970" s="28"/>
      <c r="E1970" s="16"/>
    </row>
    <row r="1971" spans="1:5" x14ac:dyDescent="0.2">
      <c r="A1971" s="28"/>
      <c r="B1971" s="28"/>
      <c r="C1971" s="28"/>
      <c r="D1971" s="28"/>
      <c r="E1971" s="16"/>
    </row>
    <row r="1972" spans="1:5" x14ac:dyDescent="0.2">
      <c r="A1972" s="28"/>
      <c r="B1972" s="28"/>
      <c r="C1972" s="28"/>
      <c r="D1972" s="28"/>
      <c r="E1972" s="16"/>
    </row>
    <row r="1973" spans="1:5" x14ac:dyDescent="0.2">
      <c r="A1973" s="28"/>
      <c r="B1973" s="28"/>
      <c r="C1973" s="28"/>
      <c r="D1973" s="28"/>
      <c r="E1973" s="16"/>
    </row>
    <row r="1974" spans="1:5" x14ac:dyDescent="0.2">
      <c r="A1974" s="28"/>
      <c r="B1974" s="28"/>
      <c r="C1974" s="28"/>
      <c r="D1974" s="28"/>
      <c r="E1974" s="16"/>
    </row>
    <row r="1975" spans="1:5" x14ac:dyDescent="0.2">
      <c r="A1975" s="28"/>
      <c r="B1975" s="28"/>
      <c r="C1975" s="28"/>
      <c r="D1975" s="28"/>
      <c r="E1975" s="16"/>
    </row>
    <row r="1976" spans="1:5" x14ac:dyDescent="0.2">
      <c r="A1976" s="28"/>
      <c r="B1976" s="28"/>
      <c r="C1976" s="28"/>
      <c r="D1976" s="28"/>
      <c r="E1976" s="16"/>
    </row>
    <row r="1977" spans="1:5" x14ac:dyDescent="0.2">
      <c r="A1977" s="28"/>
      <c r="B1977" s="28"/>
      <c r="C1977" s="28"/>
      <c r="D1977" s="28"/>
      <c r="E1977" s="16"/>
    </row>
    <row r="1978" spans="1:5" x14ac:dyDescent="0.2">
      <c r="A1978" s="28"/>
      <c r="B1978" s="28"/>
      <c r="C1978" s="28"/>
      <c r="D1978" s="28"/>
      <c r="E1978" s="16"/>
    </row>
    <row r="1979" spans="1:5" x14ac:dyDescent="0.2">
      <c r="A1979" s="28"/>
      <c r="B1979" s="28"/>
      <c r="C1979" s="28"/>
      <c r="D1979" s="28"/>
      <c r="E1979" s="16"/>
    </row>
    <row r="1980" spans="1:5" x14ac:dyDescent="0.2">
      <c r="A1980" s="28"/>
      <c r="B1980" s="28"/>
      <c r="C1980" s="28"/>
      <c r="D1980" s="28"/>
      <c r="E1980" s="16"/>
    </row>
    <row r="1981" spans="1:5" x14ac:dyDescent="0.2">
      <c r="A1981" s="28"/>
      <c r="B1981" s="28"/>
      <c r="C1981" s="28"/>
      <c r="D1981" s="28"/>
      <c r="E1981" s="16"/>
    </row>
    <row r="1982" spans="1:5" x14ac:dyDescent="0.2">
      <c r="A1982" s="28"/>
      <c r="B1982" s="28"/>
      <c r="C1982" s="28"/>
      <c r="D1982" s="28"/>
      <c r="E1982" s="16"/>
    </row>
    <row r="1983" spans="1:5" x14ac:dyDescent="0.2">
      <c r="A1983" s="28"/>
      <c r="B1983" s="28"/>
      <c r="C1983" s="28"/>
      <c r="D1983" s="28"/>
      <c r="E1983" s="16"/>
    </row>
    <row r="1984" spans="1:5" x14ac:dyDescent="0.2">
      <c r="A1984" s="28"/>
      <c r="B1984" s="28"/>
      <c r="C1984" s="28"/>
      <c r="D1984" s="28"/>
      <c r="E1984" s="16"/>
    </row>
    <row r="1985" spans="1:5" x14ac:dyDescent="0.2">
      <c r="A1985" s="28"/>
      <c r="B1985" s="28"/>
      <c r="C1985" s="28"/>
      <c r="D1985" s="28"/>
      <c r="E1985" s="16"/>
    </row>
    <row r="1986" spans="1:5" x14ac:dyDescent="0.2">
      <c r="A1986" s="28"/>
      <c r="B1986" s="28"/>
      <c r="C1986" s="28"/>
      <c r="D1986" s="28"/>
      <c r="E1986" s="16"/>
    </row>
    <row r="1987" spans="1:5" x14ac:dyDescent="0.2">
      <c r="A1987" s="28"/>
      <c r="B1987" s="28"/>
      <c r="C1987" s="28"/>
      <c r="D1987" s="28"/>
      <c r="E1987" s="16"/>
    </row>
    <row r="1988" spans="1:5" x14ac:dyDescent="0.2">
      <c r="A1988" s="28"/>
      <c r="B1988" s="28"/>
      <c r="C1988" s="28"/>
      <c r="D1988" s="28"/>
      <c r="E1988" s="16"/>
    </row>
    <row r="1989" spans="1:5" x14ac:dyDescent="0.2">
      <c r="A1989" s="28"/>
      <c r="B1989" s="28"/>
      <c r="C1989" s="28"/>
      <c r="D1989" s="28"/>
      <c r="E1989" s="16"/>
    </row>
    <row r="1990" spans="1:5" x14ac:dyDescent="0.2">
      <c r="A1990" s="28"/>
      <c r="B1990" s="28"/>
      <c r="C1990" s="28"/>
      <c r="D1990" s="28"/>
      <c r="E1990" s="16"/>
    </row>
    <row r="1991" spans="1:5" x14ac:dyDescent="0.2">
      <c r="A1991" s="28"/>
      <c r="B1991" s="28"/>
      <c r="C1991" s="28"/>
      <c r="D1991" s="28"/>
      <c r="E1991" s="16"/>
    </row>
    <row r="1992" spans="1:5" x14ac:dyDescent="0.2">
      <c r="A1992" s="28"/>
      <c r="B1992" s="28"/>
      <c r="C1992" s="28"/>
      <c r="D1992" s="28"/>
      <c r="E1992" s="16"/>
    </row>
    <row r="1993" spans="1:5" x14ac:dyDescent="0.2">
      <c r="A1993" s="28"/>
      <c r="B1993" s="28"/>
      <c r="C1993" s="28"/>
      <c r="D1993" s="28"/>
      <c r="E1993" s="16"/>
    </row>
    <row r="1994" spans="1:5" x14ac:dyDescent="0.2">
      <c r="A1994" s="28"/>
      <c r="B1994" s="28"/>
      <c r="C1994" s="28"/>
      <c r="D1994" s="28"/>
      <c r="E1994" s="16"/>
    </row>
    <row r="1995" spans="1:5" x14ac:dyDescent="0.2">
      <c r="A1995" s="28"/>
      <c r="B1995" s="28"/>
      <c r="C1995" s="28"/>
      <c r="D1995" s="28"/>
      <c r="E1995" s="16"/>
    </row>
    <row r="1996" spans="1:5" x14ac:dyDescent="0.2">
      <c r="A1996" s="28"/>
      <c r="B1996" s="28"/>
      <c r="C1996" s="28"/>
      <c r="D1996" s="28"/>
      <c r="E1996" s="16"/>
    </row>
    <row r="1997" spans="1:5" x14ac:dyDescent="0.2">
      <c r="A1997" s="28"/>
      <c r="B1997" s="28"/>
      <c r="C1997" s="28"/>
      <c r="D1997" s="28"/>
      <c r="E1997" s="16"/>
    </row>
    <row r="1998" spans="1:5" x14ac:dyDescent="0.2">
      <c r="A1998" s="28"/>
      <c r="B1998" s="28"/>
      <c r="C1998" s="28"/>
      <c r="D1998" s="28"/>
      <c r="E1998" s="16"/>
    </row>
    <row r="1999" spans="1:5" x14ac:dyDescent="0.2">
      <c r="A1999" s="28"/>
      <c r="B1999" s="28"/>
      <c r="C1999" s="28"/>
      <c r="D1999" s="28"/>
      <c r="E1999" s="16"/>
    </row>
    <row r="2000" spans="1:5" x14ac:dyDescent="0.2">
      <c r="A2000" s="28"/>
      <c r="B2000" s="28"/>
      <c r="C2000" s="28"/>
      <c r="D2000" s="28"/>
      <c r="E2000" s="16"/>
    </row>
    <row r="2001" spans="1:5" x14ac:dyDescent="0.2">
      <c r="A2001" s="28"/>
      <c r="B2001" s="28"/>
      <c r="C2001" s="28"/>
      <c r="D2001" s="28"/>
      <c r="E2001" s="16"/>
    </row>
    <row r="2002" spans="1:5" x14ac:dyDescent="0.2">
      <c r="A2002" s="28"/>
      <c r="B2002" s="28"/>
      <c r="C2002" s="28"/>
      <c r="D2002" s="28"/>
      <c r="E2002" s="16"/>
    </row>
    <row r="2003" spans="1:5" x14ac:dyDescent="0.2">
      <c r="A2003" s="28"/>
      <c r="B2003" s="28"/>
      <c r="C2003" s="28"/>
      <c r="D2003" s="28"/>
      <c r="E2003" s="16"/>
    </row>
    <row r="2004" spans="1:5" x14ac:dyDescent="0.2">
      <c r="A2004" s="28"/>
      <c r="B2004" s="28"/>
      <c r="C2004" s="28"/>
      <c r="D2004" s="28"/>
      <c r="E2004" s="16"/>
    </row>
    <row r="2005" spans="1:5" x14ac:dyDescent="0.2">
      <c r="A2005" s="28"/>
      <c r="B2005" s="28"/>
      <c r="C2005" s="28"/>
      <c r="D2005" s="28"/>
      <c r="E2005" s="16"/>
    </row>
    <row r="2006" spans="1:5" x14ac:dyDescent="0.2">
      <c r="A2006" s="28"/>
      <c r="B2006" s="28"/>
      <c r="C2006" s="28"/>
      <c r="D2006" s="28"/>
      <c r="E2006" s="16"/>
    </row>
    <row r="2007" spans="1:5" x14ac:dyDescent="0.2">
      <c r="A2007" s="28"/>
      <c r="B2007" s="28"/>
      <c r="C2007" s="28"/>
      <c r="D2007" s="28"/>
      <c r="E2007" s="16"/>
    </row>
    <row r="2008" spans="1:5" x14ac:dyDescent="0.2">
      <c r="A2008" s="28"/>
      <c r="B2008" s="28"/>
      <c r="C2008" s="28"/>
      <c r="D2008" s="28"/>
      <c r="E2008" s="16"/>
    </row>
    <row r="2009" spans="1:5" x14ac:dyDescent="0.2">
      <c r="A2009" s="28"/>
      <c r="B2009" s="28"/>
      <c r="C2009" s="28"/>
      <c r="D2009" s="28"/>
      <c r="E2009" s="16"/>
    </row>
    <row r="2010" spans="1:5" x14ac:dyDescent="0.2">
      <c r="A2010" s="28"/>
      <c r="B2010" s="28"/>
      <c r="C2010" s="28"/>
      <c r="D2010" s="28"/>
      <c r="E2010" s="16"/>
    </row>
    <row r="2011" spans="1:5" x14ac:dyDescent="0.2">
      <c r="A2011" s="28"/>
      <c r="B2011" s="28"/>
      <c r="C2011" s="28"/>
      <c r="D2011" s="28"/>
      <c r="E2011" s="16"/>
    </row>
    <row r="2012" spans="1:5" x14ac:dyDescent="0.2">
      <c r="A2012" s="28"/>
      <c r="B2012" s="28"/>
      <c r="C2012" s="28"/>
      <c r="D2012" s="28"/>
      <c r="E2012" s="16"/>
    </row>
    <row r="2013" spans="1:5" x14ac:dyDescent="0.2">
      <c r="A2013" s="28"/>
      <c r="B2013" s="28"/>
      <c r="C2013" s="28"/>
      <c r="D2013" s="28"/>
      <c r="E2013" s="16"/>
    </row>
    <row r="2014" spans="1:5" x14ac:dyDescent="0.2">
      <c r="A2014" s="28"/>
      <c r="B2014" s="28"/>
      <c r="C2014" s="28"/>
      <c r="D2014" s="28"/>
      <c r="E2014" s="16"/>
    </row>
    <row r="2015" spans="1:5" x14ac:dyDescent="0.2">
      <c r="A2015" s="28"/>
      <c r="B2015" s="28"/>
      <c r="C2015" s="28"/>
      <c r="D2015" s="28"/>
      <c r="E2015" s="16"/>
    </row>
    <row r="2016" spans="1:5" x14ac:dyDescent="0.2">
      <c r="A2016" s="28"/>
      <c r="B2016" s="28"/>
      <c r="C2016" s="28"/>
      <c r="D2016" s="28"/>
      <c r="E2016" s="16"/>
    </row>
    <row r="2017" spans="1:5" x14ac:dyDescent="0.2">
      <c r="A2017" s="28"/>
      <c r="B2017" s="28"/>
      <c r="C2017" s="28"/>
      <c r="D2017" s="28"/>
      <c r="E2017" s="16"/>
    </row>
    <row r="2018" spans="1:5" x14ac:dyDescent="0.2">
      <c r="A2018" s="28"/>
      <c r="B2018" s="28"/>
      <c r="C2018" s="28"/>
      <c r="D2018" s="28"/>
      <c r="E2018" s="16"/>
    </row>
    <row r="2019" spans="1:5" x14ac:dyDescent="0.2">
      <c r="A2019" s="28"/>
      <c r="B2019" s="28"/>
      <c r="C2019" s="28"/>
      <c r="D2019" s="28"/>
      <c r="E2019" s="16"/>
    </row>
    <row r="2020" spans="1:5" x14ac:dyDescent="0.2">
      <c r="A2020" s="28"/>
      <c r="B2020" s="28"/>
      <c r="C2020" s="28"/>
      <c r="D2020" s="28"/>
      <c r="E2020" s="16"/>
    </row>
    <row r="2021" spans="1:5" x14ac:dyDescent="0.2">
      <c r="A2021" s="28"/>
      <c r="B2021" s="28"/>
      <c r="C2021" s="28"/>
      <c r="D2021" s="28"/>
      <c r="E2021" s="16"/>
    </row>
    <row r="2022" spans="1:5" x14ac:dyDescent="0.2">
      <c r="A2022" s="28"/>
      <c r="B2022" s="28"/>
      <c r="C2022" s="28"/>
      <c r="D2022" s="28"/>
      <c r="E2022" s="16"/>
    </row>
    <row r="2023" spans="1:5" x14ac:dyDescent="0.2">
      <c r="A2023" s="28"/>
      <c r="B2023" s="28"/>
      <c r="C2023" s="28"/>
      <c r="D2023" s="28"/>
      <c r="E2023" s="16"/>
    </row>
    <row r="2024" spans="1:5" x14ac:dyDescent="0.2">
      <c r="A2024" s="28"/>
      <c r="B2024" s="28"/>
      <c r="C2024" s="28"/>
      <c r="D2024" s="28"/>
      <c r="E2024" s="16"/>
    </row>
    <row r="2025" spans="1:5" x14ac:dyDescent="0.2">
      <c r="A2025" s="28"/>
      <c r="B2025" s="28"/>
      <c r="C2025" s="28"/>
      <c r="D2025" s="28"/>
      <c r="E2025" s="16"/>
    </row>
    <row r="2026" spans="1:5" x14ac:dyDescent="0.2">
      <c r="A2026" s="28"/>
      <c r="B2026" s="28"/>
      <c r="C2026" s="28"/>
      <c r="D2026" s="28"/>
      <c r="E2026" s="16"/>
    </row>
    <row r="2027" spans="1:5" x14ac:dyDescent="0.2">
      <c r="A2027" s="28"/>
      <c r="B2027" s="28"/>
      <c r="C2027" s="28"/>
      <c r="D2027" s="28"/>
      <c r="E2027" s="16"/>
    </row>
    <row r="2028" spans="1:5" x14ac:dyDescent="0.2">
      <c r="A2028" s="28"/>
      <c r="B2028" s="28"/>
      <c r="C2028" s="28"/>
      <c r="D2028" s="28"/>
      <c r="E2028" s="16"/>
    </row>
    <row r="2029" spans="1:5" x14ac:dyDescent="0.2">
      <c r="A2029" s="28"/>
      <c r="B2029" s="28"/>
      <c r="C2029" s="28"/>
      <c r="D2029" s="28"/>
      <c r="E2029" s="16"/>
    </row>
    <row r="2030" spans="1:5" x14ac:dyDescent="0.2">
      <c r="A2030" s="28"/>
      <c r="B2030" s="28"/>
      <c r="C2030" s="28"/>
      <c r="D2030" s="28"/>
      <c r="E2030" s="16"/>
    </row>
    <row r="2031" spans="1:5" x14ac:dyDescent="0.2">
      <c r="A2031" s="28"/>
      <c r="B2031" s="28"/>
      <c r="C2031" s="28"/>
      <c r="D2031" s="28"/>
      <c r="E2031" s="16"/>
    </row>
    <row r="2032" spans="1:5" x14ac:dyDescent="0.2">
      <c r="A2032" s="28"/>
      <c r="B2032" s="28"/>
      <c r="C2032" s="28"/>
      <c r="D2032" s="28"/>
      <c r="E2032" s="16"/>
    </row>
    <row r="2033" spans="1:5" x14ac:dyDescent="0.2">
      <c r="A2033" s="28"/>
      <c r="B2033" s="28"/>
      <c r="C2033" s="28"/>
      <c r="D2033" s="28"/>
      <c r="E2033" s="16"/>
    </row>
    <row r="2034" spans="1:5" x14ac:dyDescent="0.2">
      <c r="A2034" s="28"/>
      <c r="B2034" s="28"/>
      <c r="C2034" s="28"/>
      <c r="D2034" s="28"/>
      <c r="E2034" s="16"/>
    </row>
    <row r="2035" spans="1:5" x14ac:dyDescent="0.2">
      <c r="A2035" s="28"/>
      <c r="B2035" s="28"/>
      <c r="C2035" s="28"/>
      <c r="D2035" s="28"/>
      <c r="E2035" s="16"/>
    </row>
    <row r="2036" spans="1:5" x14ac:dyDescent="0.2">
      <c r="A2036" s="28"/>
      <c r="B2036" s="28"/>
      <c r="C2036" s="28"/>
      <c r="D2036" s="28"/>
      <c r="E2036" s="16"/>
    </row>
    <row r="2037" spans="1:5" x14ac:dyDescent="0.2">
      <c r="A2037" s="28"/>
      <c r="B2037" s="28"/>
      <c r="C2037" s="28"/>
      <c r="D2037" s="28"/>
      <c r="E2037" s="16"/>
    </row>
    <row r="2038" spans="1:5" x14ac:dyDescent="0.2">
      <c r="A2038" s="28"/>
      <c r="B2038" s="28"/>
      <c r="C2038" s="28"/>
      <c r="D2038" s="28"/>
      <c r="E2038" s="16"/>
    </row>
    <row r="2039" spans="1:5" x14ac:dyDescent="0.2">
      <c r="A2039" s="28"/>
      <c r="B2039" s="28"/>
      <c r="C2039" s="28"/>
      <c r="D2039" s="28"/>
      <c r="E2039" s="16"/>
    </row>
    <row r="2040" spans="1:5" x14ac:dyDescent="0.2">
      <c r="A2040" s="28"/>
      <c r="B2040" s="28"/>
      <c r="C2040" s="28"/>
      <c r="D2040" s="28"/>
      <c r="E2040" s="16"/>
    </row>
    <row r="2041" spans="1:5" x14ac:dyDescent="0.2">
      <c r="A2041" s="28"/>
      <c r="B2041" s="28"/>
      <c r="C2041" s="28"/>
      <c r="D2041" s="28"/>
      <c r="E2041" s="16"/>
    </row>
    <row r="2042" spans="1:5" x14ac:dyDescent="0.2">
      <c r="A2042" s="28"/>
      <c r="B2042" s="28"/>
      <c r="C2042" s="28"/>
      <c r="D2042" s="28"/>
      <c r="E2042" s="16"/>
    </row>
    <row r="2043" spans="1:5" x14ac:dyDescent="0.2">
      <c r="A2043" s="28"/>
      <c r="B2043" s="28"/>
      <c r="C2043" s="28"/>
      <c r="D2043" s="28"/>
      <c r="E2043" s="16"/>
    </row>
    <row r="2044" spans="1:5" x14ac:dyDescent="0.2">
      <c r="A2044" s="28"/>
      <c r="B2044" s="28"/>
      <c r="C2044" s="28"/>
      <c r="D2044" s="28"/>
      <c r="E2044" s="16"/>
    </row>
    <row r="2045" spans="1:5" x14ac:dyDescent="0.2">
      <c r="A2045" s="28"/>
      <c r="B2045" s="28"/>
      <c r="C2045" s="28"/>
      <c r="D2045" s="28"/>
      <c r="E2045" s="16"/>
    </row>
    <row r="2046" spans="1:5" x14ac:dyDescent="0.2">
      <c r="A2046" s="28"/>
      <c r="B2046" s="28"/>
      <c r="C2046" s="28"/>
      <c r="D2046" s="28"/>
      <c r="E2046" s="16"/>
    </row>
    <row r="2047" spans="1:5" x14ac:dyDescent="0.2">
      <c r="A2047" s="28"/>
      <c r="B2047" s="28"/>
      <c r="C2047" s="28"/>
      <c r="D2047" s="28"/>
      <c r="E2047" s="16"/>
    </row>
    <row r="2048" spans="1:5" x14ac:dyDescent="0.2">
      <c r="A2048" s="28"/>
      <c r="B2048" s="28"/>
      <c r="C2048" s="28"/>
      <c r="D2048" s="28"/>
      <c r="E2048" s="16"/>
    </row>
    <row r="2049" spans="1:5" x14ac:dyDescent="0.2">
      <c r="A2049" s="28"/>
      <c r="B2049" s="28"/>
      <c r="C2049" s="28"/>
      <c r="D2049" s="28"/>
      <c r="E2049" s="16"/>
    </row>
    <row r="2050" spans="1:5" x14ac:dyDescent="0.2">
      <c r="A2050" s="28"/>
      <c r="B2050" s="28"/>
      <c r="C2050" s="28"/>
      <c r="D2050" s="28"/>
      <c r="E2050" s="16"/>
    </row>
    <row r="2051" spans="1:5" x14ac:dyDescent="0.2">
      <c r="A2051" s="28"/>
      <c r="B2051" s="28"/>
      <c r="C2051" s="28"/>
      <c r="D2051" s="28"/>
      <c r="E2051" s="16"/>
    </row>
    <row r="2052" spans="1:5" x14ac:dyDescent="0.2">
      <c r="A2052" s="28"/>
      <c r="B2052" s="28"/>
      <c r="C2052" s="28"/>
      <c r="D2052" s="28"/>
      <c r="E2052" s="16"/>
    </row>
    <row r="2053" spans="1:5" x14ac:dyDescent="0.2">
      <c r="A2053" s="28"/>
      <c r="B2053" s="28"/>
      <c r="C2053" s="28"/>
      <c r="D2053" s="28"/>
      <c r="E2053" s="16"/>
    </row>
    <row r="2054" spans="1:5" x14ac:dyDescent="0.2">
      <c r="A2054" s="28"/>
      <c r="B2054" s="28"/>
      <c r="C2054" s="28"/>
      <c r="D2054" s="28"/>
      <c r="E2054" s="16"/>
    </row>
    <row r="2055" spans="1:5" x14ac:dyDescent="0.2">
      <c r="A2055" s="28"/>
      <c r="B2055" s="28"/>
      <c r="C2055" s="28"/>
      <c r="D2055" s="28"/>
      <c r="E2055" s="16"/>
    </row>
    <row r="2056" spans="1:5" x14ac:dyDescent="0.2">
      <c r="A2056" s="28"/>
      <c r="B2056" s="28"/>
      <c r="C2056" s="28"/>
      <c r="D2056" s="28"/>
      <c r="E2056" s="16"/>
    </row>
    <row r="2057" spans="1:5" x14ac:dyDescent="0.2">
      <c r="A2057" s="28"/>
      <c r="B2057" s="28"/>
      <c r="C2057" s="28"/>
      <c r="D2057" s="28"/>
      <c r="E2057" s="16"/>
    </row>
    <row r="2058" spans="1:5" x14ac:dyDescent="0.2">
      <c r="A2058" s="28"/>
      <c r="B2058" s="28"/>
      <c r="C2058" s="28"/>
      <c r="D2058" s="28"/>
      <c r="E2058" s="16"/>
    </row>
    <row r="2059" spans="1:5" x14ac:dyDescent="0.2">
      <c r="A2059" s="28"/>
      <c r="B2059" s="28"/>
      <c r="C2059" s="28"/>
      <c r="D2059" s="28"/>
      <c r="E2059" s="16"/>
    </row>
    <row r="2060" spans="1:5" x14ac:dyDescent="0.2">
      <c r="A2060" s="28"/>
      <c r="B2060" s="28"/>
      <c r="C2060" s="28"/>
      <c r="D2060" s="28"/>
      <c r="E2060" s="16"/>
    </row>
    <row r="2061" spans="1:5" x14ac:dyDescent="0.2">
      <c r="A2061" s="28"/>
      <c r="B2061" s="28"/>
      <c r="C2061" s="28"/>
      <c r="D2061" s="28"/>
      <c r="E2061" s="16"/>
    </row>
    <row r="2062" spans="1:5" x14ac:dyDescent="0.2">
      <c r="A2062" s="28"/>
      <c r="B2062" s="28"/>
      <c r="C2062" s="28"/>
      <c r="D2062" s="28"/>
      <c r="E2062" s="16"/>
    </row>
    <row r="2063" spans="1:5" x14ac:dyDescent="0.2">
      <c r="A2063" s="28"/>
      <c r="B2063" s="28"/>
      <c r="C2063" s="28"/>
      <c r="D2063" s="28"/>
      <c r="E2063" s="16"/>
    </row>
    <row r="2064" spans="1:5" x14ac:dyDescent="0.2">
      <c r="A2064" s="28"/>
      <c r="B2064" s="28"/>
      <c r="C2064" s="28"/>
      <c r="D2064" s="28"/>
      <c r="E2064" s="16"/>
    </row>
    <row r="2065" spans="1:5" x14ac:dyDescent="0.2">
      <c r="A2065" s="28"/>
      <c r="B2065" s="28"/>
      <c r="C2065" s="28"/>
      <c r="D2065" s="28"/>
      <c r="E2065" s="16"/>
    </row>
    <row r="2066" spans="1:5" x14ac:dyDescent="0.2">
      <c r="A2066" s="28"/>
      <c r="B2066" s="28"/>
      <c r="C2066" s="28"/>
      <c r="D2066" s="28"/>
      <c r="E2066" s="16"/>
    </row>
    <row r="2067" spans="1:5" x14ac:dyDescent="0.2">
      <c r="A2067" s="28"/>
      <c r="B2067" s="28"/>
      <c r="C2067" s="28"/>
      <c r="D2067" s="28"/>
      <c r="E2067" s="16"/>
    </row>
    <row r="2068" spans="1:5" x14ac:dyDescent="0.2">
      <c r="A2068" s="28"/>
      <c r="B2068" s="28"/>
      <c r="C2068" s="28"/>
      <c r="D2068" s="28"/>
      <c r="E2068" s="16"/>
    </row>
    <row r="2069" spans="1:5" x14ac:dyDescent="0.2">
      <c r="A2069" s="28"/>
      <c r="B2069" s="28"/>
      <c r="C2069" s="28"/>
      <c r="D2069" s="28"/>
      <c r="E2069" s="16"/>
    </row>
    <row r="2070" spans="1:5" x14ac:dyDescent="0.2">
      <c r="A2070" s="28"/>
      <c r="B2070" s="28"/>
      <c r="C2070" s="28"/>
      <c r="D2070" s="28"/>
      <c r="E2070" s="16"/>
    </row>
    <row r="2071" spans="1:5" x14ac:dyDescent="0.2">
      <c r="A2071" s="28"/>
      <c r="B2071" s="28"/>
      <c r="C2071" s="28"/>
      <c r="D2071" s="28"/>
      <c r="E2071" s="16"/>
    </row>
    <row r="2072" spans="1:5" x14ac:dyDescent="0.2">
      <c r="A2072" s="28"/>
      <c r="B2072" s="28"/>
      <c r="C2072" s="28"/>
      <c r="D2072" s="28"/>
      <c r="E2072" s="16"/>
    </row>
    <row r="2073" spans="1:5" x14ac:dyDescent="0.2">
      <c r="A2073" s="28"/>
      <c r="B2073" s="28"/>
      <c r="C2073" s="28"/>
      <c r="D2073" s="28"/>
      <c r="E2073" s="16"/>
    </row>
    <row r="2074" spans="1:5" x14ac:dyDescent="0.2">
      <c r="A2074" s="28"/>
      <c r="B2074" s="28"/>
      <c r="C2074" s="28"/>
      <c r="D2074" s="28"/>
      <c r="E2074" s="16"/>
    </row>
    <row r="2075" spans="1:5" x14ac:dyDescent="0.2">
      <c r="A2075" s="28"/>
      <c r="B2075" s="28"/>
      <c r="C2075" s="28"/>
      <c r="D2075" s="28"/>
      <c r="E2075" s="16"/>
    </row>
    <row r="2076" spans="1:5" x14ac:dyDescent="0.2">
      <c r="A2076" s="28"/>
      <c r="B2076" s="28"/>
      <c r="C2076" s="28"/>
      <c r="D2076" s="28"/>
      <c r="E2076" s="16"/>
    </row>
    <row r="2077" spans="1:5" x14ac:dyDescent="0.2">
      <c r="A2077" s="28"/>
      <c r="B2077" s="28"/>
      <c r="C2077" s="28"/>
      <c r="D2077" s="28"/>
      <c r="E2077" s="16"/>
    </row>
    <row r="2078" spans="1:5" x14ac:dyDescent="0.2">
      <c r="A2078" s="28"/>
      <c r="B2078" s="28"/>
      <c r="C2078" s="28"/>
      <c r="D2078" s="28"/>
      <c r="E2078" s="16"/>
    </row>
    <row r="2079" spans="1:5" x14ac:dyDescent="0.2">
      <c r="A2079" s="28"/>
      <c r="B2079" s="28"/>
      <c r="C2079" s="28"/>
      <c r="D2079" s="28"/>
      <c r="E2079" s="16"/>
    </row>
    <row r="2080" spans="1:5" x14ac:dyDescent="0.2">
      <c r="A2080" s="28"/>
      <c r="B2080" s="28"/>
      <c r="C2080" s="28"/>
      <c r="D2080" s="28"/>
      <c r="E2080" s="16"/>
    </row>
    <row r="2081" spans="1:5" x14ac:dyDescent="0.2">
      <c r="A2081" s="28"/>
      <c r="B2081" s="28"/>
      <c r="C2081" s="28"/>
      <c r="D2081" s="28"/>
      <c r="E2081" s="16"/>
    </row>
    <row r="2082" spans="1:5" x14ac:dyDescent="0.2">
      <c r="A2082" s="28"/>
      <c r="B2082" s="28"/>
      <c r="C2082" s="28"/>
      <c r="D2082" s="28"/>
      <c r="E2082" s="16"/>
    </row>
    <row r="2083" spans="1:5" x14ac:dyDescent="0.2">
      <c r="A2083" s="28"/>
      <c r="B2083" s="28"/>
      <c r="C2083" s="28"/>
      <c r="D2083" s="28"/>
      <c r="E2083" s="16"/>
    </row>
    <row r="2084" spans="1:5" x14ac:dyDescent="0.2">
      <c r="A2084" s="28"/>
      <c r="B2084" s="28"/>
      <c r="C2084" s="28"/>
      <c r="D2084" s="28"/>
      <c r="E2084" s="16"/>
    </row>
    <row r="2085" spans="1:5" x14ac:dyDescent="0.2">
      <c r="A2085" s="28"/>
      <c r="B2085" s="28"/>
      <c r="C2085" s="28"/>
      <c r="D2085" s="28"/>
      <c r="E2085" s="16"/>
    </row>
    <row r="2086" spans="1:5" x14ac:dyDescent="0.2">
      <c r="A2086" s="28"/>
      <c r="B2086" s="28"/>
      <c r="C2086" s="28"/>
      <c r="D2086" s="28"/>
      <c r="E2086" s="16"/>
    </row>
    <row r="2087" spans="1:5" x14ac:dyDescent="0.2">
      <c r="A2087" s="28"/>
      <c r="B2087" s="28"/>
      <c r="C2087" s="28"/>
      <c r="D2087" s="28"/>
      <c r="E2087" s="16"/>
    </row>
    <row r="2088" spans="1:5" x14ac:dyDescent="0.2">
      <c r="A2088" s="28"/>
      <c r="B2088" s="28"/>
      <c r="C2088" s="28"/>
      <c r="D2088" s="28"/>
      <c r="E2088" s="16"/>
    </row>
    <row r="2089" spans="1:5" x14ac:dyDescent="0.2">
      <c r="A2089" s="28"/>
      <c r="B2089" s="28"/>
      <c r="C2089" s="28"/>
      <c r="D2089" s="28"/>
      <c r="E2089" s="16"/>
    </row>
    <row r="2090" spans="1:5" x14ac:dyDescent="0.2">
      <c r="A2090" s="28"/>
      <c r="B2090" s="28"/>
      <c r="C2090" s="28"/>
      <c r="D2090" s="28"/>
      <c r="E2090" s="16"/>
    </row>
    <row r="2091" spans="1:5" x14ac:dyDescent="0.2">
      <c r="A2091" s="28"/>
      <c r="B2091" s="28"/>
      <c r="C2091" s="28"/>
      <c r="D2091" s="28"/>
      <c r="E2091" s="16"/>
    </row>
    <row r="2092" spans="1:5" x14ac:dyDescent="0.2">
      <c r="A2092" s="28"/>
      <c r="B2092" s="28"/>
      <c r="C2092" s="28"/>
      <c r="D2092" s="28"/>
      <c r="E2092" s="16"/>
    </row>
    <row r="2093" spans="1:5" x14ac:dyDescent="0.2">
      <c r="A2093" s="28"/>
      <c r="B2093" s="28"/>
      <c r="C2093" s="28"/>
      <c r="D2093" s="28"/>
      <c r="E2093" s="16"/>
    </row>
    <row r="2094" spans="1:5" x14ac:dyDescent="0.2">
      <c r="A2094" s="28"/>
      <c r="B2094" s="28"/>
      <c r="C2094" s="28"/>
      <c r="D2094" s="28"/>
      <c r="E2094" s="16"/>
    </row>
    <row r="2095" spans="1:5" x14ac:dyDescent="0.2">
      <c r="A2095" s="28"/>
      <c r="B2095" s="28"/>
      <c r="C2095" s="28"/>
      <c r="D2095" s="28"/>
      <c r="E2095" s="16"/>
    </row>
    <row r="2096" spans="1:5" x14ac:dyDescent="0.2">
      <c r="A2096" s="28"/>
      <c r="B2096" s="28"/>
      <c r="C2096" s="28"/>
      <c r="D2096" s="28"/>
      <c r="E2096" s="16"/>
    </row>
    <row r="2097" spans="1:5" x14ac:dyDescent="0.2">
      <c r="A2097" s="28"/>
      <c r="B2097" s="28"/>
      <c r="C2097" s="28"/>
      <c r="D2097" s="28"/>
      <c r="E2097" s="16"/>
    </row>
    <row r="2098" spans="1:5" x14ac:dyDescent="0.2">
      <c r="A2098" s="28"/>
      <c r="B2098" s="28"/>
      <c r="C2098" s="28"/>
      <c r="D2098" s="28"/>
      <c r="E2098" s="16"/>
    </row>
    <row r="2099" spans="1:5" x14ac:dyDescent="0.2">
      <c r="A2099" s="28"/>
      <c r="B2099" s="28"/>
      <c r="C2099" s="28"/>
      <c r="D2099" s="28"/>
      <c r="E2099" s="16"/>
    </row>
    <row r="2100" spans="1:5" x14ac:dyDescent="0.2">
      <c r="A2100" s="28"/>
      <c r="B2100" s="28"/>
      <c r="C2100" s="28"/>
      <c r="D2100" s="28"/>
      <c r="E2100" s="16"/>
    </row>
    <row r="2101" spans="1:5" x14ac:dyDescent="0.2">
      <c r="A2101" s="28"/>
      <c r="B2101" s="28"/>
      <c r="C2101" s="28"/>
      <c r="D2101" s="28"/>
      <c r="E2101" s="16"/>
    </row>
    <row r="2102" spans="1:5" x14ac:dyDescent="0.2">
      <c r="A2102" s="28"/>
      <c r="B2102" s="28"/>
      <c r="C2102" s="28"/>
      <c r="D2102" s="28"/>
      <c r="E2102" s="16"/>
    </row>
    <row r="2103" spans="1:5" x14ac:dyDescent="0.2">
      <c r="A2103" s="28"/>
      <c r="B2103" s="28"/>
      <c r="C2103" s="28"/>
      <c r="D2103" s="28"/>
      <c r="E2103" s="16"/>
    </row>
    <row r="2104" spans="1:5" x14ac:dyDescent="0.2">
      <c r="A2104" s="28"/>
      <c r="B2104" s="28"/>
      <c r="C2104" s="28"/>
      <c r="D2104" s="28"/>
      <c r="E2104" s="16"/>
    </row>
    <row r="2105" spans="1:5" x14ac:dyDescent="0.2">
      <c r="A2105" s="28"/>
      <c r="B2105" s="28"/>
      <c r="C2105" s="28"/>
      <c r="D2105" s="28"/>
      <c r="E2105" s="16"/>
    </row>
    <row r="2106" spans="1:5" x14ac:dyDescent="0.2">
      <c r="A2106" s="28"/>
      <c r="B2106" s="28"/>
      <c r="C2106" s="28"/>
      <c r="D2106" s="28"/>
      <c r="E2106" s="16"/>
    </row>
    <row r="2107" spans="1:5" x14ac:dyDescent="0.2">
      <c r="A2107" s="28"/>
      <c r="B2107" s="28"/>
      <c r="C2107" s="28"/>
      <c r="D2107" s="28"/>
      <c r="E2107" s="16"/>
    </row>
    <row r="2108" spans="1:5" x14ac:dyDescent="0.2">
      <c r="A2108" s="28"/>
      <c r="B2108" s="28"/>
      <c r="C2108" s="28"/>
      <c r="D2108" s="28"/>
      <c r="E2108" s="16"/>
    </row>
    <row r="2109" spans="1:5" x14ac:dyDescent="0.2">
      <c r="A2109" s="28"/>
      <c r="B2109" s="28"/>
      <c r="C2109" s="28"/>
      <c r="D2109" s="28"/>
      <c r="E2109" s="16"/>
    </row>
    <row r="2110" spans="1:5" x14ac:dyDescent="0.2">
      <c r="A2110" s="28"/>
      <c r="B2110" s="28"/>
      <c r="C2110" s="28"/>
      <c r="D2110" s="28"/>
      <c r="E2110" s="16"/>
    </row>
    <row r="2111" spans="1:5" x14ac:dyDescent="0.2">
      <c r="A2111" s="28"/>
      <c r="B2111" s="28"/>
      <c r="C2111" s="28"/>
      <c r="D2111" s="28"/>
      <c r="E2111" s="16"/>
    </row>
    <row r="2112" spans="1:5" x14ac:dyDescent="0.2">
      <c r="A2112" s="28"/>
      <c r="B2112" s="28"/>
      <c r="C2112" s="28"/>
      <c r="D2112" s="28"/>
      <c r="E2112" s="16"/>
    </row>
    <row r="2113" spans="1:5" x14ac:dyDescent="0.2">
      <c r="A2113" s="28"/>
      <c r="B2113" s="28"/>
      <c r="C2113" s="28"/>
      <c r="D2113" s="28"/>
      <c r="E2113" s="16"/>
    </row>
    <row r="2114" spans="1:5" x14ac:dyDescent="0.2">
      <c r="A2114" s="28"/>
      <c r="B2114" s="28"/>
      <c r="C2114" s="28"/>
      <c r="D2114" s="28"/>
      <c r="E2114" s="16"/>
    </row>
    <row r="2115" spans="1:5" x14ac:dyDescent="0.2">
      <c r="A2115" s="28"/>
      <c r="B2115" s="28"/>
      <c r="C2115" s="28"/>
      <c r="D2115" s="28"/>
      <c r="E2115" s="16"/>
    </row>
    <row r="2116" spans="1:5" x14ac:dyDescent="0.2">
      <c r="A2116" s="28"/>
      <c r="B2116" s="28"/>
      <c r="C2116" s="28"/>
      <c r="D2116" s="28"/>
      <c r="E2116" s="16"/>
    </row>
    <row r="2117" spans="1:5" x14ac:dyDescent="0.2">
      <c r="A2117" s="28"/>
      <c r="B2117" s="28"/>
      <c r="C2117" s="28"/>
      <c r="D2117" s="28"/>
      <c r="E2117" s="16"/>
    </row>
    <row r="2118" spans="1:5" x14ac:dyDescent="0.2">
      <c r="A2118" s="28"/>
      <c r="B2118" s="28"/>
      <c r="C2118" s="28"/>
      <c r="D2118" s="28"/>
      <c r="E2118" s="16"/>
    </row>
    <row r="2119" spans="1:5" x14ac:dyDescent="0.2">
      <c r="A2119" s="28"/>
      <c r="B2119" s="28"/>
      <c r="C2119" s="28"/>
      <c r="D2119" s="28"/>
      <c r="E2119" s="16"/>
    </row>
    <row r="2120" spans="1:5" x14ac:dyDescent="0.2">
      <c r="A2120" s="28"/>
      <c r="B2120" s="28"/>
      <c r="C2120" s="28"/>
      <c r="D2120" s="28"/>
      <c r="E2120" s="16"/>
    </row>
    <row r="2121" spans="1:5" x14ac:dyDescent="0.2">
      <c r="A2121" s="28"/>
      <c r="B2121" s="28"/>
      <c r="C2121" s="28"/>
      <c r="D2121" s="28"/>
      <c r="E2121" s="16"/>
    </row>
    <row r="2122" spans="1:5" x14ac:dyDescent="0.2">
      <c r="A2122" s="28"/>
      <c r="B2122" s="28"/>
      <c r="C2122" s="28"/>
      <c r="D2122" s="28"/>
      <c r="E2122" s="16"/>
    </row>
    <row r="2123" spans="1:5" x14ac:dyDescent="0.2">
      <c r="A2123" s="28"/>
      <c r="B2123" s="28"/>
      <c r="C2123" s="28"/>
      <c r="D2123" s="28"/>
      <c r="E2123" s="16"/>
    </row>
    <row r="2124" spans="1:5" x14ac:dyDescent="0.2">
      <c r="A2124" s="28"/>
      <c r="B2124" s="28"/>
      <c r="C2124" s="28"/>
      <c r="D2124" s="28"/>
      <c r="E2124" s="16"/>
    </row>
    <row r="2125" spans="1:5" x14ac:dyDescent="0.2">
      <c r="A2125" s="28"/>
      <c r="B2125" s="28"/>
      <c r="C2125" s="28"/>
      <c r="D2125" s="28"/>
      <c r="E2125" s="16"/>
    </row>
    <row r="2126" spans="1:5" x14ac:dyDescent="0.2">
      <c r="A2126" s="28"/>
      <c r="B2126" s="28"/>
      <c r="C2126" s="28"/>
      <c r="D2126" s="28"/>
      <c r="E2126" s="16"/>
    </row>
    <row r="2127" spans="1:5" x14ac:dyDescent="0.2">
      <c r="A2127" s="28"/>
      <c r="B2127" s="28"/>
      <c r="C2127" s="28"/>
      <c r="D2127" s="28"/>
      <c r="E2127" s="16"/>
    </row>
    <row r="2128" spans="1:5" x14ac:dyDescent="0.2">
      <c r="A2128" s="28"/>
      <c r="B2128" s="28"/>
      <c r="C2128" s="28"/>
      <c r="D2128" s="28"/>
      <c r="E2128" s="16"/>
    </row>
    <row r="2129" spans="1:5" x14ac:dyDescent="0.2">
      <c r="A2129" s="28"/>
      <c r="B2129" s="28"/>
      <c r="C2129" s="28"/>
      <c r="D2129" s="28"/>
      <c r="E2129" s="16"/>
    </row>
    <row r="2130" spans="1:5" x14ac:dyDescent="0.2">
      <c r="A2130" s="28"/>
      <c r="B2130" s="28"/>
      <c r="C2130" s="28"/>
      <c r="D2130" s="28"/>
      <c r="E2130" s="16"/>
    </row>
    <row r="2131" spans="1:5" x14ac:dyDescent="0.2">
      <c r="A2131" s="28"/>
      <c r="B2131" s="28"/>
      <c r="C2131" s="28"/>
      <c r="D2131" s="28"/>
      <c r="E2131" s="16"/>
    </row>
    <row r="2132" spans="1:5" x14ac:dyDescent="0.2">
      <c r="A2132" s="28"/>
      <c r="B2132" s="28"/>
      <c r="C2132" s="28"/>
      <c r="D2132" s="28"/>
      <c r="E2132" s="16"/>
    </row>
    <row r="2133" spans="1:5" x14ac:dyDescent="0.2">
      <c r="A2133" s="28"/>
      <c r="B2133" s="28"/>
      <c r="C2133" s="28"/>
      <c r="D2133" s="28"/>
      <c r="E2133" s="16"/>
    </row>
    <row r="2134" spans="1:5" x14ac:dyDescent="0.2">
      <c r="A2134" s="28"/>
      <c r="B2134" s="28"/>
      <c r="C2134" s="28"/>
      <c r="D2134" s="28"/>
      <c r="E2134" s="16"/>
    </row>
    <row r="2135" spans="1:5" x14ac:dyDescent="0.2">
      <c r="A2135" s="28"/>
      <c r="B2135" s="28"/>
      <c r="C2135" s="28"/>
      <c r="D2135" s="28"/>
      <c r="E2135" s="16"/>
    </row>
    <row r="2136" spans="1:5" x14ac:dyDescent="0.2">
      <c r="A2136" s="28"/>
      <c r="B2136" s="28"/>
      <c r="C2136" s="28"/>
      <c r="D2136" s="28"/>
      <c r="E2136" s="16"/>
    </row>
    <row r="2137" spans="1:5" x14ac:dyDescent="0.2">
      <c r="A2137" s="28"/>
      <c r="B2137" s="28"/>
      <c r="C2137" s="28"/>
      <c r="D2137" s="28"/>
      <c r="E2137" s="16"/>
    </row>
    <row r="2138" spans="1:5" x14ac:dyDescent="0.2">
      <c r="A2138" s="28"/>
      <c r="B2138" s="28"/>
      <c r="C2138" s="28"/>
      <c r="D2138" s="28"/>
      <c r="E2138" s="16"/>
    </row>
    <row r="2139" spans="1:5" x14ac:dyDescent="0.2">
      <c r="A2139" s="28"/>
      <c r="B2139" s="28"/>
      <c r="C2139" s="28"/>
      <c r="D2139" s="28"/>
      <c r="E2139" s="16"/>
    </row>
    <row r="2140" spans="1:5" x14ac:dyDescent="0.2">
      <c r="A2140" s="28"/>
      <c r="B2140" s="28"/>
      <c r="C2140" s="28"/>
      <c r="D2140" s="28"/>
      <c r="E2140" s="16"/>
    </row>
    <row r="2141" spans="1:5" x14ac:dyDescent="0.2">
      <c r="A2141" s="28"/>
      <c r="B2141" s="28"/>
      <c r="C2141" s="28"/>
      <c r="D2141" s="28"/>
      <c r="E2141" s="16"/>
    </row>
    <row r="2142" spans="1:5" x14ac:dyDescent="0.2">
      <c r="A2142" s="28"/>
      <c r="B2142" s="28"/>
      <c r="C2142" s="28"/>
      <c r="D2142" s="28"/>
      <c r="E2142" s="16"/>
    </row>
    <row r="2143" spans="1:5" x14ac:dyDescent="0.2">
      <c r="A2143" s="28"/>
      <c r="B2143" s="28"/>
      <c r="C2143" s="28"/>
      <c r="D2143" s="28"/>
      <c r="E2143" s="16"/>
    </row>
    <row r="2144" spans="1:5" x14ac:dyDescent="0.2">
      <c r="A2144" s="28"/>
      <c r="B2144" s="28"/>
      <c r="C2144" s="28"/>
      <c r="D2144" s="28"/>
      <c r="E2144" s="16"/>
    </row>
    <row r="2145" spans="1:5" x14ac:dyDescent="0.2">
      <c r="A2145" s="28"/>
      <c r="B2145" s="28"/>
      <c r="C2145" s="28"/>
      <c r="D2145" s="28"/>
      <c r="E2145" s="16"/>
    </row>
    <row r="2146" spans="1:5" x14ac:dyDescent="0.2">
      <c r="A2146" s="28"/>
      <c r="B2146" s="28"/>
      <c r="C2146" s="28"/>
      <c r="D2146" s="28"/>
      <c r="E2146" s="16"/>
    </row>
    <row r="2147" spans="1:5" x14ac:dyDescent="0.2">
      <c r="A2147" s="28"/>
      <c r="B2147" s="28"/>
      <c r="C2147" s="28"/>
      <c r="D2147" s="28"/>
      <c r="E2147" s="16"/>
    </row>
    <row r="2148" spans="1:5" x14ac:dyDescent="0.2">
      <c r="A2148" s="28"/>
      <c r="B2148" s="28"/>
      <c r="C2148" s="28"/>
      <c r="D2148" s="28"/>
      <c r="E2148" s="16"/>
    </row>
    <row r="2149" spans="1:5" x14ac:dyDescent="0.2">
      <c r="A2149" s="28"/>
      <c r="B2149" s="28"/>
      <c r="C2149" s="28"/>
      <c r="D2149" s="28"/>
      <c r="E2149" s="16"/>
    </row>
    <row r="2150" spans="1:5" x14ac:dyDescent="0.2">
      <c r="A2150" s="28"/>
      <c r="B2150" s="28"/>
      <c r="C2150" s="28"/>
      <c r="D2150" s="28"/>
      <c r="E2150" s="16"/>
    </row>
    <row r="2151" spans="1:5" x14ac:dyDescent="0.2">
      <c r="A2151" s="28"/>
      <c r="B2151" s="28"/>
      <c r="C2151" s="28"/>
      <c r="D2151" s="28"/>
      <c r="E2151" s="16"/>
    </row>
    <row r="2152" spans="1:5" x14ac:dyDescent="0.2">
      <c r="A2152" s="28"/>
      <c r="B2152" s="28"/>
      <c r="C2152" s="28"/>
      <c r="D2152" s="28"/>
      <c r="E2152" s="16"/>
    </row>
    <row r="2153" spans="1:5" x14ac:dyDescent="0.2">
      <c r="A2153" s="28"/>
      <c r="B2153" s="28"/>
      <c r="C2153" s="28"/>
      <c r="D2153" s="28"/>
      <c r="E2153" s="16"/>
    </row>
    <row r="2154" spans="1:5" x14ac:dyDescent="0.2">
      <c r="A2154" s="28"/>
      <c r="B2154" s="28"/>
      <c r="C2154" s="28"/>
      <c r="D2154" s="28"/>
      <c r="E2154" s="16"/>
    </row>
    <row r="2155" spans="1:5" x14ac:dyDescent="0.2">
      <c r="A2155" s="28"/>
      <c r="B2155" s="28"/>
      <c r="C2155" s="28"/>
      <c r="D2155" s="28"/>
      <c r="E2155" s="16"/>
    </row>
    <row r="2156" spans="1:5" x14ac:dyDescent="0.2">
      <c r="A2156" s="28"/>
      <c r="B2156" s="28"/>
      <c r="C2156" s="28"/>
      <c r="D2156" s="28"/>
      <c r="E2156" s="16"/>
    </row>
    <row r="2157" spans="1:5" x14ac:dyDescent="0.2">
      <c r="A2157" s="28"/>
      <c r="B2157" s="28"/>
      <c r="C2157" s="28"/>
      <c r="D2157" s="28"/>
      <c r="E2157" s="16"/>
    </row>
    <row r="2158" spans="1:5" x14ac:dyDescent="0.2">
      <c r="A2158" s="28"/>
      <c r="B2158" s="28"/>
      <c r="C2158" s="28"/>
      <c r="D2158" s="28"/>
      <c r="E2158" s="16"/>
    </row>
    <row r="2159" spans="1:5" x14ac:dyDescent="0.2">
      <c r="A2159" s="28"/>
      <c r="B2159" s="28"/>
      <c r="C2159" s="28"/>
      <c r="D2159" s="28"/>
      <c r="E2159" s="16"/>
    </row>
    <row r="2160" spans="1:5" x14ac:dyDescent="0.2">
      <c r="A2160" s="28"/>
      <c r="B2160" s="28"/>
      <c r="C2160" s="28"/>
      <c r="D2160" s="28"/>
      <c r="E2160" s="16"/>
    </row>
    <row r="2161" spans="1:5" x14ac:dyDescent="0.2">
      <c r="A2161" s="28"/>
      <c r="B2161" s="28"/>
      <c r="C2161" s="28"/>
      <c r="D2161" s="28"/>
      <c r="E2161" s="16"/>
    </row>
    <row r="2162" spans="1:5" x14ac:dyDescent="0.2">
      <c r="A2162" s="28"/>
      <c r="B2162" s="28"/>
      <c r="C2162" s="28"/>
      <c r="D2162" s="28"/>
      <c r="E2162" s="16"/>
    </row>
    <row r="2163" spans="1:5" x14ac:dyDescent="0.2">
      <c r="A2163" s="28"/>
      <c r="B2163" s="28"/>
      <c r="C2163" s="28"/>
      <c r="D2163" s="28"/>
      <c r="E2163" s="16"/>
    </row>
    <row r="2164" spans="1:5" x14ac:dyDescent="0.2">
      <c r="A2164" s="28"/>
      <c r="B2164" s="28"/>
      <c r="C2164" s="28"/>
      <c r="D2164" s="28"/>
      <c r="E2164" s="16"/>
    </row>
    <row r="2165" spans="1:5" x14ac:dyDescent="0.2">
      <c r="A2165" s="28"/>
      <c r="B2165" s="28"/>
      <c r="C2165" s="28"/>
      <c r="D2165" s="28"/>
      <c r="E2165" s="16"/>
    </row>
    <row r="2166" spans="1:5" x14ac:dyDescent="0.2">
      <c r="A2166" s="28"/>
      <c r="B2166" s="28"/>
      <c r="C2166" s="28"/>
      <c r="D2166" s="28"/>
      <c r="E2166" s="16"/>
    </row>
    <row r="2167" spans="1:5" x14ac:dyDescent="0.2">
      <c r="A2167" s="28"/>
      <c r="B2167" s="28"/>
      <c r="C2167" s="28"/>
      <c r="D2167" s="28"/>
      <c r="E2167" s="16"/>
    </row>
    <row r="2168" spans="1:5" x14ac:dyDescent="0.2">
      <c r="A2168" s="28"/>
      <c r="B2168" s="28"/>
      <c r="C2168" s="28"/>
      <c r="D2168" s="28"/>
      <c r="E2168" s="16"/>
    </row>
    <row r="2169" spans="1:5" x14ac:dyDescent="0.2">
      <c r="A2169" s="28"/>
      <c r="B2169" s="28"/>
      <c r="C2169" s="28"/>
      <c r="D2169" s="28"/>
      <c r="E2169" s="16"/>
    </row>
    <row r="2170" spans="1:5" x14ac:dyDescent="0.2">
      <c r="A2170" s="28"/>
      <c r="B2170" s="28"/>
      <c r="C2170" s="28"/>
      <c r="D2170" s="28"/>
      <c r="E2170" s="16"/>
    </row>
    <row r="2171" spans="1:5" x14ac:dyDescent="0.2">
      <c r="A2171" s="28"/>
      <c r="B2171" s="28"/>
      <c r="C2171" s="28"/>
      <c r="D2171" s="28"/>
      <c r="E2171" s="16"/>
    </row>
    <row r="2172" spans="1:5" x14ac:dyDescent="0.2">
      <c r="A2172" s="28"/>
      <c r="B2172" s="28"/>
      <c r="C2172" s="28"/>
      <c r="D2172" s="28"/>
      <c r="E2172" s="16"/>
    </row>
    <row r="2173" spans="1:5" x14ac:dyDescent="0.2">
      <c r="A2173" s="28"/>
      <c r="B2173" s="28"/>
      <c r="C2173" s="28"/>
      <c r="D2173" s="28"/>
      <c r="E2173" s="16"/>
    </row>
    <row r="2174" spans="1:5" x14ac:dyDescent="0.2">
      <c r="A2174" s="28"/>
      <c r="B2174" s="28"/>
      <c r="C2174" s="28"/>
      <c r="D2174" s="28"/>
      <c r="E2174" s="16"/>
    </row>
    <row r="2175" spans="1:5" x14ac:dyDescent="0.2">
      <c r="A2175" s="28"/>
      <c r="B2175" s="28"/>
      <c r="C2175" s="28"/>
      <c r="D2175" s="28"/>
      <c r="E2175" s="16"/>
    </row>
    <row r="2176" spans="1:5" x14ac:dyDescent="0.2">
      <c r="A2176" s="28"/>
      <c r="B2176" s="28"/>
      <c r="C2176" s="28"/>
      <c r="D2176" s="28"/>
      <c r="E2176" s="16"/>
    </row>
    <row r="2177" spans="1:5" x14ac:dyDescent="0.2">
      <c r="A2177" s="28"/>
      <c r="B2177" s="28"/>
      <c r="C2177" s="28"/>
      <c r="D2177" s="28"/>
      <c r="E2177" s="16"/>
    </row>
    <row r="2178" spans="1:5" x14ac:dyDescent="0.2">
      <c r="A2178" s="28"/>
      <c r="B2178" s="28"/>
      <c r="C2178" s="28"/>
      <c r="D2178" s="28"/>
      <c r="E2178" s="16"/>
    </row>
    <row r="2179" spans="1:5" x14ac:dyDescent="0.2">
      <c r="A2179" s="28"/>
      <c r="B2179" s="28"/>
      <c r="C2179" s="28"/>
      <c r="D2179" s="28"/>
      <c r="E2179" s="16"/>
    </row>
    <row r="2180" spans="1:5" x14ac:dyDescent="0.2">
      <c r="A2180" s="28"/>
      <c r="B2180" s="28"/>
      <c r="C2180" s="28"/>
      <c r="D2180" s="28"/>
      <c r="E2180" s="16"/>
    </row>
    <row r="2181" spans="1:5" x14ac:dyDescent="0.2">
      <c r="A2181" s="28"/>
      <c r="B2181" s="28"/>
      <c r="C2181" s="28"/>
      <c r="D2181" s="28"/>
      <c r="E2181" s="16"/>
    </row>
    <row r="2182" spans="1:5" x14ac:dyDescent="0.2">
      <c r="A2182" s="28"/>
      <c r="B2182" s="28"/>
      <c r="C2182" s="28"/>
      <c r="D2182" s="28"/>
      <c r="E2182" s="16"/>
    </row>
    <row r="2183" spans="1:5" x14ac:dyDescent="0.2">
      <c r="A2183" s="28"/>
      <c r="B2183" s="28"/>
      <c r="C2183" s="28"/>
      <c r="D2183" s="28"/>
      <c r="E2183" s="16"/>
    </row>
    <row r="2184" spans="1:5" x14ac:dyDescent="0.2">
      <c r="A2184" s="28"/>
      <c r="B2184" s="28"/>
      <c r="C2184" s="28"/>
      <c r="D2184" s="28"/>
      <c r="E2184" s="16"/>
    </row>
    <row r="2185" spans="1:5" x14ac:dyDescent="0.2">
      <c r="A2185" s="28"/>
      <c r="B2185" s="28"/>
      <c r="C2185" s="28"/>
      <c r="D2185" s="28"/>
      <c r="E2185" s="16"/>
    </row>
    <row r="2186" spans="1:5" x14ac:dyDescent="0.2">
      <c r="A2186" s="28"/>
      <c r="B2186" s="28"/>
      <c r="C2186" s="28"/>
      <c r="D2186" s="28"/>
      <c r="E2186" s="16"/>
    </row>
    <row r="2187" spans="1:5" x14ac:dyDescent="0.2">
      <c r="A2187" s="28"/>
      <c r="B2187" s="28"/>
      <c r="C2187" s="28"/>
      <c r="D2187" s="28"/>
      <c r="E2187" s="16"/>
    </row>
    <row r="2188" spans="1:5" x14ac:dyDescent="0.2">
      <c r="A2188" s="28"/>
      <c r="B2188" s="28"/>
      <c r="C2188" s="28"/>
      <c r="D2188" s="28"/>
      <c r="E2188" s="16"/>
    </row>
    <row r="2189" spans="1:5" x14ac:dyDescent="0.2">
      <c r="A2189" s="28"/>
      <c r="B2189" s="28"/>
      <c r="C2189" s="28"/>
      <c r="D2189" s="28"/>
      <c r="E2189" s="16"/>
    </row>
    <row r="2190" spans="1:5" x14ac:dyDescent="0.2">
      <c r="A2190" s="28"/>
      <c r="B2190" s="28"/>
      <c r="C2190" s="28"/>
      <c r="D2190" s="28"/>
      <c r="E2190" s="16"/>
    </row>
    <row r="2191" spans="1:5" x14ac:dyDescent="0.2">
      <c r="A2191" s="28"/>
      <c r="B2191" s="28"/>
      <c r="C2191" s="28"/>
      <c r="D2191" s="28"/>
      <c r="E2191" s="16"/>
    </row>
    <row r="2192" spans="1:5" x14ac:dyDescent="0.2">
      <c r="A2192" s="28"/>
      <c r="B2192" s="28"/>
      <c r="C2192" s="28"/>
      <c r="D2192" s="28"/>
      <c r="E2192" s="16"/>
    </row>
    <row r="2193" spans="1:5" x14ac:dyDescent="0.2">
      <c r="A2193" s="28"/>
      <c r="B2193" s="28"/>
      <c r="C2193" s="28"/>
      <c r="D2193" s="28"/>
      <c r="E2193" s="16"/>
    </row>
    <row r="2194" spans="1:5" x14ac:dyDescent="0.2">
      <c r="A2194" s="28"/>
      <c r="B2194" s="28"/>
      <c r="C2194" s="28"/>
      <c r="D2194" s="28"/>
      <c r="E2194" s="16"/>
    </row>
    <row r="2195" spans="1:5" x14ac:dyDescent="0.2">
      <c r="A2195" s="28"/>
      <c r="B2195" s="28"/>
      <c r="C2195" s="28"/>
      <c r="D2195" s="28"/>
      <c r="E2195" s="16"/>
    </row>
    <row r="2196" spans="1:5" x14ac:dyDescent="0.2">
      <c r="A2196" s="28"/>
      <c r="B2196" s="28"/>
      <c r="C2196" s="28"/>
      <c r="D2196" s="28"/>
      <c r="E2196" s="16"/>
    </row>
    <row r="2197" spans="1:5" x14ac:dyDescent="0.2">
      <c r="A2197" s="28"/>
      <c r="B2197" s="28"/>
      <c r="C2197" s="28"/>
      <c r="D2197" s="28"/>
      <c r="E2197" s="16"/>
    </row>
    <row r="2198" spans="1:5" x14ac:dyDescent="0.2">
      <c r="A2198" s="28"/>
      <c r="B2198" s="28"/>
      <c r="C2198" s="28"/>
      <c r="D2198" s="28"/>
      <c r="E2198" s="16"/>
    </row>
    <row r="2199" spans="1:5" x14ac:dyDescent="0.2">
      <c r="A2199" s="28"/>
      <c r="B2199" s="28"/>
      <c r="C2199" s="28"/>
      <c r="D2199" s="28"/>
      <c r="E2199" s="16"/>
    </row>
    <row r="2200" spans="1:5" x14ac:dyDescent="0.2">
      <c r="A2200" s="28"/>
      <c r="B2200" s="28"/>
      <c r="C2200" s="28"/>
      <c r="D2200" s="28"/>
      <c r="E2200" s="16"/>
    </row>
    <row r="2201" spans="1:5" x14ac:dyDescent="0.2">
      <c r="A2201" s="28"/>
      <c r="B2201" s="28"/>
      <c r="C2201" s="28"/>
      <c r="D2201" s="28"/>
      <c r="E2201" s="16"/>
    </row>
    <row r="2202" spans="1:5" x14ac:dyDescent="0.2">
      <c r="A2202" s="28"/>
      <c r="B2202" s="28"/>
      <c r="C2202" s="28"/>
      <c r="D2202" s="28"/>
      <c r="E2202" s="16"/>
    </row>
    <row r="2203" spans="1:5" x14ac:dyDescent="0.2">
      <c r="A2203" s="28"/>
      <c r="B2203" s="28"/>
      <c r="C2203" s="28"/>
      <c r="D2203" s="28"/>
      <c r="E2203" s="16"/>
    </row>
    <row r="2204" spans="1:5" x14ac:dyDescent="0.2">
      <c r="A2204" s="28"/>
      <c r="B2204" s="28"/>
      <c r="C2204" s="28"/>
      <c r="D2204" s="28"/>
      <c r="E2204" s="16"/>
    </row>
    <row r="2205" spans="1:5" x14ac:dyDescent="0.2">
      <c r="A2205" s="28"/>
      <c r="B2205" s="28"/>
      <c r="C2205" s="28"/>
      <c r="D2205" s="28"/>
      <c r="E2205" s="16"/>
    </row>
    <row r="2206" spans="1:5" x14ac:dyDescent="0.2">
      <c r="A2206" s="28"/>
      <c r="B2206" s="28"/>
      <c r="C2206" s="28"/>
      <c r="D2206" s="28"/>
      <c r="E2206" s="16"/>
    </row>
    <row r="2207" spans="1:5" x14ac:dyDescent="0.2">
      <c r="A2207" s="28"/>
      <c r="B2207" s="28"/>
      <c r="C2207" s="28"/>
      <c r="D2207" s="28"/>
      <c r="E2207" s="16"/>
    </row>
    <row r="2208" spans="1:5" x14ac:dyDescent="0.2">
      <c r="A2208" s="28"/>
      <c r="B2208" s="28"/>
      <c r="C2208" s="28"/>
      <c r="D2208" s="28"/>
      <c r="E2208" s="16"/>
    </row>
    <row r="2209" spans="1:5" x14ac:dyDescent="0.2">
      <c r="A2209" s="28"/>
      <c r="B2209" s="28"/>
      <c r="C2209" s="28"/>
      <c r="D2209" s="28"/>
      <c r="E2209" s="16"/>
    </row>
    <row r="2210" spans="1:5" x14ac:dyDescent="0.2">
      <c r="A2210" s="28"/>
      <c r="B2210" s="28"/>
      <c r="C2210" s="28"/>
      <c r="D2210" s="28"/>
      <c r="E2210" s="16"/>
    </row>
    <row r="2211" spans="1:5" x14ac:dyDescent="0.2">
      <c r="A2211" s="28"/>
      <c r="B2211" s="28"/>
      <c r="C2211" s="28"/>
      <c r="D2211" s="28"/>
      <c r="E2211" s="16"/>
    </row>
    <row r="2212" spans="1:5" x14ac:dyDescent="0.2">
      <c r="A2212" s="28"/>
      <c r="B2212" s="28"/>
      <c r="C2212" s="28"/>
      <c r="D2212" s="28"/>
      <c r="E2212" s="16"/>
    </row>
    <row r="2213" spans="1:5" x14ac:dyDescent="0.2">
      <c r="A2213" s="28"/>
      <c r="B2213" s="28"/>
      <c r="C2213" s="28"/>
      <c r="D2213" s="28"/>
      <c r="E2213" s="16"/>
    </row>
    <row r="2214" spans="1:5" x14ac:dyDescent="0.2">
      <c r="A2214" s="28"/>
      <c r="B2214" s="28"/>
      <c r="C2214" s="28"/>
      <c r="D2214" s="28"/>
      <c r="E2214" s="16"/>
    </row>
    <row r="2215" spans="1:5" x14ac:dyDescent="0.2">
      <c r="A2215" s="28"/>
      <c r="B2215" s="28"/>
      <c r="C2215" s="28"/>
      <c r="D2215" s="28"/>
      <c r="E2215" s="16"/>
    </row>
    <row r="2216" spans="1:5" x14ac:dyDescent="0.2">
      <c r="A2216" s="28"/>
      <c r="B2216" s="28"/>
      <c r="C2216" s="28"/>
      <c r="D2216" s="28"/>
      <c r="E2216" s="16"/>
    </row>
    <row r="2217" spans="1:5" x14ac:dyDescent="0.2">
      <c r="A2217" s="28"/>
      <c r="B2217" s="28"/>
      <c r="C2217" s="28"/>
      <c r="D2217" s="28"/>
      <c r="E2217" s="16"/>
    </row>
    <row r="2218" spans="1:5" x14ac:dyDescent="0.2">
      <c r="A2218" s="28"/>
      <c r="B2218" s="28"/>
      <c r="C2218" s="28"/>
      <c r="D2218" s="28"/>
      <c r="E2218" s="16"/>
    </row>
    <row r="2219" spans="1:5" x14ac:dyDescent="0.2">
      <c r="A2219" s="28"/>
      <c r="B2219" s="28"/>
      <c r="C2219" s="28"/>
      <c r="D2219" s="28"/>
      <c r="E2219" s="16"/>
    </row>
    <row r="2220" spans="1:5" x14ac:dyDescent="0.2">
      <c r="A2220" s="28"/>
      <c r="B2220" s="28"/>
      <c r="C2220" s="28"/>
      <c r="D2220" s="28"/>
      <c r="E2220" s="16"/>
    </row>
    <row r="2221" spans="1:5" x14ac:dyDescent="0.2">
      <c r="A2221" s="28"/>
      <c r="B2221" s="28"/>
      <c r="C2221" s="28"/>
      <c r="D2221" s="28"/>
      <c r="E2221" s="16"/>
    </row>
    <row r="2222" spans="1:5" x14ac:dyDescent="0.2">
      <c r="A2222" s="28"/>
      <c r="B2222" s="28"/>
      <c r="C2222" s="28"/>
      <c r="D2222" s="28"/>
      <c r="E2222" s="16"/>
    </row>
    <row r="2223" spans="1:5" x14ac:dyDescent="0.2">
      <c r="A2223" s="28"/>
      <c r="B2223" s="28"/>
      <c r="C2223" s="28"/>
      <c r="D2223" s="28"/>
      <c r="E2223" s="16"/>
    </row>
    <row r="2224" spans="1:5" x14ac:dyDescent="0.2">
      <c r="A2224" s="28"/>
      <c r="B2224" s="28"/>
      <c r="C2224" s="28"/>
      <c r="D2224" s="28"/>
      <c r="E2224" s="16"/>
    </row>
    <row r="2225" spans="1:5" x14ac:dyDescent="0.2">
      <c r="A2225" s="28"/>
      <c r="B2225" s="28"/>
      <c r="C2225" s="28"/>
      <c r="D2225" s="28"/>
      <c r="E2225" s="16"/>
    </row>
    <row r="2226" spans="1:5" x14ac:dyDescent="0.2">
      <c r="A2226" s="28"/>
      <c r="B2226" s="28"/>
      <c r="C2226" s="28"/>
      <c r="D2226" s="28"/>
      <c r="E2226" s="16"/>
    </row>
    <row r="2227" spans="1:5" x14ac:dyDescent="0.2">
      <c r="A2227" s="28"/>
      <c r="B2227" s="28"/>
      <c r="C2227" s="28"/>
      <c r="D2227" s="28"/>
      <c r="E2227" s="16"/>
    </row>
    <row r="2228" spans="1:5" x14ac:dyDescent="0.2">
      <c r="A2228" s="28"/>
      <c r="B2228" s="28"/>
      <c r="C2228" s="28"/>
      <c r="D2228" s="28"/>
      <c r="E2228" s="16"/>
    </row>
    <row r="2229" spans="1:5" x14ac:dyDescent="0.2">
      <c r="A2229" s="28"/>
      <c r="B2229" s="28"/>
      <c r="C2229" s="28"/>
      <c r="D2229" s="28"/>
      <c r="E2229" s="16"/>
    </row>
    <row r="2230" spans="1:5" x14ac:dyDescent="0.2">
      <c r="A2230" s="28"/>
      <c r="B2230" s="28"/>
      <c r="C2230" s="28"/>
      <c r="D2230" s="28"/>
      <c r="E2230" s="16"/>
    </row>
    <row r="2231" spans="1:5" x14ac:dyDescent="0.2">
      <c r="A2231" s="28"/>
      <c r="B2231" s="28"/>
      <c r="C2231" s="28"/>
      <c r="D2231" s="28"/>
      <c r="E2231" s="16"/>
    </row>
    <row r="2232" spans="1:5" x14ac:dyDescent="0.2">
      <c r="A2232" s="28"/>
      <c r="B2232" s="28"/>
      <c r="C2232" s="28"/>
      <c r="D2232" s="28"/>
      <c r="E2232" s="16"/>
    </row>
    <row r="2233" spans="1:5" x14ac:dyDescent="0.2">
      <c r="A2233" s="28"/>
      <c r="B2233" s="28"/>
      <c r="C2233" s="28"/>
      <c r="D2233" s="28"/>
      <c r="E2233" s="16"/>
    </row>
    <row r="2234" spans="1:5" x14ac:dyDescent="0.2">
      <c r="A2234" s="28"/>
      <c r="B2234" s="28"/>
      <c r="C2234" s="28"/>
      <c r="D2234" s="28"/>
      <c r="E2234" s="16"/>
    </row>
    <row r="2235" spans="1:5" x14ac:dyDescent="0.2">
      <c r="A2235" s="28"/>
      <c r="B2235" s="28"/>
      <c r="C2235" s="28"/>
      <c r="D2235" s="28"/>
      <c r="E2235" s="16"/>
    </row>
    <row r="2236" spans="1:5" x14ac:dyDescent="0.2">
      <c r="A2236" s="28"/>
      <c r="B2236" s="28"/>
      <c r="C2236" s="28"/>
      <c r="D2236" s="28"/>
      <c r="E2236" s="16"/>
    </row>
    <row r="2237" spans="1:5" x14ac:dyDescent="0.2">
      <c r="A2237" s="28"/>
      <c r="B2237" s="28"/>
      <c r="C2237" s="28"/>
      <c r="D2237" s="28"/>
      <c r="E2237" s="16"/>
    </row>
    <row r="2238" spans="1:5" x14ac:dyDescent="0.2">
      <c r="A2238" s="28"/>
      <c r="B2238" s="28"/>
      <c r="C2238" s="28"/>
      <c r="D2238" s="28"/>
      <c r="E2238" s="16"/>
    </row>
    <row r="2239" spans="1:5" x14ac:dyDescent="0.2">
      <c r="A2239" s="28"/>
      <c r="B2239" s="28"/>
      <c r="C2239" s="28"/>
      <c r="D2239" s="28"/>
      <c r="E2239" s="16"/>
    </row>
    <row r="2240" spans="1:5" x14ac:dyDescent="0.2">
      <c r="A2240" s="28"/>
      <c r="B2240" s="28"/>
      <c r="C2240" s="28"/>
      <c r="D2240" s="28"/>
      <c r="E2240" s="16"/>
    </row>
    <row r="2241" spans="1:5" x14ac:dyDescent="0.2">
      <c r="A2241" s="28"/>
      <c r="B2241" s="28"/>
      <c r="C2241" s="28"/>
      <c r="D2241" s="28"/>
      <c r="E2241" s="16"/>
    </row>
    <row r="2242" spans="1:5" x14ac:dyDescent="0.2">
      <c r="A2242" s="28"/>
      <c r="B2242" s="28"/>
      <c r="C2242" s="28"/>
      <c r="D2242" s="28"/>
      <c r="E2242" s="16"/>
    </row>
    <row r="2243" spans="1:5" x14ac:dyDescent="0.2">
      <c r="A2243" s="28"/>
      <c r="B2243" s="28"/>
      <c r="C2243" s="28"/>
      <c r="D2243" s="28"/>
      <c r="E2243" s="16"/>
    </row>
    <row r="2244" spans="1:5" x14ac:dyDescent="0.2">
      <c r="A2244" s="28"/>
      <c r="B2244" s="28"/>
      <c r="C2244" s="28"/>
      <c r="D2244" s="28"/>
      <c r="E2244" s="16"/>
    </row>
    <row r="2245" spans="1:5" x14ac:dyDescent="0.2">
      <c r="A2245" s="28"/>
      <c r="B2245" s="28"/>
      <c r="C2245" s="28"/>
      <c r="D2245" s="28"/>
      <c r="E2245" s="16"/>
    </row>
    <row r="2246" spans="1:5" x14ac:dyDescent="0.2">
      <c r="A2246" s="28"/>
      <c r="B2246" s="28"/>
      <c r="C2246" s="28"/>
      <c r="D2246" s="28"/>
      <c r="E2246" s="16"/>
    </row>
    <row r="2247" spans="1:5" x14ac:dyDescent="0.2">
      <c r="A2247" s="28"/>
      <c r="B2247" s="28"/>
      <c r="C2247" s="28"/>
      <c r="D2247" s="28"/>
      <c r="E2247" s="16"/>
    </row>
    <row r="2248" spans="1:5" x14ac:dyDescent="0.2">
      <c r="A2248" s="28"/>
      <c r="B2248" s="28"/>
      <c r="C2248" s="28"/>
      <c r="D2248" s="28"/>
      <c r="E2248" s="16"/>
    </row>
    <row r="2249" spans="1:5" x14ac:dyDescent="0.2">
      <c r="A2249" s="28"/>
      <c r="B2249" s="28"/>
      <c r="C2249" s="28"/>
      <c r="D2249" s="28"/>
      <c r="E2249" s="16"/>
    </row>
    <row r="2250" spans="1:5" x14ac:dyDescent="0.2">
      <c r="A2250" s="28"/>
      <c r="B2250" s="28"/>
      <c r="C2250" s="28"/>
      <c r="D2250" s="28"/>
      <c r="E2250" s="16"/>
    </row>
    <row r="2251" spans="1:5" x14ac:dyDescent="0.2">
      <c r="A2251" s="28"/>
      <c r="B2251" s="28"/>
      <c r="C2251" s="28"/>
      <c r="D2251" s="28"/>
      <c r="E2251" s="16"/>
    </row>
    <row r="2252" spans="1:5" x14ac:dyDescent="0.2">
      <c r="A2252" s="28"/>
      <c r="B2252" s="28"/>
      <c r="C2252" s="28"/>
      <c r="D2252" s="28"/>
      <c r="E2252" s="16"/>
    </row>
    <row r="2253" spans="1:5" x14ac:dyDescent="0.2">
      <c r="A2253" s="28"/>
      <c r="B2253" s="28"/>
      <c r="C2253" s="28"/>
      <c r="D2253" s="28"/>
      <c r="E2253" s="16"/>
    </row>
    <row r="2254" spans="1:5" x14ac:dyDescent="0.2">
      <c r="A2254" s="28"/>
      <c r="B2254" s="28"/>
      <c r="C2254" s="28"/>
      <c r="D2254" s="28"/>
      <c r="E2254" s="16"/>
    </row>
    <row r="2255" spans="1:5" x14ac:dyDescent="0.2">
      <c r="A2255" s="28"/>
      <c r="B2255" s="28"/>
      <c r="C2255" s="28"/>
      <c r="D2255" s="28"/>
      <c r="E2255" s="16"/>
    </row>
    <row r="2256" spans="1:5" x14ac:dyDescent="0.2">
      <c r="A2256" s="28"/>
      <c r="B2256" s="28"/>
      <c r="C2256" s="28"/>
      <c r="D2256" s="28"/>
      <c r="E2256" s="16"/>
    </row>
    <row r="2257" spans="1:5" x14ac:dyDescent="0.2">
      <c r="A2257" s="28"/>
      <c r="B2257" s="28"/>
      <c r="C2257" s="28"/>
      <c r="D2257" s="28"/>
      <c r="E2257" s="16"/>
    </row>
    <row r="2258" spans="1:5" x14ac:dyDescent="0.2">
      <c r="A2258" s="28"/>
      <c r="B2258" s="28"/>
      <c r="C2258" s="28"/>
      <c r="D2258" s="28"/>
      <c r="E2258" s="16"/>
    </row>
    <row r="2259" spans="1:5" x14ac:dyDescent="0.2">
      <c r="A2259" s="28"/>
      <c r="B2259" s="28"/>
      <c r="C2259" s="28"/>
      <c r="D2259" s="28"/>
      <c r="E2259" s="16"/>
    </row>
    <row r="2260" spans="1:5" x14ac:dyDescent="0.2">
      <c r="A2260" s="28"/>
      <c r="B2260" s="28"/>
      <c r="C2260" s="28"/>
      <c r="D2260" s="28"/>
      <c r="E2260" s="16"/>
    </row>
    <row r="2261" spans="1:5" x14ac:dyDescent="0.2">
      <c r="A2261" s="28"/>
      <c r="B2261" s="28"/>
      <c r="C2261" s="28"/>
      <c r="D2261" s="28"/>
      <c r="E2261" s="16"/>
    </row>
    <row r="2262" spans="1:5" x14ac:dyDescent="0.2">
      <c r="A2262" s="28"/>
      <c r="B2262" s="28"/>
      <c r="C2262" s="28"/>
      <c r="D2262" s="28"/>
      <c r="E2262" s="16"/>
    </row>
    <row r="2263" spans="1:5" x14ac:dyDescent="0.2">
      <c r="A2263" s="28"/>
      <c r="B2263" s="28"/>
      <c r="C2263" s="28"/>
      <c r="D2263" s="28"/>
      <c r="E2263" s="16"/>
    </row>
    <row r="2264" spans="1:5" x14ac:dyDescent="0.2">
      <c r="A2264" s="28"/>
      <c r="B2264" s="28"/>
      <c r="C2264" s="28"/>
      <c r="D2264" s="28"/>
      <c r="E2264" s="16"/>
    </row>
    <row r="2265" spans="1:5" x14ac:dyDescent="0.2">
      <c r="A2265" s="28"/>
      <c r="B2265" s="28"/>
      <c r="C2265" s="28"/>
      <c r="D2265" s="28"/>
      <c r="E2265" s="16"/>
    </row>
    <row r="2266" spans="1:5" x14ac:dyDescent="0.2">
      <c r="A2266" s="28"/>
      <c r="B2266" s="28"/>
      <c r="C2266" s="28"/>
      <c r="D2266" s="28"/>
      <c r="E2266" s="16"/>
    </row>
    <row r="2267" spans="1:5" x14ac:dyDescent="0.2">
      <c r="A2267" s="28"/>
      <c r="B2267" s="28"/>
      <c r="C2267" s="28"/>
      <c r="D2267" s="28"/>
      <c r="E2267" s="16"/>
    </row>
    <row r="2268" spans="1:5" x14ac:dyDescent="0.2">
      <c r="A2268" s="28"/>
      <c r="B2268" s="28"/>
      <c r="C2268" s="28"/>
      <c r="D2268" s="28"/>
      <c r="E2268" s="16"/>
    </row>
    <row r="2269" spans="1:5" x14ac:dyDescent="0.2">
      <c r="A2269" s="28"/>
      <c r="B2269" s="28"/>
      <c r="C2269" s="28"/>
      <c r="D2269" s="28"/>
      <c r="E2269" s="16"/>
    </row>
    <row r="2270" spans="1:5" x14ac:dyDescent="0.2">
      <c r="A2270" s="28"/>
      <c r="B2270" s="28"/>
      <c r="C2270" s="28"/>
      <c r="D2270" s="28"/>
      <c r="E2270" s="16"/>
    </row>
    <row r="2271" spans="1:5" x14ac:dyDescent="0.2">
      <c r="A2271" s="28"/>
      <c r="B2271" s="28"/>
      <c r="C2271" s="28"/>
      <c r="D2271" s="28"/>
      <c r="E2271" s="16"/>
    </row>
    <row r="2272" spans="1:5" x14ac:dyDescent="0.2">
      <c r="A2272" s="28"/>
      <c r="B2272" s="28"/>
      <c r="C2272" s="28"/>
      <c r="D2272" s="28"/>
      <c r="E2272" s="16"/>
    </row>
    <row r="2273" spans="1:5" x14ac:dyDescent="0.2">
      <c r="A2273" s="28"/>
      <c r="B2273" s="28"/>
      <c r="C2273" s="28"/>
      <c r="D2273" s="28"/>
      <c r="E2273" s="16"/>
    </row>
    <row r="2274" spans="1:5" x14ac:dyDescent="0.2">
      <c r="A2274" s="28"/>
      <c r="B2274" s="28"/>
      <c r="C2274" s="28"/>
      <c r="D2274" s="28"/>
      <c r="E2274" s="16"/>
    </row>
    <row r="2275" spans="1:5" x14ac:dyDescent="0.2">
      <c r="A2275" s="28"/>
      <c r="B2275" s="28"/>
      <c r="C2275" s="28"/>
      <c r="D2275" s="28"/>
      <c r="E2275" s="16"/>
    </row>
    <row r="2276" spans="1:5" x14ac:dyDescent="0.2">
      <c r="A2276" s="28"/>
      <c r="B2276" s="28"/>
      <c r="C2276" s="28"/>
      <c r="D2276" s="28"/>
      <c r="E2276" s="16"/>
    </row>
    <row r="2277" spans="1:5" x14ac:dyDescent="0.2">
      <c r="A2277" s="28"/>
      <c r="B2277" s="28"/>
      <c r="C2277" s="28"/>
      <c r="D2277" s="28"/>
      <c r="E2277" s="16"/>
    </row>
    <row r="2278" spans="1:5" x14ac:dyDescent="0.2">
      <c r="A2278" s="28"/>
      <c r="B2278" s="28"/>
      <c r="C2278" s="28"/>
      <c r="D2278" s="28"/>
      <c r="E2278" s="16"/>
    </row>
    <row r="2279" spans="1:5" x14ac:dyDescent="0.2">
      <c r="A2279" s="28"/>
      <c r="B2279" s="28"/>
      <c r="C2279" s="28"/>
      <c r="D2279" s="28"/>
      <c r="E2279" s="16"/>
    </row>
    <row r="2280" spans="1:5" x14ac:dyDescent="0.2">
      <c r="A2280" s="28"/>
      <c r="B2280" s="28"/>
      <c r="C2280" s="28"/>
      <c r="D2280" s="28"/>
      <c r="E2280" s="16"/>
    </row>
    <row r="2281" spans="1:5" x14ac:dyDescent="0.2">
      <c r="A2281" s="28"/>
      <c r="B2281" s="28"/>
      <c r="C2281" s="28"/>
      <c r="D2281" s="28"/>
      <c r="E2281" s="16"/>
    </row>
    <row r="2282" spans="1:5" x14ac:dyDescent="0.2">
      <c r="A2282" s="28"/>
      <c r="B2282" s="28"/>
      <c r="C2282" s="28"/>
      <c r="D2282" s="28"/>
      <c r="E2282" s="16"/>
    </row>
    <row r="2283" spans="1:5" x14ac:dyDescent="0.2">
      <c r="A2283" s="28"/>
      <c r="B2283" s="28"/>
      <c r="C2283" s="28"/>
      <c r="D2283" s="28"/>
      <c r="E2283" s="16"/>
    </row>
    <row r="2284" spans="1:5" x14ac:dyDescent="0.2">
      <c r="A2284" s="28"/>
      <c r="B2284" s="28"/>
      <c r="C2284" s="28"/>
      <c r="D2284" s="28"/>
      <c r="E2284" s="16"/>
    </row>
    <row r="2285" spans="1:5" x14ac:dyDescent="0.2">
      <c r="A2285" s="28"/>
      <c r="B2285" s="28"/>
      <c r="C2285" s="28"/>
      <c r="D2285" s="28"/>
      <c r="E2285" s="16"/>
    </row>
    <row r="2286" spans="1:5" x14ac:dyDescent="0.2">
      <c r="A2286" s="28"/>
      <c r="B2286" s="28"/>
      <c r="C2286" s="28"/>
      <c r="D2286" s="28"/>
      <c r="E2286" s="16"/>
    </row>
    <row r="2287" spans="1:5" x14ac:dyDescent="0.2">
      <c r="A2287" s="28"/>
      <c r="B2287" s="28"/>
      <c r="C2287" s="28"/>
      <c r="D2287" s="28"/>
      <c r="E2287" s="16"/>
    </row>
    <row r="2288" spans="1:5" x14ac:dyDescent="0.2">
      <c r="A2288" s="28"/>
      <c r="B2288" s="28"/>
      <c r="C2288" s="28"/>
      <c r="D2288" s="28"/>
      <c r="E2288" s="16"/>
    </row>
    <row r="2289" spans="1:5" x14ac:dyDescent="0.2">
      <c r="A2289" s="28"/>
      <c r="B2289" s="28"/>
      <c r="C2289" s="28"/>
      <c r="D2289" s="28"/>
      <c r="E2289" s="16"/>
    </row>
    <row r="2290" spans="1:5" x14ac:dyDescent="0.2">
      <c r="A2290" s="28"/>
      <c r="B2290" s="28"/>
      <c r="C2290" s="28"/>
      <c r="D2290" s="28"/>
      <c r="E2290" s="16"/>
    </row>
    <row r="2291" spans="1:5" x14ac:dyDescent="0.2">
      <c r="A2291" s="28"/>
      <c r="B2291" s="28"/>
      <c r="C2291" s="28"/>
      <c r="D2291" s="28"/>
      <c r="E2291" s="16"/>
    </row>
    <row r="2292" spans="1:5" x14ac:dyDescent="0.2">
      <c r="A2292" s="28"/>
      <c r="B2292" s="28"/>
      <c r="C2292" s="28"/>
      <c r="D2292" s="28"/>
      <c r="E2292" s="16"/>
    </row>
    <row r="2293" spans="1:5" x14ac:dyDescent="0.2">
      <c r="A2293" s="28"/>
      <c r="B2293" s="28"/>
      <c r="C2293" s="28"/>
      <c r="D2293" s="28"/>
      <c r="E2293" s="16"/>
    </row>
    <row r="2294" spans="1:5" x14ac:dyDescent="0.2">
      <c r="A2294" s="28"/>
      <c r="B2294" s="28"/>
      <c r="C2294" s="28"/>
      <c r="D2294" s="28"/>
      <c r="E2294" s="16"/>
    </row>
    <row r="2295" spans="1:5" x14ac:dyDescent="0.2">
      <c r="A2295" s="28"/>
      <c r="B2295" s="28"/>
      <c r="C2295" s="28"/>
      <c r="D2295" s="28"/>
      <c r="E2295" s="16"/>
    </row>
    <row r="2296" spans="1:5" x14ac:dyDescent="0.2">
      <c r="A2296" s="28"/>
      <c r="B2296" s="28"/>
      <c r="C2296" s="28"/>
      <c r="D2296" s="28"/>
      <c r="E2296" s="16"/>
    </row>
    <row r="2297" spans="1:5" x14ac:dyDescent="0.2">
      <c r="A2297" s="28"/>
      <c r="B2297" s="28"/>
      <c r="C2297" s="28"/>
      <c r="D2297" s="28"/>
      <c r="E2297" s="16"/>
    </row>
    <row r="2298" spans="1:5" x14ac:dyDescent="0.2">
      <c r="A2298" s="28"/>
      <c r="B2298" s="28"/>
      <c r="C2298" s="28"/>
      <c r="D2298" s="28"/>
      <c r="E2298" s="16"/>
    </row>
    <row r="2299" spans="1:5" x14ac:dyDescent="0.2">
      <c r="A2299" s="28"/>
      <c r="B2299" s="28"/>
      <c r="C2299" s="28"/>
      <c r="D2299" s="28"/>
      <c r="E2299" s="16"/>
    </row>
    <row r="2300" spans="1:5" x14ac:dyDescent="0.2">
      <c r="A2300" s="28"/>
      <c r="B2300" s="28"/>
      <c r="C2300" s="28"/>
      <c r="D2300" s="28"/>
      <c r="E2300" s="16"/>
    </row>
    <row r="2301" spans="1:5" x14ac:dyDescent="0.2">
      <c r="A2301" s="28"/>
      <c r="B2301" s="28"/>
      <c r="C2301" s="28"/>
      <c r="D2301" s="28"/>
      <c r="E2301" s="16"/>
    </row>
    <row r="2302" spans="1:5" x14ac:dyDescent="0.2">
      <c r="A2302" s="28"/>
      <c r="B2302" s="28"/>
      <c r="C2302" s="28"/>
      <c r="D2302" s="28"/>
      <c r="E2302" s="16"/>
    </row>
    <row r="2303" spans="1:5" x14ac:dyDescent="0.2">
      <c r="A2303" s="28"/>
      <c r="B2303" s="28"/>
      <c r="C2303" s="28"/>
      <c r="D2303" s="28"/>
      <c r="E2303" s="16"/>
    </row>
    <row r="2304" spans="1:5" x14ac:dyDescent="0.2">
      <c r="A2304" s="28"/>
      <c r="B2304" s="28"/>
      <c r="C2304" s="28"/>
      <c r="D2304" s="28"/>
      <c r="E2304" s="16"/>
    </row>
    <row r="2305" spans="1:5" x14ac:dyDescent="0.2">
      <c r="A2305" s="28"/>
      <c r="B2305" s="28"/>
      <c r="C2305" s="28"/>
      <c r="D2305" s="28"/>
      <c r="E2305" s="16"/>
    </row>
    <row r="2306" spans="1:5" x14ac:dyDescent="0.2">
      <c r="A2306" s="28"/>
      <c r="B2306" s="28"/>
      <c r="C2306" s="28"/>
      <c r="D2306" s="28"/>
      <c r="E2306" s="16"/>
    </row>
    <row r="2307" spans="1:5" x14ac:dyDescent="0.2">
      <c r="A2307" s="28"/>
      <c r="B2307" s="28"/>
      <c r="C2307" s="28"/>
      <c r="D2307" s="28"/>
      <c r="E2307" s="16"/>
    </row>
    <row r="2308" spans="1:5" x14ac:dyDescent="0.2">
      <c r="A2308" s="28"/>
      <c r="B2308" s="28"/>
      <c r="C2308" s="28"/>
      <c r="D2308" s="28"/>
      <c r="E2308" s="16"/>
    </row>
    <row r="2309" spans="1:5" x14ac:dyDescent="0.2">
      <c r="A2309" s="28"/>
      <c r="B2309" s="28"/>
      <c r="C2309" s="28"/>
      <c r="D2309" s="28"/>
      <c r="E2309" s="16"/>
    </row>
    <row r="2310" spans="1:5" x14ac:dyDescent="0.2">
      <c r="A2310" s="28"/>
      <c r="B2310" s="28"/>
      <c r="C2310" s="28"/>
      <c r="D2310" s="28"/>
      <c r="E2310" s="16"/>
    </row>
    <row r="2311" spans="1:5" x14ac:dyDescent="0.2">
      <c r="A2311" s="28"/>
      <c r="B2311" s="28"/>
      <c r="C2311" s="28"/>
      <c r="D2311" s="28"/>
      <c r="E2311" s="16"/>
    </row>
    <row r="2312" spans="1:5" x14ac:dyDescent="0.2">
      <c r="A2312" s="28"/>
      <c r="B2312" s="28"/>
      <c r="C2312" s="28"/>
      <c r="D2312" s="28"/>
      <c r="E2312" s="16"/>
    </row>
    <row r="2313" spans="1:5" x14ac:dyDescent="0.2">
      <c r="A2313" s="28"/>
      <c r="B2313" s="28"/>
      <c r="C2313" s="28"/>
      <c r="D2313" s="28"/>
      <c r="E2313" s="16"/>
    </row>
    <row r="2314" spans="1:5" x14ac:dyDescent="0.2">
      <c r="A2314" s="28"/>
      <c r="B2314" s="28"/>
      <c r="C2314" s="28"/>
      <c r="D2314" s="28"/>
      <c r="E2314" s="16"/>
    </row>
    <row r="2315" spans="1:5" x14ac:dyDescent="0.2">
      <c r="A2315" s="28"/>
      <c r="B2315" s="28"/>
      <c r="C2315" s="28"/>
      <c r="D2315" s="28"/>
      <c r="E2315" s="16"/>
    </row>
    <row r="2316" spans="1:5" x14ac:dyDescent="0.2">
      <c r="A2316" s="28"/>
      <c r="B2316" s="28"/>
      <c r="C2316" s="28"/>
      <c r="D2316" s="28"/>
      <c r="E2316" s="16"/>
    </row>
    <row r="2317" spans="1:5" x14ac:dyDescent="0.2">
      <c r="A2317" s="28"/>
      <c r="B2317" s="28"/>
      <c r="C2317" s="28"/>
      <c r="D2317" s="28"/>
      <c r="E2317" s="16"/>
    </row>
    <row r="2318" spans="1:5" x14ac:dyDescent="0.2">
      <c r="A2318" s="28"/>
      <c r="B2318" s="28"/>
      <c r="C2318" s="28"/>
      <c r="D2318" s="28"/>
      <c r="E2318" s="16"/>
    </row>
    <row r="2319" spans="1:5" x14ac:dyDescent="0.2">
      <c r="A2319" s="28"/>
      <c r="B2319" s="28"/>
      <c r="C2319" s="28"/>
      <c r="D2319" s="28"/>
      <c r="E2319" s="16"/>
    </row>
    <row r="2320" spans="1:5" x14ac:dyDescent="0.2">
      <c r="A2320" s="28"/>
      <c r="B2320" s="28"/>
      <c r="C2320" s="28"/>
      <c r="D2320" s="28"/>
      <c r="E2320" s="16"/>
    </row>
    <row r="2321" spans="1:5" x14ac:dyDescent="0.2">
      <c r="A2321" s="28"/>
      <c r="B2321" s="28"/>
      <c r="C2321" s="28"/>
      <c r="D2321" s="28"/>
      <c r="E2321" s="16"/>
    </row>
    <row r="2322" spans="1:5" x14ac:dyDescent="0.2">
      <c r="A2322" s="28"/>
      <c r="B2322" s="28"/>
      <c r="C2322" s="28"/>
      <c r="D2322" s="28"/>
      <c r="E2322" s="16"/>
    </row>
    <row r="2323" spans="1:5" x14ac:dyDescent="0.2">
      <c r="A2323" s="28"/>
      <c r="B2323" s="28"/>
      <c r="C2323" s="28"/>
      <c r="D2323" s="28"/>
      <c r="E2323" s="16"/>
    </row>
    <row r="2324" spans="1:5" x14ac:dyDescent="0.2">
      <c r="A2324" s="28"/>
      <c r="B2324" s="28"/>
      <c r="C2324" s="28"/>
      <c r="D2324" s="28"/>
      <c r="E2324" s="16"/>
    </row>
    <row r="2325" spans="1:5" x14ac:dyDescent="0.2">
      <c r="A2325" s="28"/>
      <c r="B2325" s="28"/>
      <c r="C2325" s="28"/>
      <c r="D2325" s="28"/>
      <c r="E2325" s="16"/>
    </row>
    <row r="2326" spans="1:5" x14ac:dyDescent="0.2">
      <c r="A2326" s="28"/>
      <c r="B2326" s="28"/>
      <c r="C2326" s="28"/>
      <c r="D2326" s="28"/>
      <c r="E2326" s="16"/>
    </row>
    <row r="2327" spans="1:5" x14ac:dyDescent="0.2">
      <c r="A2327" s="28"/>
      <c r="B2327" s="28"/>
      <c r="C2327" s="28"/>
      <c r="D2327" s="28"/>
      <c r="E2327" s="16"/>
    </row>
    <row r="2328" spans="1:5" x14ac:dyDescent="0.2">
      <c r="A2328" s="28"/>
      <c r="B2328" s="28"/>
      <c r="C2328" s="28"/>
      <c r="D2328" s="28"/>
      <c r="E2328" s="16"/>
    </row>
    <row r="2329" spans="1:5" x14ac:dyDescent="0.2">
      <c r="A2329" s="28"/>
      <c r="B2329" s="28"/>
      <c r="C2329" s="28"/>
      <c r="D2329" s="28"/>
      <c r="E2329" s="16"/>
    </row>
    <row r="2330" spans="1:5" x14ac:dyDescent="0.2">
      <c r="A2330" s="28"/>
      <c r="B2330" s="28"/>
      <c r="C2330" s="28"/>
      <c r="D2330" s="28"/>
      <c r="E2330" s="16"/>
    </row>
    <row r="2331" spans="1:5" x14ac:dyDescent="0.2">
      <c r="A2331" s="28"/>
      <c r="B2331" s="28"/>
      <c r="C2331" s="28"/>
      <c r="D2331" s="28"/>
      <c r="E2331" s="16"/>
    </row>
    <row r="2332" spans="1:5" x14ac:dyDescent="0.2">
      <c r="A2332" s="28"/>
      <c r="B2332" s="28"/>
      <c r="C2332" s="28"/>
      <c r="D2332" s="28"/>
      <c r="E2332" s="16"/>
    </row>
    <row r="2333" spans="1:5" x14ac:dyDescent="0.2">
      <c r="A2333" s="28"/>
      <c r="B2333" s="28"/>
      <c r="C2333" s="28"/>
      <c r="D2333" s="28"/>
      <c r="E2333" s="16"/>
    </row>
    <row r="2334" spans="1:5" x14ac:dyDescent="0.2">
      <c r="A2334" s="28"/>
      <c r="B2334" s="28"/>
      <c r="C2334" s="28"/>
      <c r="D2334" s="28"/>
      <c r="E2334" s="16"/>
    </row>
    <row r="2335" spans="1:5" x14ac:dyDescent="0.2">
      <c r="A2335" s="28"/>
      <c r="B2335" s="28"/>
      <c r="C2335" s="28"/>
      <c r="D2335" s="28"/>
      <c r="E2335" s="16"/>
    </row>
    <row r="2336" spans="1:5" x14ac:dyDescent="0.2">
      <c r="A2336" s="28"/>
      <c r="B2336" s="28"/>
      <c r="C2336" s="28"/>
      <c r="D2336" s="28"/>
      <c r="E2336" s="16"/>
    </row>
    <row r="2337" spans="1:5" x14ac:dyDescent="0.2">
      <c r="A2337" s="28"/>
      <c r="B2337" s="28"/>
      <c r="C2337" s="28"/>
      <c r="D2337" s="28"/>
      <c r="E2337" s="16"/>
    </row>
    <row r="2338" spans="1:5" x14ac:dyDescent="0.2">
      <c r="A2338" s="28"/>
      <c r="B2338" s="28"/>
      <c r="C2338" s="28"/>
      <c r="D2338" s="28"/>
      <c r="E2338" s="16"/>
    </row>
    <row r="2339" spans="1:5" x14ac:dyDescent="0.2">
      <c r="A2339" s="28"/>
      <c r="B2339" s="28"/>
      <c r="C2339" s="28"/>
      <c r="D2339" s="28"/>
      <c r="E2339" s="16"/>
    </row>
    <row r="2340" spans="1:5" x14ac:dyDescent="0.2">
      <c r="A2340" s="28"/>
      <c r="B2340" s="28"/>
      <c r="C2340" s="28"/>
      <c r="D2340" s="28"/>
      <c r="E2340" s="16"/>
    </row>
    <row r="2341" spans="1:5" x14ac:dyDescent="0.2">
      <c r="A2341" s="28"/>
      <c r="B2341" s="28"/>
      <c r="C2341" s="28"/>
      <c r="D2341" s="28"/>
      <c r="E2341" s="16"/>
    </row>
    <row r="2342" spans="1:5" x14ac:dyDescent="0.2">
      <c r="A2342" s="28"/>
      <c r="B2342" s="28"/>
      <c r="C2342" s="28"/>
      <c r="D2342" s="28"/>
      <c r="E2342" s="16"/>
    </row>
    <row r="2343" spans="1:5" x14ac:dyDescent="0.2">
      <c r="A2343" s="28"/>
      <c r="B2343" s="28"/>
      <c r="C2343" s="28"/>
      <c r="D2343" s="28"/>
      <c r="E2343" s="16"/>
    </row>
    <row r="2344" spans="1:5" x14ac:dyDescent="0.2">
      <c r="A2344" s="28"/>
      <c r="B2344" s="28"/>
      <c r="C2344" s="28"/>
      <c r="D2344" s="28"/>
      <c r="E2344" s="16"/>
    </row>
    <row r="2345" spans="1:5" x14ac:dyDescent="0.2">
      <c r="A2345" s="28"/>
      <c r="B2345" s="28"/>
      <c r="C2345" s="28"/>
      <c r="D2345" s="28"/>
      <c r="E2345" s="16"/>
    </row>
    <row r="2346" spans="1:5" x14ac:dyDescent="0.2">
      <c r="A2346" s="28"/>
      <c r="B2346" s="28"/>
      <c r="C2346" s="28"/>
      <c r="D2346" s="28"/>
      <c r="E2346" s="16"/>
    </row>
    <row r="2347" spans="1:5" x14ac:dyDescent="0.2">
      <c r="A2347" s="28"/>
      <c r="B2347" s="28"/>
      <c r="C2347" s="28"/>
      <c r="D2347" s="28"/>
      <c r="E2347" s="16"/>
    </row>
    <row r="2348" spans="1:5" x14ac:dyDescent="0.2">
      <c r="A2348" s="28"/>
      <c r="B2348" s="28"/>
      <c r="C2348" s="28"/>
      <c r="D2348" s="28"/>
      <c r="E2348" s="16"/>
    </row>
    <row r="2349" spans="1:5" x14ac:dyDescent="0.2">
      <c r="A2349" s="28"/>
      <c r="B2349" s="28"/>
      <c r="C2349" s="28"/>
      <c r="D2349" s="28"/>
      <c r="E2349" s="16"/>
    </row>
    <row r="2350" spans="1:5" x14ac:dyDescent="0.2">
      <c r="A2350" s="28"/>
      <c r="B2350" s="28"/>
      <c r="C2350" s="28"/>
      <c r="D2350" s="28"/>
      <c r="E2350" s="16"/>
    </row>
    <row r="2351" spans="1:5" x14ac:dyDescent="0.2">
      <c r="A2351" s="28"/>
      <c r="B2351" s="28"/>
      <c r="C2351" s="28"/>
      <c r="D2351" s="28"/>
      <c r="E2351" s="16"/>
    </row>
    <row r="2352" spans="1:5" x14ac:dyDescent="0.2">
      <c r="A2352" s="28"/>
      <c r="B2352" s="28"/>
      <c r="C2352" s="28"/>
      <c r="D2352" s="28"/>
      <c r="E2352" s="16"/>
    </row>
    <row r="2353" spans="1:5" x14ac:dyDescent="0.2">
      <c r="A2353" s="28"/>
      <c r="B2353" s="28"/>
      <c r="C2353" s="28"/>
      <c r="D2353" s="28"/>
      <c r="E2353" s="16"/>
    </row>
    <row r="2354" spans="1:5" x14ac:dyDescent="0.2">
      <c r="A2354" s="28"/>
      <c r="B2354" s="28"/>
      <c r="C2354" s="28"/>
      <c r="D2354" s="28"/>
      <c r="E2354" s="16"/>
    </row>
    <row r="2355" spans="1:5" x14ac:dyDescent="0.2">
      <c r="A2355" s="28"/>
      <c r="B2355" s="28"/>
      <c r="C2355" s="28"/>
      <c r="D2355" s="28"/>
      <c r="E2355" s="16"/>
    </row>
    <row r="2356" spans="1:5" x14ac:dyDescent="0.2">
      <c r="A2356" s="28"/>
      <c r="B2356" s="28"/>
      <c r="C2356" s="28"/>
      <c r="D2356" s="28"/>
      <c r="E2356" s="16"/>
    </row>
    <row r="2357" spans="1:5" x14ac:dyDescent="0.2">
      <c r="A2357" s="28"/>
      <c r="B2357" s="28"/>
      <c r="C2357" s="28"/>
      <c r="D2357" s="28"/>
      <c r="E2357" s="16"/>
    </row>
    <row r="2358" spans="1:5" x14ac:dyDescent="0.2">
      <c r="A2358" s="28"/>
      <c r="B2358" s="28"/>
      <c r="C2358" s="28"/>
      <c r="D2358" s="28"/>
      <c r="E2358" s="16"/>
    </row>
    <row r="2359" spans="1:5" x14ac:dyDescent="0.2">
      <c r="A2359" s="28"/>
      <c r="B2359" s="28"/>
      <c r="C2359" s="28"/>
      <c r="D2359" s="28"/>
      <c r="E2359" s="16"/>
    </row>
    <row r="2360" spans="1:5" x14ac:dyDescent="0.2">
      <c r="A2360" s="28"/>
      <c r="B2360" s="28"/>
      <c r="C2360" s="28"/>
      <c r="D2360" s="28"/>
      <c r="E2360" s="16"/>
    </row>
    <row r="2361" spans="1:5" x14ac:dyDescent="0.2">
      <c r="A2361" s="28"/>
      <c r="B2361" s="28"/>
      <c r="C2361" s="28"/>
      <c r="D2361" s="28"/>
      <c r="E2361" s="16"/>
    </row>
    <row r="2362" spans="1:5" x14ac:dyDescent="0.2">
      <c r="A2362" s="28"/>
      <c r="B2362" s="28"/>
      <c r="C2362" s="28"/>
      <c r="D2362" s="28"/>
      <c r="E2362" s="16"/>
    </row>
    <row r="2363" spans="1:5" x14ac:dyDescent="0.2">
      <c r="A2363" s="28"/>
      <c r="B2363" s="28"/>
      <c r="C2363" s="28"/>
      <c r="D2363" s="28"/>
      <c r="E2363" s="16"/>
    </row>
    <row r="2364" spans="1:5" x14ac:dyDescent="0.2">
      <c r="A2364" s="28"/>
      <c r="B2364" s="28"/>
      <c r="C2364" s="28"/>
      <c r="D2364" s="28"/>
      <c r="E2364" s="16"/>
    </row>
    <row r="2365" spans="1:5" x14ac:dyDescent="0.2">
      <c r="A2365" s="28"/>
      <c r="B2365" s="28"/>
      <c r="C2365" s="28"/>
      <c r="D2365" s="28"/>
      <c r="E2365" s="16"/>
    </row>
    <row r="2366" spans="1:5" x14ac:dyDescent="0.2">
      <c r="A2366" s="28"/>
      <c r="B2366" s="28"/>
      <c r="C2366" s="28"/>
      <c r="D2366" s="28"/>
      <c r="E2366" s="16"/>
    </row>
    <row r="2367" spans="1:5" x14ac:dyDescent="0.2">
      <c r="A2367" s="28"/>
      <c r="B2367" s="28"/>
      <c r="C2367" s="28"/>
      <c r="D2367" s="28"/>
      <c r="E2367" s="16"/>
    </row>
    <row r="2368" spans="1:5" x14ac:dyDescent="0.2">
      <c r="A2368" s="28"/>
      <c r="B2368" s="28"/>
      <c r="C2368" s="28"/>
      <c r="D2368" s="28"/>
      <c r="E2368" s="16"/>
    </row>
    <row r="2369" spans="1:5" x14ac:dyDescent="0.2">
      <c r="A2369" s="28"/>
      <c r="B2369" s="28"/>
      <c r="C2369" s="28"/>
      <c r="D2369" s="28"/>
      <c r="E2369" s="16"/>
    </row>
    <row r="2370" spans="1:5" x14ac:dyDescent="0.2">
      <c r="A2370" s="28"/>
      <c r="B2370" s="28"/>
      <c r="C2370" s="28"/>
      <c r="D2370" s="28"/>
      <c r="E2370" s="16"/>
    </row>
    <row r="2371" spans="1:5" x14ac:dyDescent="0.2">
      <c r="A2371" s="28"/>
      <c r="B2371" s="28"/>
      <c r="C2371" s="28"/>
      <c r="D2371" s="28"/>
      <c r="E2371" s="16"/>
    </row>
    <row r="2372" spans="1:5" x14ac:dyDescent="0.2">
      <c r="A2372" s="28"/>
      <c r="B2372" s="28"/>
      <c r="C2372" s="28"/>
      <c r="D2372" s="28"/>
      <c r="E2372" s="16"/>
    </row>
    <row r="2373" spans="1:5" x14ac:dyDescent="0.2">
      <c r="A2373" s="28"/>
      <c r="B2373" s="28"/>
      <c r="C2373" s="28"/>
      <c r="D2373" s="28"/>
      <c r="E2373" s="16"/>
    </row>
    <row r="2374" spans="1:5" x14ac:dyDescent="0.2">
      <c r="A2374" s="28"/>
      <c r="B2374" s="28"/>
      <c r="C2374" s="28"/>
      <c r="D2374" s="28"/>
      <c r="E2374" s="16"/>
    </row>
    <row r="2375" spans="1:5" x14ac:dyDescent="0.2">
      <c r="A2375" s="28"/>
      <c r="B2375" s="28"/>
      <c r="C2375" s="28"/>
      <c r="D2375" s="28"/>
      <c r="E2375" s="16"/>
    </row>
    <row r="2376" spans="1:5" x14ac:dyDescent="0.2">
      <c r="A2376" s="28"/>
      <c r="B2376" s="28"/>
      <c r="C2376" s="28"/>
      <c r="D2376" s="28"/>
      <c r="E2376" s="16"/>
    </row>
    <row r="2377" spans="1:5" x14ac:dyDescent="0.2">
      <c r="A2377" s="28"/>
      <c r="B2377" s="28"/>
      <c r="C2377" s="28"/>
      <c r="D2377" s="28"/>
      <c r="E2377" s="16"/>
    </row>
    <row r="2378" spans="1:5" x14ac:dyDescent="0.2">
      <c r="A2378" s="28"/>
      <c r="B2378" s="28"/>
      <c r="C2378" s="28"/>
      <c r="D2378" s="28"/>
      <c r="E2378" s="16"/>
    </row>
    <row r="2379" spans="1:5" x14ac:dyDescent="0.2">
      <c r="A2379" s="28"/>
      <c r="B2379" s="28"/>
      <c r="C2379" s="28"/>
      <c r="D2379" s="28"/>
      <c r="E2379" s="16"/>
    </row>
    <row r="2380" spans="1:5" x14ac:dyDescent="0.2">
      <c r="A2380" s="28"/>
      <c r="B2380" s="28"/>
      <c r="C2380" s="28"/>
      <c r="D2380" s="28"/>
      <c r="E2380" s="16"/>
    </row>
    <row r="2381" spans="1:5" x14ac:dyDescent="0.2">
      <c r="A2381" s="28"/>
      <c r="B2381" s="28"/>
      <c r="C2381" s="28"/>
      <c r="D2381" s="28"/>
      <c r="E2381" s="16"/>
    </row>
    <row r="2382" spans="1:5" x14ac:dyDescent="0.2">
      <c r="A2382" s="28"/>
      <c r="B2382" s="28"/>
      <c r="C2382" s="28"/>
      <c r="D2382" s="28"/>
      <c r="E2382" s="16"/>
    </row>
    <row r="2383" spans="1:5" x14ac:dyDescent="0.2">
      <c r="A2383" s="28"/>
      <c r="B2383" s="28"/>
      <c r="C2383" s="28"/>
      <c r="D2383" s="28"/>
      <c r="E2383" s="16"/>
    </row>
    <row r="2384" spans="1:5" x14ac:dyDescent="0.2">
      <c r="A2384" s="28"/>
      <c r="B2384" s="28"/>
      <c r="C2384" s="28"/>
      <c r="D2384" s="28"/>
      <c r="E2384" s="16"/>
    </row>
    <row r="2385" spans="1:5" x14ac:dyDescent="0.2">
      <c r="A2385" s="28"/>
      <c r="B2385" s="28"/>
      <c r="C2385" s="28"/>
      <c r="D2385" s="28"/>
      <c r="E2385" s="16"/>
    </row>
    <row r="2386" spans="1:5" x14ac:dyDescent="0.2">
      <c r="A2386" s="28"/>
      <c r="B2386" s="28"/>
      <c r="C2386" s="28"/>
      <c r="D2386" s="28"/>
      <c r="E2386" s="16"/>
    </row>
    <row r="2387" spans="1:5" x14ac:dyDescent="0.2">
      <c r="A2387" s="28"/>
      <c r="B2387" s="28"/>
      <c r="C2387" s="28"/>
      <c r="D2387" s="28"/>
      <c r="E2387" s="16"/>
    </row>
    <row r="2388" spans="1:5" x14ac:dyDescent="0.2">
      <c r="A2388" s="28"/>
      <c r="B2388" s="28"/>
      <c r="C2388" s="28"/>
      <c r="D2388" s="28"/>
      <c r="E2388" s="16"/>
    </row>
    <row r="2389" spans="1:5" x14ac:dyDescent="0.2">
      <c r="A2389" s="28"/>
      <c r="B2389" s="28"/>
      <c r="C2389" s="28"/>
      <c r="D2389" s="28"/>
      <c r="E2389" s="16"/>
    </row>
    <row r="2390" spans="1:5" x14ac:dyDescent="0.2">
      <c r="A2390" s="28"/>
      <c r="B2390" s="28"/>
      <c r="C2390" s="28"/>
      <c r="D2390" s="28"/>
      <c r="E2390" s="16"/>
    </row>
    <row r="2391" spans="1:5" x14ac:dyDescent="0.2">
      <c r="A2391" s="28"/>
      <c r="B2391" s="28"/>
      <c r="C2391" s="28"/>
      <c r="D2391" s="28"/>
      <c r="E2391" s="16"/>
    </row>
    <row r="2392" spans="1:5" x14ac:dyDescent="0.2">
      <c r="A2392" s="28"/>
      <c r="B2392" s="28"/>
      <c r="C2392" s="28"/>
      <c r="D2392" s="28"/>
      <c r="E2392" s="16"/>
    </row>
    <row r="2393" spans="1:5" x14ac:dyDescent="0.2">
      <c r="A2393" s="28"/>
      <c r="B2393" s="28"/>
      <c r="C2393" s="28"/>
      <c r="D2393" s="28"/>
      <c r="E2393" s="16"/>
    </row>
    <row r="2394" spans="1:5" x14ac:dyDescent="0.2">
      <c r="A2394" s="28"/>
      <c r="B2394" s="28"/>
      <c r="C2394" s="28"/>
      <c r="D2394" s="28"/>
      <c r="E2394" s="16"/>
    </row>
    <row r="2395" spans="1:5" x14ac:dyDescent="0.2">
      <c r="A2395" s="28"/>
      <c r="B2395" s="28"/>
      <c r="C2395" s="28"/>
      <c r="D2395" s="28"/>
      <c r="E2395" s="16"/>
    </row>
    <row r="2396" spans="1:5" x14ac:dyDescent="0.2">
      <c r="A2396" s="28"/>
      <c r="B2396" s="28"/>
      <c r="C2396" s="28"/>
      <c r="D2396" s="28"/>
      <c r="E2396" s="16"/>
    </row>
    <row r="2397" spans="1:5" x14ac:dyDescent="0.2">
      <c r="A2397" s="28"/>
      <c r="B2397" s="28"/>
      <c r="C2397" s="28"/>
      <c r="D2397" s="28"/>
      <c r="E2397" s="16"/>
    </row>
    <row r="2398" spans="1:5" x14ac:dyDescent="0.2">
      <c r="A2398" s="28"/>
      <c r="B2398" s="28"/>
      <c r="C2398" s="28"/>
      <c r="D2398" s="28"/>
      <c r="E2398" s="16"/>
    </row>
    <row r="2399" spans="1:5" x14ac:dyDescent="0.2">
      <c r="A2399" s="28"/>
      <c r="B2399" s="28"/>
      <c r="C2399" s="28"/>
      <c r="D2399" s="28"/>
      <c r="E2399" s="16"/>
    </row>
    <row r="2400" spans="1:5" x14ac:dyDescent="0.2">
      <c r="A2400" s="28"/>
      <c r="B2400" s="28"/>
      <c r="C2400" s="28"/>
      <c r="D2400" s="28"/>
      <c r="E2400" s="16"/>
    </row>
    <row r="2401" spans="1:5" x14ac:dyDescent="0.2">
      <c r="A2401" s="28"/>
      <c r="B2401" s="28"/>
      <c r="C2401" s="28"/>
      <c r="D2401" s="28"/>
      <c r="E2401" s="16"/>
    </row>
    <row r="2402" spans="1:5" x14ac:dyDescent="0.2">
      <c r="A2402" s="28"/>
      <c r="B2402" s="28"/>
      <c r="C2402" s="28"/>
      <c r="D2402" s="28"/>
      <c r="E2402" s="16"/>
    </row>
    <row r="2403" spans="1:5" x14ac:dyDescent="0.2">
      <c r="A2403" s="28"/>
      <c r="B2403" s="28"/>
      <c r="C2403" s="28"/>
      <c r="D2403" s="28"/>
      <c r="E2403" s="16"/>
    </row>
    <row r="2404" spans="1:5" x14ac:dyDescent="0.2">
      <c r="A2404" s="28"/>
      <c r="B2404" s="28"/>
      <c r="C2404" s="28"/>
      <c r="D2404" s="28"/>
      <c r="E2404" s="16"/>
    </row>
    <row r="2405" spans="1:5" x14ac:dyDescent="0.2">
      <c r="A2405" s="28"/>
      <c r="B2405" s="28"/>
      <c r="C2405" s="28"/>
      <c r="D2405" s="28"/>
      <c r="E2405" s="16"/>
    </row>
    <row r="2406" spans="1:5" x14ac:dyDescent="0.2">
      <c r="A2406" s="28"/>
      <c r="B2406" s="28"/>
      <c r="C2406" s="28"/>
      <c r="D2406" s="28"/>
      <c r="E2406" s="16"/>
    </row>
    <row r="2407" spans="1:5" x14ac:dyDescent="0.2">
      <c r="A2407" s="28"/>
      <c r="B2407" s="28"/>
      <c r="C2407" s="28"/>
      <c r="D2407" s="28"/>
      <c r="E2407" s="16"/>
    </row>
    <row r="2408" spans="1:5" x14ac:dyDescent="0.2">
      <c r="A2408" s="28"/>
      <c r="B2408" s="28"/>
      <c r="C2408" s="28"/>
      <c r="D2408" s="28"/>
      <c r="E2408" s="16"/>
    </row>
    <row r="2409" spans="1:5" x14ac:dyDescent="0.2">
      <c r="A2409" s="28"/>
      <c r="B2409" s="28"/>
      <c r="C2409" s="28"/>
      <c r="D2409" s="28"/>
      <c r="E2409" s="16"/>
    </row>
    <row r="2410" spans="1:5" x14ac:dyDescent="0.2">
      <c r="A2410" s="28"/>
      <c r="B2410" s="28"/>
      <c r="C2410" s="28"/>
      <c r="D2410" s="28"/>
      <c r="E2410" s="16"/>
    </row>
    <row r="2411" spans="1:5" x14ac:dyDescent="0.2">
      <c r="A2411" s="28"/>
      <c r="B2411" s="28"/>
      <c r="C2411" s="28"/>
      <c r="D2411" s="28"/>
      <c r="E2411" s="16"/>
    </row>
    <row r="2412" spans="1:5" x14ac:dyDescent="0.2">
      <c r="A2412" s="28"/>
      <c r="B2412" s="28"/>
      <c r="C2412" s="28"/>
      <c r="D2412" s="28"/>
      <c r="E2412" s="16"/>
    </row>
    <row r="2413" spans="1:5" x14ac:dyDescent="0.2">
      <c r="A2413" s="28"/>
      <c r="B2413" s="28"/>
      <c r="C2413" s="28"/>
      <c r="D2413" s="28"/>
      <c r="E2413" s="16"/>
    </row>
    <row r="2414" spans="1:5" x14ac:dyDescent="0.2">
      <c r="A2414" s="28"/>
      <c r="B2414" s="28"/>
      <c r="C2414" s="28"/>
      <c r="D2414" s="28"/>
      <c r="E2414" s="16"/>
    </row>
    <row r="2415" spans="1:5" x14ac:dyDescent="0.2">
      <c r="A2415" s="28"/>
      <c r="B2415" s="28"/>
      <c r="C2415" s="28"/>
      <c r="D2415" s="28"/>
      <c r="E2415" s="16"/>
    </row>
    <row r="2416" spans="1:5" x14ac:dyDescent="0.2">
      <c r="A2416" s="28"/>
      <c r="B2416" s="28"/>
      <c r="C2416" s="28"/>
      <c r="D2416" s="28"/>
      <c r="E2416" s="16"/>
    </row>
    <row r="2417" spans="1:5" x14ac:dyDescent="0.2">
      <c r="A2417" s="28"/>
      <c r="B2417" s="28"/>
      <c r="C2417" s="28"/>
      <c r="D2417" s="28"/>
      <c r="E2417" s="16"/>
    </row>
    <row r="2418" spans="1:5" x14ac:dyDescent="0.2">
      <c r="A2418" s="28"/>
      <c r="B2418" s="28"/>
      <c r="C2418" s="28"/>
      <c r="D2418" s="28"/>
      <c r="E2418" s="16"/>
    </row>
    <row r="2419" spans="1:5" x14ac:dyDescent="0.2">
      <c r="A2419" s="28"/>
      <c r="B2419" s="28"/>
      <c r="C2419" s="28"/>
      <c r="D2419" s="28"/>
      <c r="E2419" s="16"/>
    </row>
    <row r="2420" spans="1:5" x14ac:dyDescent="0.2">
      <c r="A2420" s="28"/>
      <c r="B2420" s="28"/>
      <c r="C2420" s="28"/>
      <c r="D2420" s="28"/>
      <c r="E2420" s="16"/>
    </row>
    <row r="2421" spans="1:5" x14ac:dyDescent="0.2">
      <c r="A2421" s="28"/>
      <c r="B2421" s="28"/>
      <c r="C2421" s="28"/>
      <c r="D2421" s="28"/>
      <c r="E2421" s="16"/>
    </row>
    <row r="2422" spans="1:5" x14ac:dyDescent="0.2">
      <c r="A2422" s="28"/>
      <c r="B2422" s="28"/>
      <c r="C2422" s="28"/>
      <c r="D2422" s="28"/>
      <c r="E2422" s="16"/>
    </row>
    <row r="2423" spans="1:5" x14ac:dyDescent="0.2">
      <c r="A2423" s="28"/>
      <c r="B2423" s="28"/>
      <c r="C2423" s="28"/>
      <c r="D2423" s="28"/>
      <c r="E2423" s="16"/>
    </row>
    <row r="2424" spans="1:5" x14ac:dyDescent="0.2">
      <c r="A2424" s="28"/>
      <c r="B2424" s="28"/>
      <c r="C2424" s="28"/>
      <c r="D2424" s="28"/>
      <c r="E2424" s="16"/>
    </row>
    <row r="2425" spans="1:5" x14ac:dyDescent="0.2">
      <c r="A2425" s="28"/>
      <c r="B2425" s="28"/>
      <c r="C2425" s="28"/>
      <c r="D2425" s="28"/>
      <c r="E2425" s="16"/>
    </row>
    <row r="2426" spans="1:5" x14ac:dyDescent="0.2">
      <c r="A2426" s="28"/>
      <c r="B2426" s="28"/>
      <c r="C2426" s="28"/>
      <c r="D2426" s="28"/>
      <c r="E2426" s="16"/>
    </row>
    <row r="2427" spans="1:5" x14ac:dyDescent="0.2">
      <c r="A2427" s="28"/>
      <c r="B2427" s="28"/>
      <c r="C2427" s="28"/>
      <c r="D2427" s="28"/>
      <c r="E2427" s="16"/>
    </row>
    <row r="2428" spans="1:5" x14ac:dyDescent="0.2">
      <c r="A2428" s="28"/>
      <c r="B2428" s="28"/>
      <c r="C2428" s="28"/>
      <c r="D2428" s="28"/>
      <c r="E2428" s="16"/>
    </row>
    <row r="2429" spans="1:5" x14ac:dyDescent="0.2">
      <c r="A2429" s="28"/>
      <c r="B2429" s="28"/>
      <c r="C2429" s="28"/>
      <c r="D2429" s="28"/>
      <c r="E2429" s="16"/>
    </row>
    <row r="2430" spans="1:5" x14ac:dyDescent="0.2">
      <c r="A2430" s="28"/>
      <c r="B2430" s="28"/>
      <c r="C2430" s="28"/>
      <c r="D2430" s="28"/>
      <c r="E2430" s="16"/>
    </row>
    <row r="2431" spans="1:5" x14ac:dyDescent="0.2">
      <c r="A2431" s="28"/>
      <c r="B2431" s="28"/>
      <c r="C2431" s="28"/>
      <c r="D2431" s="28"/>
      <c r="E2431" s="16"/>
    </row>
    <row r="2432" spans="1:5" x14ac:dyDescent="0.2">
      <c r="A2432" s="28"/>
      <c r="B2432" s="28"/>
      <c r="C2432" s="28"/>
      <c r="D2432" s="28"/>
      <c r="E2432" s="16"/>
    </row>
    <row r="2433" spans="1:5" x14ac:dyDescent="0.2">
      <c r="A2433" s="28"/>
      <c r="B2433" s="28"/>
      <c r="C2433" s="28"/>
      <c r="D2433" s="28"/>
      <c r="E2433" s="16"/>
    </row>
    <row r="2434" spans="1:5" x14ac:dyDescent="0.2">
      <c r="A2434" s="28"/>
      <c r="B2434" s="28"/>
      <c r="C2434" s="28"/>
      <c r="D2434" s="28"/>
      <c r="E2434" s="16"/>
    </row>
    <row r="2435" spans="1:5" x14ac:dyDescent="0.2">
      <c r="A2435" s="28"/>
      <c r="B2435" s="28"/>
      <c r="C2435" s="28"/>
      <c r="D2435" s="28"/>
      <c r="E2435" s="16"/>
    </row>
    <row r="2436" spans="1:5" x14ac:dyDescent="0.2">
      <c r="A2436" s="28"/>
      <c r="B2436" s="28"/>
      <c r="C2436" s="28"/>
      <c r="D2436" s="28"/>
      <c r="E2436" s="16"/>
    </row>
    <row r="2437" spans="1:5" x14ac:dyDescent="0.2">
      <c r="A2437" s="28"/>
      <c r="B2437" s="28"/>
      <c r="C2437" s="28"/>
      <c r="D2437" s="28"/>
      <c r="E2437" s="16"/>
    </row>
    <row r="2438" spans="1:5" x14ac:dyDescent="0.2">
      <c r="A2438" s="28"/>
      <c r="B2438" s="28"/>
      <c r="C2438" s="28"/>
      <c r="D2438" s="28"/>
      <c r="E2438" s="16"/>
    </row>
    <row r="2439" spans="1:5" x14ac:dyDescent="0.2">
      <c r="A2439" s="28"/>
      <c r="B2439" s="28"/>
      <c r="C2439" s="28"/>
      <c r="D2439" s="28"/>
      <c r="E2439" s="16"/>
    </row>
    <row r="2440" spans="1:5" x14ac:dyDescent="0.2">
      <c r="A2440" s="28"/>
      <c r="B2440" s="28"/>
      <c r="C2440" s="28"/>
      <c r="D2440" s="28"/>
      <c r="E2440" s="16"/>
    </row>
    <row r="2441" spans="1:5" x14ac:dyDescent="0.2">
      <c r="A2441" s="28"/>
      <c r="B2441" s="28"/>
      <c r="C2441" s="28"/>
      <c r="D2441" s="28"/>
      <c r="E2441" s="16"/>
    </row>
    <row r="2442" spans="1:5" x14ac:dyDescent="0.2">
      <c r="A2442" s="28"/>
      <c r="B2442" s="28"/>
      <c r="C2442" s="28"/>
      <c r="D2442" s="28"/>
      <c r="E2442" s="16"/>
    </row>
    <row r="2443" spans="1:5" x14ac:dyDescent="0.2">
      <c r="A2443" s="28"/>
      <c r="B2443" s="28"/>
      <c r="C2443" s="28"/>
      <c r="D2443" s="28"/>
      <c r="E2443" s="16"/>
    </row>
    <row r="2444" spans="1:5" x14ac:dyDescent="0.2">
      <c r="A2444" s="28"/>
      <c r="B2444" s="28"/>
      <c r="C2444" s="28"/>
      <c r="D2444" s="28"/>
      <c r="E2444" s="16"/>
    </row>
    <row r="2445" spans="1:5" x14ac:dyDescent="0.2">
      <c r="A2445" s="28"/>
      <c r="B2445" s="28"/>
      <c r="C2445" s="28"/>
      <c r="D2445" s="28"/>
      <c r="E2445" s="16"/>
    </row>
    <row r="2446" spans="1:5" x14ac:dyDescent="0.2">
      <c r="A2446" s="28"/>
      <c r="B2446" s="28"/>
      <c r="C2446" s="28"/>
      <c r="D2446" s="28"/>
      <c r="E2446" s="16"/>
    </row>
    <row r="2447" spans="1:5" x14ac:dyDescent="0.2">
      <c r="A2447" s="28"/>
      <c r="B2447" s="28"/>
      <c r="C2447" s="28"/>
      <c r="D2447" s="28"/>
      <c r="E2447" s="16"/>
    </row>
    <row r="2448" spans="1:5" x14ac:dyDescent="0.2">
      <c r="A2448" s="28"/>
      <c r="B2448" s="28"/>
      <c r="C2448" s="28"/>
      <c r="D2448" s="28"/>
      <c r="E2448" s="16"/>
    </row>
    <row r="2449" spans="1:5" x14ac:dyDescent="0.2">
      <c r="A2449" s="28"/>
      <c r="B2449" s="28"/>
      <c r="C2449" s="28"/>
      <c r="D2449" s="28"/>
      <c r="E2449" s="16"/>
    </row>
    <row r="2450" spans="1:5" x14ac:dyDescent="0.2">
      <c r="A2450" s="28"/>
      <c r="B2450" s="28"/>
      <c r="C2450" s="28"/>
      <c r="D2450" s="28"/>
      <c r="E2450" s="16"/>
    </row>
    <row r="2451" spans="1:5" x14ac:dyDescent="0.2">
      <c r="A2451" s="28"/>
      <c r="B2451" s="28"/>
      <c r="C2451" s="28"/>
      <c r="D2451" s="28"/>
      <c r="E2451" s="16"/>
    </row>
    <row r="2452" spans="1:5" x14ac:dyDescent="0.2">
      <c r="A2452" s="28"/>
      <c r="B2452" s="28"/>
      <c r="C2452" s="28"/>
      <c r="D2452" s="28"/>
      <c r="E2452" s="16"/>
    </row>
    <row r="2453" spans="1:5" x14ac:dyDescent="0.2">
      <c r="A2453" s="28"/>
      <c r="B2453" s="28"/>
      <c r="C2453" s="28"/>
      <c r="D2453" s="28"/>
      <c r="E2453" s="16"/>
    </row>
    <row r="2454" spans="1:5" x14ac:dyDescent="0.2">
      <c r="A2454" s="28"/>
      <c r="B2454" s="28"/>
      <c r="C2454" s="28"/>
      <c r="D2454" s="28"/>
      <c r="E2454" s="16"/>
    </row>
    <row r="2455" spans="1:5" x14ac:dyDescent="0.2">
      <c r="A2455" s="28"/>
      <c r="B2455" s="28"/>
      <c r="C2455" s="28"/>
      <c r="D2455" s="28"/>
      <c r="E2455" s="16"/>
    </row>
    <row r="2456" spans="1:5" x14ac:dyDescent="0.2">
      <c r="A2456" s="28"/>
      <c r="B2456" s="28"/>
      <c r="C2456" s="28"/>
      <c r="D2456" s="28"/>
      <c r="E2456" s="16"/>
    </row>
    <row r="2457" spans="1:5" x14ac:dyDescent="0.2">
      <c r="A2457" s="28"/>
      <c r="B2457" s="28"/>
      <c r="C2457" s="28"/>
      <c r="D2457" s="28"/>
      <c r="E2457" s="16"/>
    </row>
    <row r="2458" spans="1:5" x14ac:dyDescent="0.2">
      <c r="A2458" s="28"/>
      <c r="B2458" s="28"/>
      <c r="C2458" s="28"/>
      <c r="D2458" s="28"/>
      <c r="E2458" s="16"/>
    </row>
    <row r="2459" spans="1:5" x14ac:dyDescent="0.2">
      <c r="A2459" s="28"/>
      <c r="B2459" s="28"/>
      <c r="C2459" s="28"/>
      <c r="D2459" s="28"/>
      <c r="E2459" s="16"/>
    </row>
    <row r="2460" spans="1:5" x14ac:dyDescent="0.2">
      <c r="A2460" s="28"/>
      <c r="B2460" s="28"/>
      <c r="C2460" s="28"/>
      <c r="D2460" s="28"/>
      <c r="E2460" s="16"/>
    </row>
    <row r="2461" spans="1:5" x14ac:dyDescent="0.2">
      <c r="A2461" s="28"/>
      <c r="B2461" s="28"/>
      <c r="C2461" s="28"/>
      <c r="D2461" s="28"/>
      <c r="E2461" s="16"/>
    </row>
    <row r="2462" spans="1:5" x14ac:dyDescent="0.2">
      <c r="A2462" s="28"/>
      <c r="B2462" s="28"/>
      <c r="C2462" s="28"/>
      <c r="D2462" s="28"/>
      <c r="E2462" s="16"/>
    </row>
    <row r="2463" spans="1:5" x14ac:dyDescent="0.2">
      <c r="A2463" s="28"/>
      <c r="B2463" s="28"/>
      <c r="C2463" s="28"/>
      <c r="D2463" s="28"/>
      <c r="E2463" s="16"/>
    </row>
    <row r="2464" spans="1:5" x14ac:dyDescent="0.2">
      <c r="A2464" s="28"/>
      <c r="B2464" s="28"/>
      <c r="C2464" s="28"/>
      <c r="D2464" s="28"/>
      <c r="E2464" s="16"/>
    </row>
    <row r="2465" spans="1:5" x14ac:dyDescent="0.2">
      <c r="A2465" s="28"/>
      <c r="B2465" s="28"/>
      <c r="C2465" s="28"/>
      <c r="D2465" s="28"/>
      <c r="E2465" s="16"/>
    </row>
    <row r="2466" spans="1:5" x14ac:dyDescent="0.2">
      <c r="A2466" s="28"/>
      <c r="B2466" s="28"/>
      <c r="C2466" s="28"/>
      <c r="D2466" s="28"/>
      <c r="E2466" s="16"/>
    </row>
    <row r="2467" spans="1:5" x14ac:dyDescent="0.2">
      <c r="A2467" s="28"/>
      <c r="B2467" s="28"/>
      <c r="C2467" s="28"/>
      <c r="D2467" s="28"/>
      <c r="E2467" s="16"/>
    </row>
    <row r="2468" spans="1:5" x14ac:dyDescent="0.2">
      <c r="A2468" s="28"/>
      <c r="B2468" s="28"/>
      <c r="C2468" s="28"/>
      <c r="D2468" s="28"/>
      <c r="E2468" s="16"/>
    </row>
    <row r="2469" spans="1:5" x14ac:dyDescent="0.2">
      <c r="A2469" s="28"/>
      <c r="B2469" s="28"/>
      <c r="C2469" s="28"/>
      <c r="D2469" s="28"/>
      <c r="E2469" s="16"/>
    </row>
    <row r="2470" spans="1:5" x14ac:dyDescent="0.2">
      <c r="A2470" s="28"/>
      <c r="B2470" s="28"/>
      <c r="C2470" s="28"/>
      <c r="D2470" s="28"/>
      <c r="E2470" s="16"/>
    </row>
    <row r="2471" spans="1:5" x14ac:dyDescent="0.2">
      <c r="A2471" s="28"/>
      <c r="B2471" s="28"/>
      <c r="C2471" s="28"/>
      <c r="D2471" s="28"/>
      <c r="E2471" s="16"/>
    </row>
    <row r="2472" spans="1:5" x14ac:dyDescent="0.2">
      <c r="A2472" s="28"/>
      <c r="B2472" s="28"/>
      <c r="C2472" s="28"/>
      <c r="D2472" s="28"/>
      <c r="E2472" s="16"/>
    </row>
    <row r="2473" spans="1:5" x14ac:dyDescent="0.2">
      <c r="A2473" s="28"/>
      <c r="B2473" s="28"/>
      <c r="C2473" s="28"/>
      <c r="D2473" s="28"/>
      <c r="E2473" s="16"/>
    </row>
    <row r="2474" spans="1:5" x14ac:dyDescent="0.2">
      <c r="A2474" s="28"/>
      <c r="B2474" s="28"/>
      <c r="C2474" s="28"/>
      <c r="D2474" s="28"/>
      <c r="E2474" s="16"/>
    </row>
    <row r="2475" spans="1:5" x14ac:dyDescent="0.2">
      <c r="A2475" s="28"/>
      <c r="B2475" s="28"/>
      <c r="C2475" s="28"/>
      <c r="D2475" s="28"/>
      <c r="E2475" s="16"/>
    </row>
    <row r="2476" spans="1:5" x14ac:dyDescent="0.2">
      <c r="A2476" s="28"/>
      <c r="B2476" s="28"/>
      <c r="C2476" s="28"/>
      <c r="D2476" s="28"/>
      <c r="E2476" s="16"/>
    </row>
    <row r="2477" spans="1:5" x14ac:dyDescent="0.2">
      <c r="A2477" s="28"/>
      <c r="B2477" s="28"/>
      <c r="C2477" s="28"/>
      <c r="D2477" s="28"/>
      <c r="E2477" s="16"/>
    </row>
    <row r="2478" spans="1:5" x14ac:dyDescent="0.2">
      <c r="A2478" s="28"/>
      <c r="B2478" s="28"/>
      <c r="C2478" s="28"/>
      <c r="D2478" s="28"/>
      <c r="E2478" s="16"/>
    </row>
    <row r="2479" spans="1:5" x14ac:dyDescent="0.2">
      <c r="A2479" s="28"/>
      <c r="B2479" s="28"/>
      <c r="C2479" s="28"/>
      <c r="D2479" s="28"/>
      <c r="E2479" s="16"/>
    </row>
    <row r="2480" spans="1:5" x14ac:dyDescent="0.2">
      <c r="A2480" s="28"/>
      <c r="B2480" s="28"/>
      <c r="C2480" s="28"/>
      <c r="D2480" s="28"/>
      <c r="E2480" s="16"/>
    </row>
    <row r="2481" spans="1:5" x14ac:dyDescent="0.2">
      <c r="A2481" s="28"/>
      <c r="B2481" s="28"/>
      <c r="C2481" s="28"/>
      <c r="D2481" s="28"/>
      <c r="E2481" s="16"/>
    </row>
    <row r="2482" spans="1:5" x14ac:dyDescent="0.2">
      <c r="A2482" s="28"/>
      <c r="B2482" s="28"/>
      <c r="C2482" s="28"/>
      <c r="D2482" s="28"/>
      <c r="E2482" s="16"/>
    </row>
    <row r="2483" spans="1:5" x14ac:dyDescent="0.2">
      <c r="A2483" s="28"/>
      <c r="B2483" s="28"/>
      <c r="C2483" s="28"/>
      <c r="D2483" s="28"/>
      <c r="E2483" s="16"/>
    </row>
    <row r="2484" spans="1:5" x14ac:dyDescent="0.2">
      <c r="A2484" s="28"/>
      <c r="B2484" s="28"/>
      <c r="C2484" s="28"/>
      <c r="D2484" s="28"/>
      <c r="E2484" s="16"/>
    </row>
    <row r="2485" spans="1:5" x14ac:dyDescent="0.2">
      <c r="A2485" s="28"/>
      <c r="B2485" s="28"/>
      <c r="C2485" s="28"/>
      <c r="D2485" s="28"/>
      <c r="E2485" s="16"/>
    </row>
    <row r="2486" spans="1:5" x14ac:dyDescent="0.2">
      <c r="A2486" s="28"/>
      <c r="B2486" s="28"/>
      <c r="C2486" s="28"/>
      <c r="D2486" s="28"/>
      <c r="E2486" s="16"/>
    </row>
    <row r="2487" spans="1:5" x14ac:dyDescent="0.2">
      <c r="A2487" s="28"/>
      <c r="B2487" s="28"/>
      <c r="C2487" s="28"/>
      <c r="D2487" s="28"/>
      <c r="E2487" s="16"/>
    </row>
    <row r="2488" spans="1:5" x14ac:dyDescent="0.2">
      <c r="A2488" s="28"/>
      <c r="B2488" s="28"/>
      <c r="C2488" s="28"/>
      <c r="D2488" s="28"/>
      <c r="E2488" s="16"/>
    </row>
    <row r="2489" spans="1:5" x14ac:dyDescent="0.2">
      <c r="A2489" s="28"/>
      <c r="B2489" s="28"/>
      <c r="C2489" s="28"/>
      <c r="D2489" s="28"/>
      <c r="E2489" s="16"/>
    </row>
    <row r="2490" spans="1:5" x14ac:dyDescent="0.2">
      <c r="A2490" s="28"/>
      <c r="B2490" s="28"/>
      <c r="C2490" s="28"/>
      <c r="D2490" s="28"/>
      <c r="E2490" s="16"/>
    </row>
    <row r="2491" spans="1:5" x14ac:dyDescent="0.2">
      <c r="A2491" s="28"/>
      <c r="B2491" s="28"/>
      <c r="C2491" s="28"/>
      <c r="D2491" s="28"/>
      <c r="E2491" s="16"/>
    </row>
    <row r="2492" spans="1:5" x14ac:dyDescent="0.2">
      <c r="A2492" s="28"/>
      <c r="B2492" s="28"/>
      <c r="C2492" s="28"/>
      <c r="D2492" s="28"/>
      <c r="E2492" s="16"/>
    </row>
    <row r="2493" spans="1:5" x14ac:dyDescent="0.2">
      <c r="A2493" s="28"/>
      <c r="B2493" s="28"/>
      <c r="C2493" s="28"/>
      <c r="D2493" s="28"/>
      <c r="E2493" s="16"/>
    </row>
    <row r="2494" spans="1:5" x14ac:dyDescent="0.2">
      <c r="A2494" s="28"/>
      <c r="B2494" s="28"/>
      <c r="C2494" s="28"/>
      <c r="D2494" s="28"/>
      <c r="E2494" s="16"/>
    </row>
    <row r="2495" spans="1:5" x14ac:dyDescent="0.2">
      <c r="A2495" s="28"/>
      <c r="B2495" s="28"/>
      <c r="C2495" s="28"/>
      <c r="D2495" s="28"/>
      <c r="E2495" s="16"/>
    </row>
    <row r="2496" spans="1:5" x14ac:dyDescent="0.2">
      <c r="A2496" s="28"/>
      <c r="B2496" s="28"/>
      <c r="C2496" s="28"/>
      <c r="D2496" s="28"/>
      <c r="E2496" s="16"/>
    </row>
    <row r="2497" spans="1:5" x14ac:dyDescent="0.2">
      <c r="A2497" s="28"/>
      <c r="B2497" s="28"/>
      <c r="C2497" s="28"/>
      <c r="D2497" s="28"/>
      <c r="E2497" s="16"/>
    </row>
    <row r="2498" spans="1:5" x14ac:dyDescent="0.2">
      <c r="A2498" s="28"/>
      <c r="B2498" s="28"/>
      <c r="C2498" s="28"/>
      <c r="D2498" s="28"/>
      <c r="E2498" s="16"/>
    </row>
    <row r="2499" spans="1:5" x14ac:dyDescent="0.2">
      <c r="A2499" s="28"/>
      <c r="B2499" s="28"/>
      <c r="C2499" s="28"/>
      <c r="D2499" s="28"/>
      <c r="E2499" s="16"/>
    </row>
    <row r="2500" spans="1:5" x14ac:dyDescent="0.2">
      <c r="A2500" s="28"/>
      <c r="B2500" s="28"/>
      <c r="C2500" s="28"/>
      <c r="D2500" s="28"/>
      <c r="E2500" s="16"/>
    </row>
    <row r="2501" spans="1:5" x14ac:dyDescent="0.2">
      <c r="A2501" s="28"/>
      <c r="B2501" s="28"/>
      <c r="C2501" s="28"/>
      <c r="D2501" s="28"/>
      <c r="E2501" s="16"/>
    </row>
    <row r="2502" spans="1:5" x14ac:dyDescent="0.2">
      <c r="A2502" s="28"/>
      <c r="B2502" s="28"/>
      <c r="C2502" s="28"/>
      <c r="D2502" s="28"/>
      <c r="E2502" s="16"/>
    </row>
    <row r="2503" spans="1:5" x14ac:dyDescent="0.2">
      <c r="A2503" s="28"/>
      <c r="B2503" s="28"/>
      <c r="C2503" s="28"/>
      <c r="D2503" s="28"/>
      <c r="E2503" s="16"/>
    </row>
    <row r="2504" spans="1:5" x14ac:dyDescent="0.2">
      <c r="A2504" s="28"/>
      <c r="B2504" s="28"/>
      <c r="C2504" s="28"/>
      <c r="D2504" s="28"/>
      <c r="E2504" s="16"/>
    </row>
    <row r="2505" spans="1:5" x14ac:dyDescent="0.2">
      <c r="A2505" s="28"/>
      <c r="B2505" s="28"/>
      <c r="C2505" s="28"/>
      <c r="D2505" s="28"/>
      <c r="E2505" s="16"/>
    </row>
    <row r="2506" spans="1:5" x14ac:dyDescent="0.2">
      <c r="A2506" s="28"/>
      <c r="B2506" s="28"/>
      <c r="C2506" s="28"/>
      <c r="D2506" s="28"/>
      <c r="E2506" s="16"/>
    </row>
    <row r="2507" spans="1:5" x14ac:dyDescent="0.2">
      <c r="A2507" s="28"/>
      <c r="B2507" s="28"/>
      <c r="C2507" s="28"/>
      <c r="D2507" s="28"/>
      <c r="E2507" s="16"/>
    </row>
    <row r="2508" spans="1:5" x14ac:dyDescent="0.2">
      <c r="A2508" s="28"/>
      <c r="B2508" s="28"/>
      <c r="C2508" s="28"/>
      <c r="D2508" s="28"/>
      <c r="E2508" s="16"/>
    </row>
    <row r="2509" spans="1:5" x14ac:dyDescent="0.2">
      <c r="A2509" s="28"/>
      <c r="B2509" s="28"/>
      <c r="C2509" s="28"/>
      <c r="D2509" s="28"/>
      <c r="E2509" s="16"/>
    </row>
    <row r="2510" spans="1:5" x14ac:dyDescent="0.2">
      <c r="A2510" s="28"/>
      <c r="B2510" s="28"/>
      <c r="C2510" s="28"/>
      <c r="D2510" s="28"/>
      <c r="E2510" s="16"/>
    </row>
    <row r="2511" spans="1:5" x14ac:dyDescent="0.2">
      <c r="A2511" s="28"/>
      <c r="B2511" s="28"/>
      <c r="C2511" s="28"/>
      <c r="D2511" s="28"/>
      <c r="E2511" s="16"/>
    </row>
    <row r="2512" spans="1:5" x14ac:dyDescent="0.2">
      <c r="A2512" s="28"/>
      <c r="B2512" s="28"/>
      <c r="C2512" s="28"/>
      <c r="D2512" s="28"/>
      <c r="E2512" s="16"/>
    </row>
    <row r="2513" spans="1:5" x14ac:dyDescent="0.2">
      <c r="A2513" s="28"/>
      <c r="B2513" s="28"/>
      <c r="C2513" s="28"/>
      <c r="D2513" s="28"/>
      <c r="E2513" s="16"/>
    </row>
    <row r="2514" spans="1:5" x14ac:dyDescent="0.2">
      <c r="A2514" s="28"/>
      <c r="B2514" s="28"/>
      <c r="C2514" s="28"/>
      <c r="D2514" s="28"/>
      <c r="E2514" s="16"/>
    </row>
    <row r="2515" spans="1:5" x14ac:dyDescent="0.2">
      <c r="A2515" s="28"/>
      <c r="B2515" s="28"/>
      <c r="C2515" s="28"/>
      <c r="D2515" s="28"/>
      <c r="E2515" s="16"/>
    </row>
    <row r="2516" spans="1:5" x14ac:dyDescent="0.2">
      <c r="A2516" s="28"/>
      <c r="B2516" s="28"/>
      <c r="C2516" s="28"/>
      <c r="D2516" s="28"/>
      <c r="E2516" s="16"/>
    </row>
    <row r="2517" spans="1:5" x14ac:dyDescent="0.2">
      <c r="A2517" s="28"/>
      <c r="B2517" s="28"/>
      <c r="C2517" s="28"/>
      <c r="D2517" s="28"/>
      <c r="E2517" s="16"/>
    </row>
    <row r="2518" spans="1:5" x14ac:dyDescent="0.2">
      <c r="A2518" s="28"/>
      <c r="B2518" s="28"/>
      <c r="C2518" s="28"/>
      <c r="D2518" s="28"/>
      <c r="E2518" s="16"/>
    </row>
    <row r="2519" spans="1:5" x14ac:dyDescent="0.2">
      <c r="A2519" s="28"/>
      <c r="B2519" s="28"/>
      <c r="C2519" s="28"/>
      <c r="D2519" s="28"/>
      <c r="E2519" s="16"/>
    </row>
    <row r="2520" spans="1:5" x14ac:dyDescent="0.2">
      <c r="A2520" s="28"/>
      <c r="B2520" s="28"/>
      <c r="C2520" s="28"/>
      <c r="D2520" s="28"/>
      <c r="E2520" s="16"/>
    </row>
    <row r="2521" spans="1:5" x14ac:dyDescent="0.2">
      <c r="A2521" s="28"/>
      <c r="B2521" s="28"/>
      <c r="C2521" s="28"/>
      <c r="D2521" s="28"/>
      <c r="E2521" s="16"/>
    </row>
    <row r="2522" spans="1:5" x14ac:dyDescent="0.2">
      <c r="A2522" s="28"/>
      <c r="B2522" s="28"/>
      <c r="C2522" s="28"/>
      <c r="D2522" s="28"/>
      <c r="E2522" s="16"/>
    </row>
    <row r="2523" spans="1:5" x14ac:dyDescent="0.2">
      <c r="A2523" s="28"/>
      <c r="B2523" s="28"/>
      <c r="C2523" s="28"/>
      <c r="D2523" s="28"/>
      <c r="E2523" s="16"/>
    </row>
    <row r="2524" spans="1:5" x14ac:dyDescent="0.2">
      <c r="A2524" s="28"/>
      <c r="B2524" s="28"/>
      <c r="C2524" s="28"/>
      <c r="D2524" s="28"/>
      <c r="E2524" s="16"/>
    </row>
    <row r="2525" spans="1:5" x14ac:dyDescent="0.2">
      <c r="A2525" s="28"/>
      <c r="B2525" s="28"/>
      <c r="C2525" s="28"/>
      <c r="D2525" s="28"/>
      <c r="E2525" s="16"/>
    </row>
    <row r="2526" spans="1:5" x14ac:dyDescent="0.2">
      <c r="A2526" s="28"/>
      <c r="B2526" s="28"/>
      <c r="C2526" s="28"/>
      <c r="D2526" s="28"/>
      <c r="E2526" s="16"/>
    </row>
    <row r="2527" spans="1:5" x14ac:dyDescent="0.2">
      <c r="A2527" s="28"/>
      <c r="B2527" s="28"/>
      <c r="C2527" s="28"/>
      <c r="D2527" s="28"/>
      <c r="E2527" s="16"/>
    </row>
    <row r="2528" spans="1:5" x14ac:dyDescent="0.2">
      <c r="A2528" s="28"/>
      <c r="B2528" s="28"/>
      <c r="C2528" s="28"/>
      <c r="D2528" s="28"/>
      <c r="E2528" s="16"/>
    </row>
    <row r="2529" spans="1:5" x14ac:dyDescent="0.2">
      <c r="A2529" s="28"/>
      <c r="B2529" s="28"/>
      <c r="C2529" s="28"/>
      <c r="D2529" s="28"/>
      <c r="E2529" s="16"/>
    </row>
    <row r="2530" spans="1:5" x14ac:dyDescent="0.2">
      <c r="A2530" s="28"/>
      <c r="B2530" s="28"/>
      <c r="C2530" s="28"/>
      <c r="D2530" s="28"/>
      <c r="E2530" s="16"/>
    </row>
    <row r="2531" spans="1:5" x14ac:dyDescent="0.2">
      <c r="A2531" s="28"/>
      <c r="B2531" s="28"/>
      <c r="C2531" s="28"/>
      <c r="D2531" s="28"/>
      <c r="E2531" s="16"/>
    </row>
    <row r="2532" spans="1:5" x14ac:dyDescent="0.2">
      <c r="A2532" s="28"/>
      <c r="B2532" s="28"/>
      <c r="C2532" s="28"/>
      <c r="D2532" s="28"/>
      <c r="E2532" s="16"/>
    </row>
    <row r="2533" spans="1:5" x14ac:dyDescent="0.2">
      <c r="A2533" s="28"/>
      <c r="B2533" s="28"/>
      <c r="C2533" s="28"/>
      <c r="D2533" s="28"/>
      <c r="E2533" s="16"/>
    </row>
    <row r="2534" spans="1:5" x14ac:dyDescent="0.2">
      <c r="A2534" s="28"/>
      <c r="B2534" s="28"/>
      <c r="C2534" s="28"/>
      <c r="D2534" s="28"/>
      <c r="E2534" s="16"/>
    </row>
    <row r="2535" spans="1:5" x14ac:dyDescent="0.2">
      <c r="A2535" s="28"/>
      <c r="B2535" s="28"/>
      <c r="C2535" s="28"/>
      <c r="D2535" s="28"/>
      <c r="E2535" s="16"/>
    </row>
    <row r="2536" spans="1:5" x14ac:dyDescent="0.2">
      <c r="A2536" s="28"/>
      <c r="B2536" s="28"/>
      <c r="C2536" s="28"/>
      <c r="D2536" s="28"/>
      <c r="E2536" s="16"/>
    </row>
    <row r="2537" spans="1:5" x14ac:dyDescent="0.2">
      <c r="A2537" s="28"/>
      <c r="B2537" s="28"/>
      <c r="C2537" s="28"/>
      <c r="D2537" s="28"/>
      <c r="E2537" s="16"/>
    </row>
    <row r="2538" spans="1:5" x14ac:dyDescent="0.2">
      <c r="A2538" s="28"/>
      <c r="B2538" s="28"/>
      <c r="C2538" s="28"/>
      <c r="D2538" s="28"/>
      <c r="E2538" s="16"/>
    </row>
    <row r="2539" spans="1:5" x14ac:dyDescent="0.2">
      <c r="A2539" s="28"/>
      <c r="B2539" s="28"/>
      <c r="C2539" s="28"/>
      <c r="D2539" s="28"/>
      <c r="E2539" s="16"/>
    </row>
    <row r="2540" spans="1:5" x14ac:dyDescent="0.2">
      <c r="A2540" s="28"/>
      <c r="B2540" s="28"/>
      <c r="C2540" s="28"/>
      <c r="D2540" s="28"/>
      <c r="E2540" s="16"/>
    </row>
    <row r="2541" spans="1:5" x14ac:dyDescent="0.2">
      <c r="A2541" s="28"/>
      <c r="B2541" s="28"/>
      <c r="C2541" s="28"/>
      <c r="D2541" s="28"/>
      <c r="E2541" s="16"/>
    </row>
    <row r="2542" spans="1:5" x14ac:dyDescent="0.2">
      <c r="A2542" s="28"/>
      <c r="B2542" s="28"/>
      <c r="C2542" s="28"/>
      <c r="D2542" s="28"/>
      <c r="E2542" s="16"/>
    </row>
    <row r="2543" spans="1:5" x14ac:dyDescent="0.2">
      <c r="A2543" s="28"/>
      <c r="B2543" s="28"/>
      <c r="C2543" s="28"/>
      <c r="D2543" s="28"/>
      <c r="E2543" s="16"/>
    </row>
    <row r="2544" spans="1:5" x14ac:dyDescent="0.2">
      <c r="A2544" s="28"/>
      <c r="B2544" s="28"/>
      <c r="C2544" s="28"/>
      <c r="D2544" s="28"/>
      <c r="E2544" s="16"/>
    </row>
    <row r="2545" spans="1:5" x14ac:dyDescent="0.2">
      <c r="A2545" s="28"/>
      <c r="B2545" s="28"/>
      <c r="C2545" s="28"/>
      <c r="D2545" s="28"/>
      <c r="E2545" s="16"/>
    </row>
    <row r="2546" spans="1:5" x14ac:dyDescent="0.2">
      <c r="A2546" s="28"/>
      <c r="B2546" s="28"/>
      <c r="C2546" s="28"/>
      <c r="D2546" s="28"/>
      <c r="E2546" s="16"/>
    </row>
    <row r="2547" spans="1:5" x14ac:dyDescent="0.2">
      <c r="A2547" s="28"/>
      <c r="B2547" s="28"/>
      <c r="C2547" s="28"/>
      <c r="D2547" s="28"/>
      <c r="E2547" s="16"/>
    </row>
    <row r="2548" spans="1:5" x14ac:dyDescent="0.2">
      <c r="A2548" s="28"/>
      <c r="B2548" s="28"/>
      <c r="C2548" s="28"/>
      <c r="D2548" s="28"/>
      <c r="E2548" s="16"/>
    </row>
    <row r="2549" spans="1:5" x14ac:dyDescent="0.2">
      <c r="A2549" s="28"/>
      <c r="B2549" s="28"/>
      <c r="C2549" s="28"/>
      <c r="D2549" s="28"/>
      <c r="E2549" s="16"/>
    </row>
    <row r="2550" spans="1:5" x14ac:dyDescent="0.2">
      <c r="A2550" s="28"/>
      <c r="B2550" s="28"/>
      <c r="C2550" s="28"/>
      <c r="D2550" s="28"/>
      <c r="E2550" s="16"/>
    </row>
    <row r="2551" spans="1:5" x14ac:dyDescent="0.2">
      <c r="A2551" s="28"/>
      <c r="B2551" s="28"/>
      <c r="C2551" s="28"/>
      <c r="D2551" s="28"/>
      <c r="E2551" s="16"/>
    </row>
    <row r="2552" spans="1:5" x14ac:dyDescent="0.2">
      <c r="A2552" s="28"/>
      <c r="B2552" s="28"/>
      <c r="C2552" s="28"/>
      <c r="D2552" s="28"/>
      <c r="E2552" s="16"/>
    </row>
    <row r="2553" spans="1:5" x14ac:dyDescent="0.2">
      <c r="A2553" s="28"/>
      <c r="B2553" s="28"/>
      <c r="C2553" s="28"/>
      <c r="D2553" s="28"/>
      <c r="E2553" s="16"/>
    </row>
    <row r="2554" spans="1:5" x14ac:dyDescent="0.2">
      <c r="A2554" s="28"/>
      <c r="B2554" s="28"/>
      <c r="C2554" s="28"/>
      <c r="D2554" s="28"/>
      <c r="E2554" s="16"/>
    </row>
    <row r="2555" spans="1:5" x14ac:dyDescent="0.2">
      <c r="A2555" s="28"/>
      <c r="B2555" s="28"/>
      <c r="C2555" s="28"/>
      <c r="D2555" s="28"/>
      <c r="E2555" s="16"/>
    </row>
    <row r="2556" spans="1:5" x14ac:dyDescent="0.2">
      <c r="A2556" s="28"/>
      <c r="B2556" s="28"/>
      <c r="C2556" s="28"/>
      <c r="D2556" s="28"/>
      <c r="E2556" s="16"/>
    </row>
    <row r="2557" spans="1:5" x14ac:dyDescent="0.2">
      <c r="A2557" s="28"/>
      <c r="B2557" s="28"/>
      <c r="C2557" s="28"/>
      <c r="D2557" s="28"/>
      <c r="E2557" s="16"/>
    </row>
    <row r="2558" spans="1:5" x14ac:dyDescent="0.2">
      <c r="A2558" s="28"/>
      <c r="B2558" s="28"/>
      <c r="C2558" s="28"/>
      <c r="D2558" s="28"/>
      <c r="E2558" s="16"/>
    </row>
    <row r="2559" spans="1:5" x14ac:dyDescent="0.2">
      <c r="A2559" s="28"/>
      <c r="B2559" s="28"/>
      <c r="C2559" s="28"/>
      <c r="D2559" s="28"/>
      <c r="E2559" s="16"/>
    </row>
    <row r="2560" spans="1:5" x14ac:dyDescent="0.2">
      <c r="A2560" s="28"/>
      <c r="B2560" s="28"/>
      <c r="C2560" s="28"/>
      <c r="D2560" s="28"/>
      <c r="E2560" s="16"/>
    </row>
    <row r="2561" spans="1:5" x14ac:dyDescent="0.2">
      <c r="A2561" s="28"/>
      <c r="B2561" s="28"/>
      <c r="C2561" s="28"/>
      <c r="D2561" s="28"/>
      <c r="E2561" s="16"/>
    </row>
    <row r="2562" spans="1:5" x14ac:dyDescent="0.2">
      <c r="A2562" s="28"/>
      <c r="B2562" s="28"/>
      <c r="C2562" s="28"/>
      <c r="D2562" s="28"/>
      <c r="E2562" s="16"/>
    </row>
    <row r="2563" spans="1:5" x14ac:dyDescent="0.2">
      <c r="A2563" s="28"/>
      <c r="B2563" s="28"/>
      <c r="C2563" s="28"/>
      <c r="D2563" s="28"/>
      <c r="E2563" s="16"/>
    </row>
    <row r="2564" spans="1:5" x14ac:dyDescent="0.2">
      <c r="A2564" s="28"/>
      <c r="B2564" s="28"/>
      <c r="C2564" s="28"/>
      <c r="D2564" s="28"/>
      <c r="E2564" s="16"/>
    </row>
    <row r="2565" spans="1:5" x14ac:dyDescent="0.2">
      <c r="A2565" s="28"/>
      <c r="B2565" s="28"/>
      <c r="C2565" s="28"/>
      <c r="D2565" s="28"/>
      <c r="E2565" s="16"/>
    </row>
    <row r="2566" spans="1:5" x14ac:dyDescent="0.2">
      <c r="A2566" s="28"/>
      <c r="B2566" s="28"/>
      <c r="C2566" s="28"/>
      <c r="D2566" s="28"/>
      <c r="E2566" s="16"/>
    </row>
    <row r="2567" spans="1:5" x14ac:dyDescent="0.2">
      <c r="A2567" s="28"/>
      <c r="B2567" s="28"/>
      <c r="C2567" s="28"/>
      <c r="D2567" s="28"/>
      <c r="E2567" s="16"/>
    </row>
    <row r="2568" spans="1:5" x14ac:dyDescent="0.2">
      <c r="A2568" s="28"/>
      <c r="B2568" s="28"/>
      <c r="C2568" s="28"/>
      <c r="D2568" s="28"/>
      <c r="E2568" s="16"/>
    </row>
    <row r="2569" spans="1:5" x14ac:dyDescent="0.2">
      <c r="A2569" s="28"/>
      <c r="B2569" s="28"/>
      <c r="C2569" s="28"/>
      <c r="D2569" s="28"/>
      <c r="E2569" s="16"/>
    </row>
    <row r="2570" spans="1:5" x14ac:dyDescent="0.2">
      <c r="A2570" s="28"/>
      <c r="B2570" s="28"/>
      <c r="C2570" s="28"/>
      <c r="D2570" s="28"/>
      <c r="E2570" s="16"/>
    </row>
    <row r="2571" spans="1:5" x14ac:dyDescent="0.2">
      <c r="A2571" s="28"/>
      <c r="B2571" s="28"/>
      <c r="C2571" s="28"/>
      <c r="D2571" s="28"/>
      <c r="E2571" s="16"/>
    </row>
    <row r="2572" spans="1:5" x14ac:dyDescent="0.2">
      <c r="A2572" s="28"/>
      <c r="B2572" s="28"/>
      <c r="C2572" s="28"/>
      <c r="D2572" s="28"/>
      <c r="E2572" s="16"/>
    </row>
    <row r="2573" spans="1:5" x14ac:dyDescent="0.2">
      <c r="A2573" s="28"/>
      <c r="B2573" s="28"/>
      <c r="C2573" s="28"/>
      <c r="D2573" s="28"/>
      <c r="E2573" s="16"/>
    </row>
    <row r="2574" spans="1:5" x14ac:dyDescent="0.2">
      <c r="A2574" s="28"/>
      <c r="B2574" s="28"/>
      <c r="C2574" s="28"/>
      <c r="D2574" s="28"/>
      <c r="E2574" s="16"/>
    </row>
    <row r="2575" spans="1:5" x14ac:dyDescent="0.2">
      <c r="A2575" s="28"/>
      <c r="B2575" s="28"/>
      <c r="C2575" s="28"/>
      <c r="D2575" s="28"/>
      <c r="E2575" s="16"/>
    </row>
    <row r="2576" spans="1:5" x14ac:dyDescent="0.2">
      <c r="A2576" s="28"/>
      <c r="B2576" s="28"/>
      <c r="C2576" s="28"/>
      <c r="D2576" s="28"/>
      <c r="E2576" s="16"/>
    </row>
    <row r="2577" spans="1:5" x14ac:dyDescent="0.2">
      <c r="A2577" s="28"/>
      <c r="B2577" s="28"/>
      <c r="C2577" s="28"/>
      <c r="D2577" s="28"/>
      <c r="E2577" s="16"/>
    </row>
    <row r="2578" spans="1:5" x14ac:dyDescent="0.2">
      <c r="A2578" s="28"/>
      <c r="B2578" s="28"/>
      <c r="C2578" s="28"/>
      <c r="D2578" s="28"/>
      <c r="E2578" s="16"/>
    </row>
    <row r="2579" spans="1:5" x14ac:dyDescent="0.2">
      <c r="A2579" s="28"/>
      <c r="B2579" s="28"/>
      <c r="C2579" s="28"/>
      <c r="D2579" s="28"/>
      <c r="E2579" s="16"/>
    </row>
    <row r="2580" spans="1:5" x14ac:dyDescent="0.2">
      <c r="A2580" s="28"/>
      <c r="B2580" s="28"/>
      <c r="C2580" s="28"/>
      <c r="D2580" s="28"/>
      <c r="E2580" s="16"/>
    </row>
    <row r="2581" spans="1:5" x14ac:dyDescent="0.2">
      <c r="A2581" s="28"/>
      <c r="B2581" s="28"/>
      <c r="C2581" s="28"/>
      <c r="D2581" s="28"/>
      <c r="E2581" s="16"/>
    </row>
    <row r="2582" spans="1:5" x14ac:dyDescent="0.2">
      <c r="A2582" s="28"/>
      <c r="B2582" s="28"/>
      <c r="C2582" s="28"/>
      <c r="D2582" s="28"/>
      <c r="E2582" s="16"/>
    </row>
    <row r="2583" spans="1:5" x14ac:dyDescent="0.2">
      <c r="A2583" s="28"/>
      <c r="B2583" s="28"/>
      <c r="C2583" s="28"/>
      <c r="D2583" s="28"/>
      <c r="E2583" s="16"/>
    </row>
    <row r="2584" spans="1:5" x14ac:dyDescent="0.2">
      <c r="A2584" s="28"/>
      <c r="B2584" s="28"/>
      <c r="C2584" s="28"/>
      <c r="D2584" s="28"/>
      <c r="E2584" s="16"/>
    </row>
    <row r="2585" spans="1:5" x14ac:dyDescent="0.2">
      <c r="A2585" s="28"/>
      <c r="B2585" s="28"/>
      <c r="C2585" s="28"/>
      <c r="D2585" s="28"/>
      <c r="E2585" s="16"/>
    </row>
    <row r="2586" spans="1:5" x14ac:dyDescent="0.2">
      <c r="A2586" s="28"/>
      <c r="B2586" s="28"/>
      <c r="C2586" s="28"/>
      <c r="D2586" s="28"/>
      <c r="E2586" s="16"/>
    </row>
    <row r="2587" spans="1:5" x14ac:dyDescent="0.2">
      <c r="A2587" s="28"/>
      <c r="B2587" s="28"/>
      <c r="C2587" s="28"/>
      <c r="D2587" s="28"/>
      <c r="E2587" s="16"/>
    </row>
    <row r="2588" spans="1:5" x14ac:dyDescent="0.2">
      <c r="A2588" s="28"/>
      <c r="B2588" s="28"/>
      <c r="C2588" s="28"/>
      <c r="D2588" s="28"/>
      <c r="E2588" s="16"/>
    </row>
    <row r="2589" spans="1:5" x14ac:dyDescent="0.2">
      <c r="A2589" s="28"/>
      <c r="B2589" s="28"/>
      <c r="C2589" s="28"/>
      <c r="D2589" s="28"/>
      <c r="E2589" s="16"/>
    </row>
    <row r="2590" spans="1:5" x14ac:dyDescent="0.2">
      <c r="A2590" s="28"/>
      <c r="B2590" s="28"/>
      <c r="C2590" s="28"/>
      <c r="D2590" s="28"/>
      <c r="E2590" s="16"/>
    </row>
    <row r="2591" spans="1:5" x14ac:dyDescent="0.2">
      <c r="A2591" s="28"/>
      <c r="B2591" s="28"/>
      <c r="C2591" s="28"/>
      <c r="D2591" s="28"/>
      <c r="E2591" s="16"/>
    </row>
    <row r="2592" spans="1:5" x14ac:dyDescent="0.2">
      <c r="A2592" s="28"/>
      <c r="B2592" s="28"/>
      <c r="C2592" s="28"/>
      <c r="D2592" s="28"/>
      <c r="E2592" s="16"/>
    </row>
    <row r="2593" spans="1:5" x14ac:dyDescent="0.2">
      <c r="A2593" s="28"/>
      <c r="B2593" s="28"/>
      <c r="C2593" s="28"/>
      <c r="D2593" s="28"/>
      <c r="E2593" s="16"/>
    </row>
    <row r="2594" spans="1:5" x14ac:dyDescent="0.2">
      <c r="A2594" s="28"/>
      <c r="B2594" s="28"/>
      <c r="C2594" s="28"/>
      <c r="D2594" s="28"/>
      <c r="E2594" s="16"/>
    </row>
    <row r="2595" spans="1:5" x14ac:dyDescent="0.2">
      <c r="A2595" s="28"/>
      <c r="B2595" s="28"/>
      <c r="C2595" s="28"/>
      <c r="D2595" s="28"/>
      <c r="E2595" s="16"/>
    </row>
    <row r="2596" spans="1:5" x14ac:dyDescent="0.2">
      <c r="A2596" s="28"/>
      <c r="B2596" s="28"/>
      <c r="C2596" s="28"/>
      <c r="D2596" s="28"/>
      <c r="E2596" s="16"/>
    </row>
    <row r="2597" spans="1:5" x14ac:dyDescent="0.2">
      <c r="A2597" s="28"/>
      <c r="B2597" s="28"/>
      <c r="C2597" s="28"/>
      <c r="D2597" s="28"/>
      <c r="E2597" s="16"/>
    </row>
    <row r="2598" spans="1:5" x14ac:dyDescent="0.2">
      <c r="A2598" s="28"/>
      <c r="B2598" s="28"/>
      <c r="C2598" s="28"/>
      <c r="D2598" s="28"/>
      <c r="E2598" s="16"/>
    </row>
    <row r="2599" spans="1:5" x14ac:dyDescent="0.2">
      <c r="A2599" s="28"/>
      <c r="B2599" s="28"/>
      <c r="C2599" s="28"/>
      <c r="D2599" s="28"/>
      <c r="E2599" s="16"/>
    </row>
    <row r="2600" spans="1:5" x14ac:dyDescent="0.2">
      <c r="A2600" s="28"/>
      <c r="B2600" s="28"/>
      <c r="C2600" s="28"/>
      <c r="D2600" s="28"/>
      <c r="E2600" s="16"/>
    </row>
    <row r="2601" spans="1:5" x14ac:dyDescent="0.2">
      <c r="A2601" s="28"/>
      <c r="B2601" s="28"/>
      <c r="C2601" s="28"/>
      <c r="D2601" s="28"/>
      <c r="E2601" s="16"/>
    </row>
    <row r="2602" spans="1:5" x14ac:dyDescent="0.2">
      <c r="A2602" s="28"/>
      <c r="B2602" s="28"/>
      <c r="C2602" s="28"/>
      <c r="D2602" s="28"/>
      <c r="E2602" s="16"/>
    </row>
    <row r="2603" spans="1:5" x14ac:dyDescent="0.2">
      <c r="A2603" s="28"/>
      <c r="B2603" s="28"/>
      <c r="C2603" s="28"/>
      <c r="D2603" s="28"/>
      <c r="E2603" s="16"/>
    </row>
    <row r="2604" spans="1:5" x14ac:dyDescent="0.2">
      <c r="A2604" s="28"/>
      <c r="B2604" s="28"/>
      <c r="C2604" s="28"/>
      <c r="D2604" s="28"/>
      <c r="E2604" s="16"/>
    </row>
    <row r="2605" spans="1:5" x14ac:dyDescent="0.2">
      <c r="A2605" s="28"/>
      <c r="B2605" s="28"/>
      <c r="C2605" s="28"/>
      <c r="D2605" s="28"/>
      <c r="E2605" s="16"/>
    </row>
    <row r="2606" spans="1:5" x14ac:dyDescent="0.2">
      <c r="A2606" s="28"/>
      <c r="B2606" s="28"/>
      <c r="C2606" s="28"/>
      <c r="D2606" s="28"/>
      <c r="E2606" s="16"/>
    </row>
    <row r="2607" spans="1:5" x14ac:dyDescent="0.2">
      <c r="A2607" s="28"/>
      <c r="B2607" s="28"/>
      <c r="C2607" s="28"/>
      <c r="D2607" s="28"/>
      <c r="E2607" s="16"/>
    </row>
    <row r="2608" spans="1:5" x14ac:dyDescent="0.2">
      <c r="A2608" s="28"/>
      <c r="B2608" s="28"/>
      <c r="C2608" s="28"/>
      <c r="D2608" s="28"/>
      <c r="E2608" s="16"/>
    </row>
    <row r="2609" spans="1:5" x14ac:dyDescent="0.2">
      <c r="A2609" s="28"/>
      <c r="B2609" s="28"/>
      <c r="C2609" s="28"/>
      <c r="D2609" s="28"/>
      <c r="E2609" s="16"/>
    </row>
    <row r="2610" spans="1:5" x14ac:dyDescent="0.2">
      <c r="A2610" s="28"/>
      <c r="B2610" s="28"/>
      <c r="C2610" s="28"/>
      <c r="D2610" s="28"/>
      <c r="E2610" s="16"/>
    </row>
    <row r="2611" spans="1:5" x14ac:dyDescent="0.2">
      <c r="A2611" s="28"/>
      <c r="B2611" s="28"/>
      <c r="C2611" s="28"/>
      <c r="D2611" s="28"/>
      <c r="E2611" s="16"/>
    </row>
    <row r="2612" spans="1:5" x14ac:dyDescent="0.2">
      <c r="A2612" s="28"/>
      <c r="B2612" s="28"/>
      <c r="C2612" s="28"/>
      <c r="D2612" s="28"/>
      <c r="E2612" s="16"/>
    </row>
    <row r="2613" spans="1:5" x14ac:dyDescent="0.2">
      <c r="A2613" s="28"/>
      <c r="B2613" s="28"/>
      <c r="C2613" s="28"/>
      <c r="D2613" s="28"/>
      <c r="E2613" s="16"/>
    </row>
    <row r="2614" spans="1:5" x14ac:dyDescent="0.2">
      <c r="A2614" s="28"/>
      <c r="B2614" s="28"/>
      <c r="C2614" s="28"/>
      <c r="D2614" s="28"/>
      <c r="E2614" s="16"/>
    </row>
    <row r="2615" spans="1:5" x14ac:dyDescent="0.2">
      <c r="A2615" s="28"/>
      <c r="B2615" s="28"/>
      <c r="C2615" s="28"/>
      <c r="D2615" s="28"/>
      <c r="E2615" s="16"/>
    </row>
    <row r="2616" spans="1:5" x14ac:dyDescent="0.2">
      <c r="A2616" s="28"/>
      <c r="B2616" s="28"/>
      <c r="C2616" s="28"/>
      <c r="D2616" s="28"/>
      <c r="E2616" s="16"/>
    </row>
    <row r="2617" spans="1:5" x14ac:dyDescent="0.2">
      <c r="A2617" s="28"/>
      <c r="B2617" s="28"/>
      <c r="C2617" s="28"/>
      <c r="D2617" s="28"/>
      <c r="E2617" s="16"/>
    </row>
    <row r="2618" spans="1:5" x14ac:dyDescent="0.2">
      <c r="A2618" s="28"/>
      <c r="B2618" s="28"/>
      <c r="C2618" s="28"/>
      <c r="D2618" s="28"/>
      <c r="E2618" s="16"/>
    </row>
    <row r="2619" spans="1:5" x14ac:dyDescent="0.2">
      <c r="A2619" s="28"/>
      <c r="B2619" s="28"/>
      <c r="C2619" s="28"/>
      <c r="D2619" s="28"/>
      <c r="E2619" s="16"/>
    </row>
    <row r="2620" spans="1:5" x14ac:dyDescent="0.2">
      <c r="A2620" s="28"/>
      <c r="B2620" s="28"/>
      <c r="C2620" s="28"/>
      <c r="D2620" s="28"/>
      <c r="E2620" s="16"/>
    </row>
    <row r="2621" spans="1:5" x14ac:dyDescent="0.2">
      <c r="A2621" s="28"/>
      <c r="B2621" s="28"/>
      <c r="C2621" s="28"/>
      <c r="D2621" s="28"/>
      <c r="E2621" s="16"/>
    </row>
    <row r="2622" spans="1:5" x14ac:dyDescent="0.2">
      <c r="A2622" s="28"/>
      <c r="B2622" s="28"/>
      <c r="C2622" s="28"/>
      <c r="D2622" s="28"/>
      <c r="E2622" s="16"/>
    </row>
    <row r="2623" spans="1:5" x14ac:dyDescent="0.2">
      <c r="A2623" s="28"/>
      <c r="B2623" s="28"/>
      <c r="C2623" s="28"/>
      <c r="D2623" s="28"/>
      <c r="E2623" s="16"/>
    </row>
    <row r="2624" spans="1:5" x14ac:dyDescent="0.2">
      <c r="A2624" s="28"/>
      <c r="B2624" s="28"/>
      <c r="C2624" s="28"/>
      <c r="D2624" s="28"/>
      <c r="E2624" s="16"/>
    </row>
    <row r="2625" spans="1:5" x14ac:dyDescent="0.2">
      <c r="A2625" s="28"/>
      <c r="B2625" s="28"/>
      <c r="C2625" s="28"/>
      <c r="D2625" s="28"/>
      <c r="E2625" s="16"/>
    </row>
    <row r="2626" spans="1:5" x14ac:dyDescent="0.2">
      <c r="A2626" s="28"/>
      <c r="B2626" s="28"/>
      <c r="C2626" s="28"/>
      <c r="D2626" s="28"/>
      <c r="E2626" s="16"/>
    </row>
    <row r="2627" spans="1:5" x14ac:dyDescent="0.2">
      <c r="A2627" s="28"/>
      <c r="B2627" s="28"/>
      <c r="C2627" s="28"/>
      <c r="D2627" s="28"/>
      <c r="E2627" s="16"/>
    </row>
    <row r="2628" spans="1:5" x14ac:dyDescent="0.2">
      <c r="A2628" s="28"/>
      <c r="B2628" s="28"/>
      <c r="C2628" s="28"/>
      <c r="D2628" s="28"/>
      <c r="E2628" s="16"/>
    </row>
    <row r="2629" spans="1:5" x14ac:dyDescent="0.2">
      <c r="A2629" s="28"/>
      <c r="B2629" s="28"/>
      <c r="C2629" s="28"/>
      <c r="D2629" s="28"/>
      <c r="E2629" s="16"/>
    </row>
    <row r="2630" spans="1:5" x14ac:dyDescent="0.2">
      <c r="A2630" s="28"/>
      <c r="B2630" s="28"/>
      <c r="C2630" s="28"/>
      <c r="D2630" s="28"/>
      <c r="E2630" s="16"/>
    </row>
    <row r="2631" spans="1:5" x14ac:dyDescent="0.2">
      <c r="A2631" s="28"/>
      <c r="B2631" s="28"/>
      <c r="C2631" s="28"/>
      <c r="D2631" s="28"/>
      <c r="E2631" s="16"/>
    </row>
    <row r="2632" spans="1:5" x14ac:dyDescent="0.2">
      <c r="A2632" s="28"/>
      <c r="B2632" s="28"/>
      <c r="C2632" s="28"/>
      <c r="D2632" s="28"/>
      <c r="E2632" s="16"/>
    </row>
    <row r="2633" spans="1:5" x14ac:dyDescent="0.2">
      <c r="A2633" s="28"/>
      <c r="B2633" s="28"/>
      <c r="C2633" s="28"/>
      <c r="D2633" s="28"/>
      <c r="E2633" s="16"/>
    </row>
    <row r="2634" spans="1:5" x14ac:dyDescent="0.2">
      <c r="A2634" s="28"/>
      <c r="B2634" s="28"/>
      <c r="C2634" s="28"/>
      <c r="D2634" s="28"/>
      <c r="E2634" s="16"/>
    </row>
    <row r="2635" spans="1:5" x14ac:dyDescent="0.2">
      <c r="A2635" s="28"/>
      <c r="B2635" s="28"/>
      <c r="C2635" s="28"/>
      <c r="D2635" s="28"/>
      <c r="E2635" s="16"/>
    </row>
    <row r="2636" spans="1:5" x14ac:dyDescent="0.2">
      <c r="A2636" s="28"/>
      <c r="B2636" s="28"/>
      <c r="C2636" s="28"/>
      <c r="D2636" s="28"/>
      <c r="E2636" s="16"/>
    </row>
    <row r="2637" spans="1:5" x14ac:dyDescent="0.2">
      <c r="A2637" s="28"/>
      <c r="B2637" s="28"/>
      <c r="C2637" s="28"/>
      <c r="D2637" s="28"/>
      <c r="E2637" s="16"/>
    </row>
    <row r="2638" spans="1:5" x14ac:dyDescent="0.2">
      <c r="A2638" s="28"/>
      <c r="B2638" s="28"/>
      <c r="C2638" s="28"/>
      <c r="D2638" s="28"/>
      <c r="E2638" s="16"/>
    </row>
    <row r="2639" spans="1:5" x14ac:dyDescent="0.2">
      <c r="A2639" s="28"/>
      <c r="B2639" s="28"/>
      <c r="C2639" s="28"/>
      <c r="D2639" s="28"/>
      <c r="E2639" s="16"/>
    </row>
    <row r="2640" spans="1:5" x14ac:dyDescent="0.2">
      <c r="A2640" s="28"/>
      <c r="B2640" s="28"/>
      <c r="C2640" s="28"/>
      <c r="D2640" s="28"/>
      <c r="E2640" s="16"/>
    </row>
    <row r="2641" spans="1:5" x14ac:dyDescent="0.2">
      <c r="A2641" s="28"/>
      <c r="B2641" s="28"/>
      <c r="C2641" s="28"/>
      <c r="D2641" s="28"/>
      <c r="E2641" s="16"/>
    </row>
    <row r="2642" spans="1:5" x14ac:dyDescent="0.2">
      <c r="A2642" s="28"/>
      <c r="B2642" s="28"/>
      <c r="C2642" s="28"/>
      <c r="D2642" s="28"/>
      <c r="E2642" s="16"/>
    </row>
    <row r="2643" spans="1:5" x14ac:dyDescent="0.2">
      <c r="A2643" s="28"/>
      <c r="B2643" s="28"/>
      <c r="C2643" s="28"/>
      <c r="D2643" s="28"/>
      <c r="E2643" s="16"/>
    </row>
    <row r="2644" spans="1:5" x14ac:dyDescent="0.2">
      <c r="A2644" s="28"/>
      <c r="B2644" s="28"/>
      <c r="C2644" s="28"/>
      <c r="D2644" s="28"/>
      <c r="E2644" s="16"/>
    </row>
    <row r="2645" spans="1:5" x14ac:dyDescent="0.2">
      <c r="A2645" s="28"/>
      <c r="B2645" s="28"/>
      <c r="C2645" s="28"/>
      <c r="D2645" s="28"/>
      <c r="E2645" s="16"/>
    </row>
    <row r="2646" spans="1:5" x14ac:dyDescent="0.2">
      <c r="A2646" s="28"/>
      <c r="B2646" s="28"/>
      <c r="C2646" s="28"/>
      <c r="D2646" s="28"/>
      <c r="E2646" s="16"/>
    </row>
    <row r="2647" spans="1:5" x14ac:dyDescent="0.2">
      <c r="A2647" s="28"/>
      <c r="B2647" s="28"/>
      <c r="C2647" s="28"/>
      <c r="D2647" s="28"/>
      <c r="E2647" s="16"/>
    </row>
    <row r="2648" spans="1:5" x14ac:dyDescent="0.2">
      <c r="A2648" s="28"/>
      <c r="B2648" s="28"/>
      <c r="C2648" s="28"/>
      <c r="D2648" s="28"/>
      <c r="E2648" s="16"/>
    </row>
    <row r="2649" spans="1:5" x14ac:dyDescent="0.2">
      <c r="A2649" s="28"/>
      <c r="B2649" s="28"/>
      <c r="C2649" s="28"/>
      <c r="D2649" s="28"/>
      <c r="E2649" s="16"/>
    </row>
    <row r="2650" spans="1:5" x14ac:dyDescent="0.2">
      <c r="A2650" s="28"/>
      <c r="B2650" s="28"/>
      <c r="C2650" s="28"/>
      <c r="D2650" s="28"/>
      <c r="E2650" s="16"/>
    </row>
    <row r="2651" spans="1:5" x14ac:dyDescent="0.2">
      <c r="A2651" s="28"/>
      <c r="B2651" s="28"/>
      <c r="C2651" s="28"/>
      <c r="D2651" s="28"/>
      <c r="E2651" s="16"/>
    </row>
    <row r="2652" spans="1:5" x14ac:dyDescent="0.2">
      <c r="A2652" s="28"/>
      <c r="B2652" s="28"/>
      <c r="C2652" s="28"/>
      <c r="D2652" s="28"/>
      <c r="E2652" s="16"/>
    </row>
    <row r="2653" spans="1:5" x14ac:dyDescent="0.2">
      <c r="A2653" s="28"/>
      <c r="B2653" s="28"/>
      <c r="C2653" s="28"/>
      <c r="D2653" s="28"/>
      <c r="E2653" s="16"/>
    </row>
    <row r="2654" spans="1:5" x14ac:dyDescent="0.2">
      <c r="A2654" s="28"/>
      <c r="B2654" s="28"/>
      <c r="C2654" s="28"/>
      <c r="D2654" s="28"/>
      <c r="E2654" s="16"/>
    </row>
    <row r="2655" spans="1:5" x14ac:dyDescent="0.2">
      <c r="A2655" s="28"/>
      <c r="B2655" s="28"/>
      <c r="C2655" s="28"/>
      <c r="D2655" s="28"/>
      <c r="E2655" s="16"/>
    </row>
    <row r="2656" spans="1:5" x14ac:dyDescent="0.2">
      <c r="A2656" s="28"/>
      <c r="B2656" s="28"/>
      <c r="C2656" s="28"/>
      <c r="D2656" s="28"/>
      <c r="E2656" s="16"/>
    </row>
    <row r="2657" spans="1:5" x14ac:dyDescent="0.2">
      <c r="A2657" s="28"/>
      <c r="B2657" s="28"/>
      <c r="C2657" s="28"/>
      <c r="D2657" s="28"/>
      <c r="E2657" s="16"/>
    </row>
    <row r="2658" spans="1:5" x14ac:dyDescent="0.2">
      <c r="A2658" s="28"/>
      <c r="B2658" s="28"/>
      <c r="C2658" s="28"/>
      <c r="D2658" s="28"/>
      <c r="E2658" s="16"/>
    </row>
    <row r="2659" spans="1:5" x14ac:dyDescent="0.2">
      <c r="A2659" s="28"/>
      <c r="B2659" s="28"/>
      <c r="C2659" s="28"/>
      <c r="D2659" s="28"/>
      <c r="E2659" s="16"/>
    </row>
    <row r="2660" spans="1:5" x14ac:dyDescent="0.2">
      <c r="A2660" s="28"/>
      <c r="B2660" s="28"/>
      <c r="C2660" s="28"/>
      <c r="D2660" s="28"/>
      <c r="E2660" s="16"/>
    </row>
    <row r="2661" spans="1:5" x14ac:dyDescent="0.2">
      <c r="A2661" s="28"/>
      <c r="B2661" s="28"/>
      <c r="C2661" s="28"/>
      <c r="D2661" s="28"/>
      <c r="E2661" s="16"/>
    </row>
    <row r="2662" spans="1:5" x14ac:dyDescent="0.2">
      <c r="A2662" s="28"/>
      <c r="B2662" s="28"/>
      <c r="C2662" s="28"/>
      <c r="D2662" s="28"/>
      <c r="E2662" s="16"/>
    </row>
    <row r="2663" spans="1:5" x14ac:dyDescent="0.2">
      <c r="A2663" s="28"/>
      <c r="B2663" s="28"/>
      <c r="C2663" s="28"/>
      <c r="D2663" s="28"/>
      <c r="E2663" s="16"/>
    </row>
    <row r="2664" spans="1:5" x14ac:dyDescent="0.2">
      <c r="A2664" s="28"/>
      <c r="B2664" s="28"/>
      <c r="C2664" s="28"/>
      <c r="D2664" s="28"/>
      <c r="E2664" s="16"/>
    </row>
    <row r="2665" spans="1:5" x14ac:dyDescent="0.2">
      <c r="A2665" s="28"/>
      <c r="B2665" s="28"/>
      <c r="C2665" s="28"/>
      <c r="D2665" s="28"/>
      <c r="E2665" s="16"/>
    </row>
    <row r="2666" spans="1:5" x14ac:dyDescent="0.2">
      <c r="A2666" s="28"/>
      <c r="B2666" s="28"/>
      <c r="C2666" s="28"/>
      <c r="D2666" s="28"/>
      <c r="E2666" s="16"/>
    </row>
    <row r="2667" spans="1:5" x14ac:dyDescent="0.2">
      <c r="A2667" s="28"/>
      <c r="B2667" s="28"/>
      <c r="C2667" s="28"/>
      <c r="D2667" s="28"/>
      <c r="E2667" s="16"/>
    </row>
    <row r="2668" spans="1:5" x14ac:dyDescent="0.2">
      <c r="A2668" s="28"/>
      <c r="B2668" s="28"/>
      <c r="C2668" s="28"/>
      <c r="D2668" s="28"/>
      <c r="E2668" s="16"/>
    </row>
    <row r="2669" spans="1:5" x14ac:dyDescent="0.2">
      <c r="A2669" s="28"/>
      <c r="B2669" s="28"/>
      <c r="C2669" s="28"/>
      <c r="D2669" s="28"/>
      <c r="E2669" s="16"/>
    </row>
    <row r="2670" spans="1:5" x14ac:dyDescent="0.2">
      <c r="A2670" s="28"/>
      <c r="B2670" s="28"/>
      <c r="C2670" s="28"/>
      <c r="D2670" s="28"/>
      <c r="E2670" s="16"/>
    </row>
    <row r="2671" spans="1:5" x14ac:dyDescent="0.2">
      <c r="A2671" s="28"/>
      <c r="B2671" s="28"/>
      <c r="C2671" s="28"/>
      <c r="D2671" s="28"/>
      <c r="E2671" s="16"/>
    </row>
    <row r="2672" spans="1:5" x14ac:dyDescent="0.2">
      <c r="A2672" s="28"/>
      <c r="B2672" s="28"/>
      <c r="C2672" s="28"/>
      <c r="D2672" s="28"/>
      <c r="E2672" s="16"/>
    </row>
    <row r="2673" spans="1:5" x14ac:dyDescent="0.2">
      <c r="A2673" s="28"/>
      <c r="B2673" s="28"/>
      <c r="C2673" s="28"/>
      <c r="D2673" s="28"/>
      <c r="E2673" s="16"/>
    </row>
    <row r="2674" spans="1:5" x14ac:dyDescent="0.2">
      <c r="A2674" s="28"/>
      <c r="B2674" s="28"/>
      <c r="C2674" s="28"/>
      <c r="D2674" s="28"/>
      <c r="E2674" s="16"/>
    </row>
    <row r="2675" spans="1:5" x14ac:dyDescent="0.2">
      <c r="A2675" s="28"/>
      <c r="B2675" s="28"/>
      <c r="C2675" s="28"/>
      <c r="D2675" s="28"/>
      <c r="E2675" s="16"/>
    </row>
    <row r="2676" spans="1:5" x14ac:dyDescent="0.2">
      <c r="A2676" s="28"/>
      <c r="B2676" s="28"/>
      <c r="C2676" s="28"/>
      <c r="D2676" s="28"/>
      <c r="E2676" s="16"/>
    </row>
    <row r="2677" spans="1:5" x14ac:dyDescent="0.2">
      <c r="A2677" s="28"/>
      <c r="B2677" s="28"/>
      <c r="C2677" s="28"/>
      <c r="D2677" s="28"/>
      <c r="E2677" s="16"/>
    </row>
    <row r="2678" spans="1:5" x14ac:dyDescent="0.2">
      <c r="A2678" s="28"/>
      <c r="B2678" s="28"/>
      <c r="C2678" s="28"/>
      <c r="D2678" s="28"/>
      <c r="E2678" s="16"/>
    </row>
    <row r="2679" spans="1:5" x14ac:dyDescent="0.2">
      <c r="A2679" s="28"/>
      <c r="B2679" s="28"/>
      <c r="C2679" s="28"/>
      <c r="D2679" s="28"/>
      <c r="E2679" s="16"/>
    </row>
    <row r="2680" spans="1:5" x14ac:dyDescent="0.2">
      <c r="A2680" s="28"/>
      <c r="B2680" s="28"/>
      <c r="C2680" s="28"/>
      <c r="D2680" s="28"/>
      <c r="E2680" s="16"/>
    </row>
    <row r="2681" spans="1:5" x14ac:dyDescent="0.2">
      <c r="A2681" s="28"/>
      <c r="B2681" s="28"/>
      <c r="C2681" s="28"/>
      <c r="D2681" s="28"/>
      <c r="E2681" s="16"/>
    </row>
    <row r="2682" spans="1:5" x14ac:dyDescent="0.2">
      <c r="A2682" s="28"/>
      <c r="B2682" s="28"/>
      <c r="C2682" s="28"/>
      <c r="D2682" s="28"/>
      <c r="E2682" s="16"/>
    </row>
    <row r="2683" spans="1:5" x14ac:dyDescent="0.2">
      <c r="A2683" s="28"/>
      <c r="B2683" s="28"/>
      <c r="C2683" s="28"/>
      <c r="D2683" s="28"/>
      <c r="E2683" s="16"/>
    </row>
    <row r="2684" spans="1:5" x14ac:dyDescent="0.2">
      <c r="A2684" s="28"/>
      <c r="B2684" s="28"/>
      <c r="C2684" s="28"/>
      <c r="D2684" s="28"/>
      <c r="E2684" s="16"/>
    </row>
    <row r="2685" spans="1:5" x14ac:dyDescent="0.2">
      <c r="A2685" s="28"/>
      <c r="B2685" s="28"/>
      <c r="C2685" s="28"/>
      <c r="D2685" s="28"/>
      <c r="E2685" s="16"/>
    </row>
    <row r="2686" spans="1:5" x14ac:dyDescent="0.2">
      <c r="A2686" s="28"/>
      <c r="B2686" s="28"/>
      <c r="C2686" s="28"/>
      <c r="D2686" s="28"/>
      <c r="E2686" s="16"/>
    </row>
    <row r="2687" spans="1:5" x14ac:dyDescent="0.2">
      <c r="A2687" s="28"/>
      <c r="B2687" s="28"/>
      <c r="C2687" s="28"/>
      <c r="D2687" s="28"/>
      <c r="E2687" s="16"/>
    </row>
    <row r="2688" spans="1:5" x14ac:dyDescent="0.2">
      <c r="A2688" s="28"/>
      <c r="B2688" s="28"/>
      <c r="C2688" s="28"/>
      <c r="D2688" s="28"/>
      <c r="E2688" s="16"/>
    </row>
    <row r="2689" spans="1:5" x14ac:dyDescent="0.2">
      <c r="A2689" s="28"/>
      <c r="B2689" s="28"/>
      <c r="C2689" s="28"/>
      <c r="D2689" s="28"/>
      <c r="E2689" s="16"/>
    </row>
    <row r="2690" spans="1:5" x14ac:dyDescent="0.2">
      <c r="A2690" s="28"/>
      <c r="B2690" s="28"/>
      <c r="C2690" s="28"/>
      <c r="D2690" s="28"/>
      <c r="E2690" s="16"/>
    </row>
    <row r="2691" spans="1:5" x14ac:dyDescent="0.2">
      <c r="A2691" s="28"/>
      <c r="B2691" s="28"/>
      <c r="C2691" s="28"/>
      <c r="D2691" s="28"/>
      <c r="E2691" s="16"/>
    </row>
    <row r="2692" spans="1:5" x14ac:dyDescent="0.2">
      <c r="A2692" s="28"/>
      <c r="B2692" s="28"/>
      <c r="C2692" s="28"/>
      <c r="D2692" s="28"/>
      <c r="E2692" s="16"/>
    </row>
    <row r="2693" spans="1:5" x14ac:dyDescent="0.2">
      <c r="A2693" s="28"/>
      <c r="B2693" s="28"/>
      <c r="C2693" s="28"/>
      <c r="D2693" s="28"/>
      <c r="E2693" s="16"/>
    </row>
    <row r="2694" spans="1:5" x14ac:dyDescent="0.2">
      <c r="A2694" s="28"/>
      <c r="B2694" s="28"/>
      <c r="C2694" s="28"/>
      <c r="D2694" s="28"/>
      <c r="E2694" s="16"/>
    </row>
    <row r="2695" spans="1:5" x14ac:dyDescent="0.2">
      <c r="A2695" s="28"/>
      <c r="B2695" s="28"/>
      <c r="C2695" s="28"/>
      <c r="D2695" s="28"/>
      <c r="E2695" s="16"/>
    </row>
    <row r="2696" spans="1:5" x14ac:dyDescent="0.2">
      <c r="A2696" s="28"/>
      <c r="B2696" s="28"/>
      <c r="C2696" s="28"/>
      <c r="D2696" s="28"/>
      <c r="E2696" s="16"/>
    </row>
    <row r="2697" spans="1:5" x14ac:dyDescent="0.2">
      <c r="A2697" s="28"/>
      <c r="B2697" s="28"/>
      <c r="C2697" s="28"/>
      <c r="D2697" s="28"/>
      <c r="E2697" s="16"/>
    </row>
    <row r="2698" spans="1:5" x14ac:dyDescent="0.2">
      <c r="A2698" s="28"/>
      <c r="B2698" s="28"/>
      <c r="C2698" s="28"/>
      <c r="D2698" s="28"/>
      <c r="E2698" s="16"/>
    </row>
    <row r="2699" spans="1:5" x14ac:dyDescent="0.2">
      <c r="A2699" s="28"/>
      <c r="B2699" s="28"/>
      <c r="C2699" s="28"/>
      <c r="D2699" s="28"/>
      <c r="E2699" s="16"/>
    </row>
    <row r="2700" spans="1:5" x14ac:dyDescent="0.2">
      <c r="A2700" s="28"/>
      <c r="B2700" s="28"/>
      <c r="C2700" s="28"/>
      <c r="D2700" s="28"/>
      <c r="E2700" s="16"/>
    </row>
    <row r="2701" spans="1:5" x14ac:dyDescent="0.2">
      <c r="A2701" s="28"/>
      <c r="B2701" s="28"/>
      <c r="C2701" s="28"/>
      <c r="D2701" s="28"/>
      <c r="E2701" s="16"/>
    </row>
    <row r="2702" spans="1:5" x14ac:dyDescent="0.2">
      <c r="A2702" s="28"/>
      <c r="B2702" s="28"/>
      <c r="C2702" s="28"/>
      <c r="D2702" s="28"/>
      <c r="E2702" s="16"/>
    </row>
    <row r="2703" spans="1:5" x14ac:dyDescent="0.2">
      <c r="A2703" s="28"/>
      <c r="B2703" s="28"/>
      <c r="C2703" s="28"/>
      <c r="D2703" s="28"/>
      <c r="E2703" s="16"/>
    </row>
    <row r="2704" spans="1:5" x14ac:dyDescent="0.2">
      <c r="A2704" s="28"/>
      <c r="B2704" s="28"/>
      <c r="C2704" s="28"/>
      <c r="D2704" s="28"/>
      <c r="E2704" s="16"/>
    </row>
    <row r="2705" spans="1:5" x14ac:dyDescent="0.2">
      <c r="A2705" s="28"/>
      <c r="B2705" s="28"/>
      <c r="C2705" s="28"/>
      <c r="D2705" s="28"/>
      <c r="E2705" s="16"/>
    </row>
    <row r="2706" spans="1:5" x14ac:dyDescent="0.2">
      <c r="A2706" s="28"/>
      <c r="B2706" s="28"/>
      <c r="C2706" s="28"/>
      <c r="D2706" s="28"/>
      <c r="E2706" s="16"/>
    </row>
    <row r="2707" spans="1:5" x14ac:dyDescent="0.2">
      <c r="A2707" s="28"/>
      <c r="B2707" s="28"/>
      <c r="C2707" s="28"/>
      <c r="D2707" s="28"/>
      <c r="E2707" s="16"/>
    </row>
    <row r="2708" spans="1:5" x14ac:dyDescent="0.2">
      <c r="A2708" s="28"/>
      <c r="B2708" s="28"/>
      <c r="C2708" s="28"/>
      <c r="D2708" s="28"/>
      <c r="E2708" s="16"/>
    </row>
    <row r="2709" spans="1:5" x14ac:dyDescent="0.2">
      <c r="A2709" s="28"/>
      <c r="B2709" s="28"/>
      <c r="C2709" s="28"/>
      <c r="D2709" s="28"/>
      <c r="E2709" s="16"/>
    </row>
    <row r="2710" spans="1:5" x14ac:dyDescent="0.2">
      <c r="A2710" s="28"/>
      <c r="B2710" s="28"/>
      <c r="C2710" s="28"/>
      <c r="D2710" s="28"/>
      <c r="E2710" s="16"/>
    </row>
    <row r="2711" spans="1:5" x14ac:dyDescent="0.2">
      <c r="A2711" s="28"/>
      <c r="B2711" s="28"/>
      <c r="C2711" s="28"/>
      <c r="D2711" s="28"/>
      <c r="E2711" s="16"/>
    </row>
    <row r="2712" spans="1:5" x14ac:dyDescent="0.2">
      <c r="A2712" s="28"/>
      <c r="B2712" s="28"/>
      <c r="C2712" s="28"/>
      <c r="D2712" s="28"/>
      <c r="E2712" s="16"/>
    </row>
    <row r="2713" spans="1:5" x14ac:dyDescent="0.2">
      <c r="A2713" s="28"/>
      <c r="B2713" s="28"/>
      <c r="C2713" s="28"/>
      <c r="D2713" s="28"/>
      <c r="E2713" s="16"/>
    </row>
    <row r="2714" spans="1:5" x14ac:dyDescent="0.2">
      <c r="A2714" s="28"/>
      <c r="B2714" s="28"/>
      <c r="C2714" s="28"/>
      <c r="D2714" s="28"/>
      <c r="E2714" s="16"/>
    </row>
    <row r="2715" spans="1:5" x14ac:dyDescent="0.2">
      <c r="A2715" s="28"/>
      <c r="B2715" s="28"/>
      <c r="C2715" s="28"/>
      <c r="D2715" s="28"/>
      <c r="E2715" s="16"/>
    </row>
    <row r="2716" spans="1:5" x14ac:dyDescent="0.2">
      <c r="A2716" s="28"/>
      <c r="B2716" s="28"/>
      <c r="C2716" s="28"/>
      <c r="D2716" s="28"/>
      <c r="E2716" s="16"/>
    </row>
    <row r="2717" spans="1:5" x14ac:dyDescent="0.2">
      <c r="A2717" s="28"/>
      <c r="B2717" s="28"/>
      <c r="C2717" s="28"/>
      <c r="D2717" s="28"/>
      <c r="E2717" s="16"/>
    </row>
    <row r="2718" spans="1:5" x14ac:dyDescent="0.2">
      <c r="A2718" s="28"/>
      <c r="B2718" s="28"/>
      <c r="C2718" s="28"/>
      <c r="D2718" s="28"/>
      <c r="E2718" s="16"/>
    </row>
    <row r="2719" spans="1:5" x14ac:dyDescent="0.2">
      <c r="A2719" s="28"/>
      <c r="B2719" s="28"/>
      <c r="C2719" s="28"/>
      <c r="D2719" s="28"/>
      <c r="E2719" s="16"/>
    </row>
    <row r="2720" spans="1:5" x14ac:dyDescent="0.2">
      <c r="A2720" s="28"/>
      <c r="B2720" s="28"/>
      <c r="C2720" s="28"/>
      <c r="D2720" s="28"/>
      <c r="E2720" s="16"/>
    </row>
    <row r="2721" spans="1:5" x14ac:dyDescent="0.2">
      <c r="A2721" s="28"/>
      <c r="B2721" s="28"/>
      <c r="C2721" s="28"/>
      <c r="D2721" s="28"/>
      <c r="E2721" s="16"/>
    </row>
    <row r="2722" spans="1:5" x14ac:dyDescent="0.2">
      <c r="A2722" s="28"/>
      <c r="B2722" s="28"/>
      <c r="C2722" s="28"/>
      <c r="D2722" s="28"/>
      <c r="E2722" s="16"/>
    </row>
    <row r="2723" spans="1:5" x14ac:dyDescent="0.2">
      <c r="A2723" s="28"/>
      <c r="B2723" s="28"/>
      <c r="C2723" s="28"/>
      <c r="D2723" s="28"/>
      <c r="E2723" s="16"/>
    </row>
    <row r="2724" spans="1:5" x14ac:dyDescent="0.2">
      <c r="A2724" s="28"/>
      <c r="B2724" s="28"/>
      <c r="C2724" s="28"/>
      <c r="D2724" s="28"/>
      <c r="E2724" s="16"/>
    </row>
    <row r="2725" spans="1:5" x14ac:dyDescent="0.2">
      <c r="A2725" s="28"/>
      <c r="B2725" s="28"/>
      <c r="C2725" s="28"/>
      <c r="D2725" s="28"/>
      <c r="E2725" s="16"/>
    </row>
    <row r="2726" spans="1:5" x14ac:dyDescent="0.2">
      <c r="A2726" s="28"/>
      <c r="B2726" s="28"/>
      <c r="C2726" s="28"/>
      <c r="D2726" s="28"/>
      <c r="E2726" s="16"/>
    </row>
    <row r="2727" spans="1:5" x14ac:dyDescent="0.2">
      <c r="A2727" s="28"/>
      <c r="B2727" s="28"/>
      <c r="C2727" s="28"/>
      <c r="D2727" s="28"/>
      <c r="E2727" s="16"/>
    </row>
    <row r="2728" spans="1:5" x14ac:dyDescent="0.2">
      <c r="A2728" s="28"/>
      <c r="B2728" s="28"/>
      <c r="C2728" s="28"/>
      <c r="D2728" s="28"/>
      <c r="E2728" s="16"/>
    </row>
    <row r="2729" spans="1:5" x14ac:dyDescent="0.2">
      <c r="A2729" s="28"/>
      <c r="B2729" s="28"/>
      <c r="C2729" s="28"/>
      <c r="D2729" s="28"/>
      <c r="E2729" s="16"/>
    </row>
    <row r="2730" spans="1:5" x14ac:dyDescent="0.2">
      <c r="A2730" s="28"/>
      <c r="B2730" s="28"/>
      <c r="C2730" s="28"/>
      <c r="D2730" s="28"/>
      <c r="E2730" s="16"/>
    </row>
    <row r="2731" spans="1:5" x14ac:dyDescent="0.2">
      <c r="A2731" s="28"/>
      <c r="B2731" s="28"/>
      <c r="C2731" s="28"/>
      <c r="D2731" s="28"/>
      <c r="E2731" s="16"/>
    </row>
    <row r="2732" spans="1:5" x14ac:dyDescent="0.2">
      <c r="A2732" s="28"/>
      <c r="B2732" s="28"/>
      <c r="C2732" s="28"/>
      <c r="D2732" s="28"/>
      <c r="E2732" s="16"/>
    </row>
    <row r="2733" spans="1:5" x14ac:dyDescent="0.2">
      <c r="A2733" s="28"/>
      <c r="B2733" s="28"/>
      <c r="C2733" s="28"/>
      <c r="D2733" s="28"/>
      <c r="E2733" s="16"/>
    </row>
    <row r="2734" spans="1:5" x14ac:dyDescent="0.2">
      <c r="A2734" s="28"/>
      <c r="B2734" s="28"/>
      <c r="C2734" s="28"/>
      <c r="D2734" s="28"/>
      <c r="E2734" s="16"/>
    </row>
    <row r="2735" spans="1:5" x14ac:dyDescent="0.2">
      <c r="A2735" s="28"/>
      <c r="B2735" s="28"/>
      <c r="C2735" s="28"/>
      <c r="D2735" s="28"/>
      <c r="E2735" s="16"/>
    </row>
    <row r="2736" spans="1:5" x14ac:dyDescent="0.2">
      <c r="A2736" s="28"/>
      <c r="B2736" s="28"/>
      <c r="C2736" s="28"/>
      <c r="D2736" s="28"/>
      <c r="E2736" s="16"/>
    </row>
    <row r="2737" spans="1:5" x14ac:dyDescent="0.2">
      <c r="A2737" s="28"/>
      <c r="B2737" s="28"/>
      <c r="C2737" s="28"/>
      <c r="D2737" s="28"/>
      <c r="E2737" s="16"/>
    </row>
    <row r="2738" spans="1:5" x14ac:dyDescent="0.2">
      <c r="A2738" s="28"/>
      <c r="B2738" s="28"/>
      <c r="C2738" s="28"/>
      <c r="D2738" s="28"/>
      <c r="E2738" s="16"/>
    </row>
    <row r="2739" spans="1:5" x14ac:dyDescent="0.2">
      <c r="A2739" s="28"/>
      <c r="B2739" s="28"/>
      <c r="C2739" s="28"/>
      <c r="D2739" s="28"/>
      <c r="E2739" s="16"/>
    </row>
    <row r="2740" spans="1:5" x14ac:dyDescent="0.2">
      <c r="A2740" s="28"/>
      <c r="B2740" s="28"/>
      <c r="C2740" s="28"/>
      <c r="D2740" s="28"/>
      <c r="E2740" s="16"/>
    </row>
    <row r="2741" spans="1:5" x14ac:dyDescent="0.2">
      <c r="A2741" s="28"/>
      <c r="B2741" s="28"/>
      <c r="C2741" s="28"/>
      <c r="D2741" s="28"/>
      <c r="E2741" s="16"/>
    </row>
    <row r="2742" spans="1:5" x14ac:dyDescent="0.2">
      <c r="A2742" s="28"/>
      <c r="B2742" s="28"/>
      <c r="C2742" s="28"/>
      <c r="D2742" s="28"/>
      <c r="E2742" s="16"/>
    </row>
    <row r="2743" spans="1:5" x14ac:dyDescent="0.2">
      <c r="A2743" s="28"/>
      <c r="B2743" s="28"/>
      <c r="C2743" s="28"/>
      <c r="D2743" s="28"/>
      <c r="E2743" s="16"/>
    </row>
    <row r="2744" spans="1:5" x14ac:dyDescent="0.2">
      <c r="A2744" s="28"/>
      <c r="B2744" s="28"/>
      <c r="C2744" s="28"/>
      <c r="D2744" s="28"/>
      <c r="E2744" s="16"/>
    </row>
    <row r="2745" spans="1:5" x14ac:dyDescent="0.2">
      <c r="A2745" s="28"/>
      <c r="B2745" s="28"/>
      <c r="C2745" s="28"/>
      <c r="D2745" s="28"/>
      <c r="E2745" s="16"/>
    </row>
    <row r="2746" spans="1:5" x14ac:dyDescent="0.2">
      <c r="A2746" s="28"/>
      <c r="B2746" s="28"/>
      <c r="C2746" s="28"/>
      <c r="D2746" s="28"/>
      <c r="E2746" s="16"/>
    </row>
    <row r="2747" spans="1:5" x14ac:dyDescent="0.2">
      <c r="A2747" s="28"/>
      <c r="B2747" s="28"/>
      <c r="C2747" s="28"/>
      <c r="D2747" s="28"/>
      <c r="E2747" s="16"/>
    </row>
    <row r="2748" spans="1:5" x14ac:dyDescent="0.2">
      <c r="A2748" s="28"/>
      <c r="B2748" s="28"/>
      <c r="C2748" s="28"/>
      <c r="D2748" s="28"/>
      <c r="E2748" s="16"/>
    </row>
    <row r="2749" spans="1:5" x14ac:dyDescent="0.2">
      <c r="A2749" s="28"/>
      <c r="B2749" s="28"/>
      <c r="C2749" s="28"/>
      <c r="D2749" s="28"/>
      <c r="E2749" s="16"/>
    </row>
    <row r="2750" spans="1:5" x14ac:dyDescent="0.2">
      <c r="A2750" s="28"/>
      <c r="B2750" s="28"/>
      <c r="C2750" s="28"/>
      <c r="D2750" s="28"/>
      <c r="E2750" s="16"/>
    </row>
    <row r="2751" spans="1:5" x14ac:dyDescent="0.2">
      <c r="A2751" s="28"/>
      <c r="B2751" s="28"/>
      <c r="C2751" s="28"/>
      <c r="D2751" s="28"/>
      <c r="E2751" s="16"/>
    </row>
    <row r="2752" spans="1:5" x14ac:dyDescent="0.2">
      <c r="A2752" s="28"/>
      <c r="B2752" s="28"/>
      <c r="C2752" s="28"/>
      <c r="D2752" s="28"/>
      <c r="E2752" s="16"/>
    </row>
    <row r="2753" spans="1:5" x14ac:dyDescent="0.2">
      <c r="A2753" s="28"/>
      <c r="B2753" s="28"/>
      <c r="C2753" s="28"/>
      <c r="D2753" s="28"/>
      <c r="E2753" s="16"/>
    </row>
    <row r="2754" spans="1:5" x14ac:dyDescent="0.2">
      <c r="A2754" s="28"/>
      <c r="B2754" s="28"/>
      <c r="C2754" s="28"/>
      <c r="D2754" s="28"/>
      <c r="E2754" s="16"/>
    </row>
    <row r="2755" spans="1:5" x14ac:dyDescent="0.2">
      <c r="A2755" s="28"/>
      <c r="B2755" s="28"/>
      <c r="C2755" s="28"/>
      <c r="D2755" s="28"/>
      <c r="E2755" s="16"/>
    </row>
    <row r="2756" spans="1:5" x14ac:dyDescent="0.2">
      <c r="A2756" s="28"/>
      <c r="B2756" s="28"/>
      <c r="C2756" s="28"/>
      <c r="D2756" s="28"/>
      <c r="E2756" s="16"/>
    </row>
    <row r="2757" spans="1:5" x14ac:dyDescent="0.2">
      <c r="A2757" s="28"/>
      <c r="B2757" s="28"/>
      <c r="C2757" s="28"/>
      <c r="D2757" s="28"/>
      <c r="E2757" s="16"/>
    </row>
    <row r="2758" spans="1:5" x14ac:dyDescent="0.2">
      <c r="A2758" s="28"/>
      <c r="B2758" s="28"/>
      <c r="C2758" s="28"/>
      <c r="D2758" s="28"/>
      <c r="E2758" s="16"/>
    </row>
    <row r="2759" spans="1:5" x14ac:dyDescent="0.2">
      <c r="A2759" s="28"/>
      <c r="B2759" s="28"/>
      <c r="C2759" s="28"/>
      <c r="D2759" s="28"/>
      <c r="E2759" s="16"/>
    </row>
    <row r="2760" spans="1:5" x14ac:dyDescent="0.2">
      <c r="A2760" s="28"/>
      <c r="B2760" s="28"/>
      <c r="C2760" s="28"/>
      <c r="D2760" s="28"/>
      <c r="E2760" s="16"/>
    </row>
    <row r="2761" spans="1:5" x14ac:dyDescent="0.2">
      <c r="A2761" s="28"/>
      <c r="B2761" s="28"/>
      <c r="C2761" s="28"/>
      <c r="D2761" s="28"/>
      <c r="E2761" s="16"/>
    </row>
    <row r="2762" spans="1:5" x14ac:dyDescent="0.2">
      <c r="A2762" s="28"/>
      <c r="B2762" s="28"/>
      <c r="C2762" s="28"/>
      <c r="D2762" s="28"/>
      <c r="E2762" s="16"/>
    </row>
    <row r="2763" spans="1:5" x14ac:dyDescent="0.2">
      <c r="A2763" s="28"/>
      <c r="B2763" s="28"/>
      <c r="C2763" s="28"/>
      <c r="D2763" s="28"/>
      <c r="E2763" s="16"/>
    </row>
    <row r="2764" spans="1:5" x14ac:dyDescent="0.2">
      <c r="A2764" s="28"/>
      <c r="B2764" s="28"/>
      <c r="C2764" s="28"/>
      <c r="D2764" s="28"/>
      <c r="E2764" s="16"/>
    </row>
    <row r="2765" spans="1:5" x14ac:dyDescent="0.2">
      <c r="A2765" s="28"/>
      <c r="B2765" s="28"/>
      <c r="C2765" s="28"/>
      <c r="D2765" s="28"/>
      <c r="E2765" s="16"/>
    </row>
    <row r="2766" spans="1:5" x14ac:dyDescent="0.2">
      <c r="A2766" s="28"/>
      <c r="B2766" s="28"/>
      <c r="C2766" s="28"/>
      <c r="D2766" s="28"/>
      <c r="E2766" s="16"/>
    </row>
    <row r="2767" spans="1:5" x14ac:dyDescent="0.2">
      <c r="A2767" s="28"/>
      <c r="B2767" s="28"/>
      <c r="C2767" s="28"/>
      <c r="D2767" s="28"/>
      <c r="E2767" s="16"/>
    </row>
    <row r="2768" spans="1:5" x14ac:dyDescent="0.2">
      <c r="A2768" s="28"/>
      <c r="B2768" s="28"/>
      <c r="C2768" s="28"/>
      <c r="D2768" s="28"/>
      <c r="E2768" s="16"/>
    </row>
    <row r="2769" spans="1:5" x14ac:dyDescent="0.2">
      <c r="A2769" s="28"/>
      <c r="B2769" s="28"/>
      <c r="C2769" s="28"/>
      <c r="D2769" s="28"/>
      <c r="E2769" s="16"/>
    </row>
    <row r="2770" spans="1:5" x14ac:dyDescent="0.2">
      <c r="A2770" s="28"/>
      <c r="B2770" s="28"/>
      <c r="C2770" s="28"/>
      <c r="D2770" s="28"/>
      <c r="E2770" s="16"/>
    </row>
    <row r="2771" spans="1:5" x14ac:dyDescent="0.2">
      <c r="A2771" s="28"/>
      <c r="B2771" s="28"/>
      <c r="C2771" s="28"/>
      <c r="D2771" s="28"/>
      <c r="E2771" s="16"/>
    </row>
    <row r="2772" spans="1:5" x14ac:dyDescent="0.2">
      <c r="A2772" s="28"/>
      <c r="B2772" s="28"/>
      <c r="C2772" s="28"/>
      <c r="D2772" s="28"/>
      <c r="E2772" s="16"/>
    </row>
    <row r="2773" spans="1:5" x14ac:dyDescent="0.2">
      <c r="A2773" s="28"/>
      <c r="B2773" s="28"/>
      <c r="C2773" s="28"/>
      <c r="D2773" s="28"/>
      <c r="E2773" s="16"/>
    </row>
    <row r="2774" spans="1:5" x14ac:dyDescent="0.2">
      <c r="A2774" s="28"/>
      <c r="B2774" s="28"/>
      <c r="C2774" s="28"/>
      <c r="D2774" s="28"/>
      <c r="E2774" s="16"/>
    </row>
    <row r="2775" spans="1:5" x14ac:dyDescent="0.2">
      <c r="A2775" s="28"/>
      <c r="B2775" s="28"/>
      <c r="C2775" s="28"/>
      <c r="D2775" s="28"/>
      <c r="E2775" s="16"/>
    </row>
    <row r="2776" spans="1:5" x14ac:dyDescent="0.2">
      <c r="A2776" s="28"/>
      <c r="B2776" s="28"/>
      <c r="C2776" s="28"/>
      <c r="D2776" s="28"/>
      <c r="E2776" s="16"/>
    </row>
    <row r="2777" spans="1:5" x14ac:dyDescent="0.2">
      <c r="A2777" s="28"/>
      <c r="B2777" s="28"/>
      <c r="C2777" s="28"/>
      <c r="D2777" s="28"/>
      <c r="E2777" s="16"/>
    </row>
    <row r="2778" spans="1:5" x14ac:dyDescent="0.2">
      <c r="A2778" s="28"/>
      <c r="B2778" s="28"/>
      <c r="C2778" s="28"/>
      <c r="D2778" s="28"/>
      <c r="E2778" s="16"/>
    </row>
    <row r="2779" spans="1:5" x14ac:dyDescent="0.2">
      <c r="A2779" s="28"/>
      <c r="B2779" s="28"/>
      <c r="C2779" s="28"/>
      <c r="D2779" s="28"/>
      <c r="E2779" s="16"/>
    </row>
    <row r="2780" spans="1:5" x14ac:dyDescent="0.2">
      <c r="A2780" s="28"/>
      <c r="B2780" s="28"/>
      <c r="C2780" s="28"/>
      <c r="D2780" s="28"/>
      <c r="E2780" s="16"/>
    </row>
    <row r="2781" spans="1:5" x14ac:dyDescent="0.2">
      <c r="A2781" s="28"/>
      <c r="B2781" s="28"/>
      <c r="C2781" s="28"/>
      <c r="D2781" s="28"/>
      <c r="E2781" s="16"/>
    </row>
    <row r="2782" spans="1:5" x14ac:dyDescent="0.2">
      <c r="A2782" s="28"/>
      <c r="B2782" s="28"/>
      <c r="C2782" s="28"/>
      <c r="D2782" s="28"/>
      <c r="E2782" s="16"/>
    </row>
    <row r="2783" spans="1:5" x14ac:dyDescent="0.2">
      <c r="A2783" s="28"/>
      <c r="B2783" s="28"/>
      <c r="C2783" s="28"/>
      <c r="D2783" s="28"/>
      <c r="E2783" s="16"/>
    </row>
    <row r="2784" spans="1:5" x14ac:dyDescent="0.2">
      <c r="A2784" s="28"/>
      <c r="B2784" s="28"/>
      <c r="C2784" s="28"/>
      <c r="D2784" s="28"/>
      <c r="E2784" s="16"/>
    </row>
    <row r="2785" spans="1:5" x14ac:dyDescent="0.2">
      <c r="A2785" s="28"/>
      <c r="B2785" s="28"/>
      <c r="C2785" s="28"/>
      <c r="D2785" s="28"/>
      <c r="E2785" s="16"/>
    </row>
    <row r="2786" spans="1:5" x14ac:dyDescent="0.2">
      <c r="A2786" s="28"/>
      <c r="B2786" s="28"/>
      <c r="C2786" s="28"/>
      <c r="D2786" s="28"/>
      <c r="E2786" s="16"/>
    </row>
    <row r="2787" spans="1:5" x14ac:dyDescent="0.2">
      <c r="A2787" s="28"/>
      <c r="B2787" s="28"/>
      <c r="C2787" s="28"/>
      <c r="D2787" s="28"/>
      <c r="E2787" s="16"/>
    </row>
    <row r="2788" spans="1:5" x14ac:dyDescent="0.2">
      <c r="A2788" s="28"/>
      <c r="B2788" s="28"/>
      <c r="C2788" s="28"/>
      <c r="D2788" s="28"/>
      <c r="E2788" s="16"/>
    </row>
    <row r="2789" spans="1:5" x14ac:dyDescent="0.2">
      <c r="A2789" s="28"/>
      <c r="B2789" s="28"/>
      <c r="C2789" s="28"/>
      <c r="D2789" s="28"/>
      <c r="E2789" s="16"/>
    </row>
    <row r="2790" spans="1:5" x14ac:dyDescent="0.2">
      <c r="A2790" s="28"/>
      <c r="B2790" s="28"/>
      <c r="C2790" s="28"/>
      <c r="D2790" s="28"/>
      <c r="E2790" s="16"/>
    </row>
    <row r="2791" spans="1:5" x14ac:dyDescent="0.2">
      <c r="A2791" s="28"/>
      <c r="B2791" s="28"/>
      <c r="C2791" s="28"/>
      <c r="D2791" s="28"/>
      <c r="E2791" s="16"/>
    </row>
    <row r="2792" spans="1:5" x14ac:dyDescent="0.2">
      <c r="A2792" s="28"/>
      <c r="B2792" s="28"/>
      <c r="C2792" s="28"/>
      <c r="D2792" s="28"/>
      <c r="E2792" s="16"/>
    </row>
    <row r="2793" spans="1:5" x14ac:dyDescent="0.2">
      <c r="A2793" s="28"/>
      <c r="B2793" s="28"/>
      <c r="C2793" s="28"/>
      <c r="D2793" s="28"/>
      <c r="E2793" s="16"/>
    </row>
    <row r="2794" spans="1:5" x14ac:dyDescent="0.2">
      <c r="A2794" s="28"/>
      <c r="B2794" s="28"/>
      <c r="C2794" s="28"/>
      <c r="D2794" s="28"/>
      <c r="E2794" s="16"/>
    </row>
    <row r="2795" spans="1:5" x14ac:dyDescent="0.2">
      <c r="A2795" s="28"/>
      <c r="B2795" s="28"/>
      <c r="C2795" s="28"/>
      <c r="D2795" s="28"/>
      <c r="E2795" s="16"/>
    </row>
    <row r="2796" spans="1:5" x14ac:dyDescent="0.2">
      <c r="A2796" s="28"/>
      <c r="B2796" s="28"/>
      <c r="C2796" s="28"/>
      <c r="D2796" s="28"/>
      <c r="E2796" s="16"/>
    </row>
    <row r="2797" spans="1:5" x14ac:dyDescent="0.2">
      <c r="A2797" s="28"/>
      <c r="B2797" s="28"/>
      <c r="C2797" s="28"/>
      <c r="D2797" s="28"/>
      <c r="E2797" s="16"/>
    </row>
    <row r="2798" spans="1:5" x14ac:dyDescent="0.2">
      <c r="A2798" s="28"/>
      <c r="B2798" s="28"/>
      <c r="C2798" s="28"/>
      <c r="D2798" s="28"/>
      <c r="E2798" s="16"/>
    </row>
    <row r="2799" spans="1:5" x14ac:dyDescent="0.2">
      <c r="A2799" s="28"/>
      <c r="B2799" s="28"/>
      <c r="C2799" s="28"/>
      <c r="D2799" s="28"/>
      <c r="E2799" s="16"/>
    </row>
    <row r="2800" spans="1:5" x14ac:dyDescent="0.2">
      <c r="A2800" s="28"/>
      <c r="B2800" s="28"/>
      <c r="C2800" s="28"/>
      <c r="D2800" s="28"/>
      <c r="E2800" s="16"/>
    </row>
    <row r="2801" spans="1:5" x14ac:dyDescent="0.2">
      <c r="A2801" s="28"/>
      <c r="B2801" s="28"/>
      <c r="C2801" s="28"/>
      <c r="D2801" s="28"/>
      <c r="E2801" s="16"/>
    </row>
    <row r="2802" spans="1:5" x14ac:dyDescent="0.2">
      <c r="A2802" s="28"/>
      <c r="B2802" s="28"/>
      <c r="C2802" s="28"/>
      <c r="D2802" s="28"/>
      <c r="E2802" s="16"/>
    </row>
    <row r="2803" spans="1:5" x14ac:dyDescent="0.2">
      <c r="A2803" s="28"/>
      <c r="B2803" s="28"/>
      <c r="C2803" s="28"/>
      <c r="D2803" s="28"/>
      <c r="E2803" s="16"/>
    </row>
    <row r="2804" spans="1:5" x14ac:dyDescent="0.2">
      <c r="A2804" s="28"/>
      <c r="B2804" s="28"/>
      <c r="C2804" s="28"/>
      <c r="D2804" s="28"/>
      <c r="E2804" s="16"/>
    </row>
    <row r="2805" spans="1:5" x14ac:dyDescent="0.2">
      <c r="A2805" s="28"/>
      <c r="B2805" s="28"/>
      <c r="C2805" s="28"/>
      <c r="D2805" s="28"/>
      <c r="E2805" s="16"/>
    </row>
    <row r="2806" spans="1:5" x14ac:dyDescent="0.2">
      <c r="A2806" s="28"/>
      <c r="B2806" s="28"/>
      <c r="C2806" s="28"/>
      <c r="D2806" s="28"/>
      <c r="E2806" s="16"/>
    </row>
    <row r="2807" spans="1:5" x14ac:dyDescent="0.2">
      <c r="A2807" s="28"/>
      <c r="B2807" s="28"/>
      <c r="C2807" s="28"/>
      <c r="D2807" s="28"/>
      <c r="E2807" s="16"/>
    </row>
    <row r="2808" spans="1:5" x14ac:dyDescent="0.2">
      <c r="A2808" s="28"/>
      <c r="B2808" s="28"/>
      <c r="C2808" s="28"/>
      <c r="D2808" s="28"/>
      <c r="E2808" s="16"/>
    </row>
    <row r="2809" spans="1:5" x14ac:dyDescent="0.2">
      <c r="A2809" s="28"/>
      <c r="B2809" s="28"/>
      <c r="C2809" s="28"/>
      <c r="D2809" s="28"/>
      <c r="E2809" s="16"/>
    </row>
    <row r="2810" spans="1:5" x14ac:dyDescent="0.2">
      <c r="A2810" s="28"/>
      <c r="B2810" s="28"/>
      <c r="C2810" s="28"/>
      <c r="D2810" s="28"/>
      <c r="E2810" s="16"/>
    </row>
    <row r="2811" spans="1:5" x14ac:dyDescent="0.2">
      <c r="A2811" s="28"/>
      <c r="B2811" s="28"/>
      <c r="C2811" s="28"/>
      <c r="D2811" s="28"/>
      <c r="E2811" s="16"/>
    </row>
    <row r="2812" spans="1:5" x14ac:dyDescent="0.2">
      <c r="A2812" s="28"/>
      <c r="B2812" s="28"/>
      <c r="C2812" s="28"/>
      <c r="D2812" s="28"/>
      <c r="E2812" s="16"/>
    </row>
    <row r="2813" spans="1:5" x14ac:dyDescent="0.2">
      <c r="A2813" s="28"/>
      <c r="B2813" s="28"/>
      <c r="C2813" s="28"/>
      <c r="D2813" s="28"/>
      <c r="E2813" s="16"/>
    </row>
    <row r="2814" spans="1:5" x14ac:dyDescent="0.2">
      <c r="A2814" s="28"/>
      <c r="B2814" s="28"/>
      <c r="C2814" s="28"/>
      <c r="D2814" s="28"/>
      <c r="E2814" s="16"/>
    </row>
    <row r="2815" spans="1:5" x14ac:dyDescent="0.2">
      <c r="A2815" s="28"/>
      <c r="B2815" s="28"/>
      <c r="C2815" s="28"/>
      <c r="D2815" s="28"/>
      <c r="E2815" s="16"/>
    </row>
    <row r="2816" spans="1:5" x14ac:dyDescent="0.2">
      <c r="A2816" s="28"/>
      <c r="B2816" s="28"/>
      <c r="C2816" s="28"/>
      <c r="D2816" s="28"/>
      <c r="E2816" s="16"/>
    </row>
    <row r="2817" spans="1:5" x14ac:dyDescent="0.2">
      <c r="A2817" s="28"/>
      <c r="B2817" s="28"/>
      <c r="C2817" s="28"/>
      <c r="D2817" s="28"/>
      <c r="E2817" s="16"/>
    </row>
    <row r="2818" spans="1:5" x14ac:dyDescent="0.2">
      <c r="A2818" s="28"/>
      <c r="B2818" s="28"/>
      <c r="C2818" s="28"/>
      <c r="D2818" s="28"/>
      <c r="E2818" s="16"/>
    </row>
    <row r="2819" spans="1:5" x14ac:dyDescent="0.2">
      <c r="A2819" s="28"/>
      <c r="B2819" s="28"/>
      <c r="C2819" s="28"/>
      <c r="D2819" s="28"/>
      <c r="E2819" s="16"/>
    </row>
    <row r="2820" spans="1:5" x14ac:dyDescent="0.2">
      <c r="A2820" s="28"/>
      <c r="B2820" s="28"/>
      <c r="C2820" s="28"/>
      <c r="D2820" s="28"/>
      <c r="E2820" s="16"/>
    </row>
    <row r="2821" spans="1:5" x14ac:dyDescent="0.2">
      <c r="A2821" s="28"/>
      <c r="B2821" s="28"/>
      <c r="C2821" s="28"/>
      <c r="D2821" s="28"/>
      <c r="E2821" s="16"/>
    </row>
    <row r="2822" spans="1:5" x14ac:dyDescent="0.2">
      <c r="A2822" s="28"/>
      <c r="B2822" s="28"/>
      <c r="C2822" s="28"/>
      <c r="D2822" s="28"/>
      <c r="E2822" s="16"/>
    </row>
    <row r="2823" spans="1:5" x14ac:dyDescent="0.2">
      <c r="A2823" s="28"/>
      <c r="B2823" s="28"/>
      <c r="C2823" s="28"/>
      <c r="D2823" s="28"/>
      <c r="E2823" s="16"/>
    </row>
    <row r="2824" spans="1:5" x14ac:dyDescent="0.2">
      <c r="A2824" s="28"/>
      <c r="B2824" s="28"/>
      <c r="C2824" s="28"/>
      <c r="D2824" s="28"/>
      <c r="E2824" s="16"/>
    </row>
    <row r="2825" spans="1:5" x14ac:dyDescent="0.2">
      <c r="A2825" s="28"/>
      <c r="B2825" s="28"/>
      <c r="C2825" s="28"/>
      <c r="D2825" s="28"/>
      <c r="E2825" s="16"/>
    </row>
    <row r="2826" spans="1:5" x14ac:dyDescent="0.2">
      <c r="A2826" s="28"/>
      <c r="B2826" s="28"/>
      <c r="C2826" s="28"/>
      <c r="D2826" s="28"/>
      <c r="E2826" s="16"/>
    </row>
    <row r="2827" spans="1:5" x14ac:dyDescent="0.2">
      <c r="A2827" s="28"/>
      <c r="B2827" s="28"/>
      <c r="C2827" s="28"/>
      <c r="D2827" s="28"/>
      <c r="E2827" s="16"/>
    </row>
    <row r="2828" spans="1:5" x14ac:dyDescent="0.2">
      <c r="A2828" s="28"/>
      <c r="B2828" s="28"/>
      <c r="C2828" s="28"/>
      <c r="D2828" s="28"/>
      <c r="E2828" s="16"/>
    </row>
    <row r="2829" spans="1:5" x14ac:dyDescent="0.2">
      <c r="A2829" s="28"/>
      <c r="B2829" s="28"/>
      <c r="C2829" s="28"/>
      <c r="D2829" s="28"/>
      <c r="E2829" s="16"/>
    </row>
    <row r="2830" spans="1:5" x14ac:dyDescent="0.2">
      <c r="A2830" s="28"/>
      <c r="B2830" s="28"/>
      <c r="C2830" s="28"/>
      <c r="D2830" s="28"/>
      <c r="E2830" s="16"/>
    </row>
    <row r="2831" spans="1:5" x14ac:dyDescent="0.2">
      <c r="A2831" s="28"/>
      <c r="B2831" s="28"/>
      <c r="C2831" s="28"/>
      <c r="D2831" s="28"/>
      <c r="E2831" s="16"/>
    </row>
    <row r="2832" spans="1:5" x14ac:dyDescent="0.2">
      <c r="A2832" s="28"/>
      <c r="B2832" s="28"/>
      <c r="C2832" s="28"/>
      <c r="D2832" s="28"/>
      <c r="E2832" s="16"/>
    </row>
    <row r="2833" spans="1:5" x14ac:dyDescent="0.2">
      <c r="A2833" s="28"/>
      <c r="B2833" s="28"/>
      <c r="C2833" s="28"/>
      <c r="D2833" s="28"/>
      <c r="E2833" s="16"/>
    </row>
    <row r="2834" spans="1:5" x14ac:dyDescent="0.2">
      <c r="A2834" s="28"/>
      <c r="B2834" s="28"/>
      <c r="C2834" s="28"/>
      <c r="D2834" s="28"/>
      <c r="E2834" s="16"/>
    </row>
    <row r="2835" spans="1:5" x14ac:dyDescent="0.2">
      <c r="A2835" s="28"/>
      <c r="B2835" s="28"/>
      <c r="C2835" s="28"/>
      <c r="D2835" s="28"/>
      <c r="E2835" s="16"/>
    </row>
    <row r="2836" spans="1:5" x14ac:dyDescent="0.2">
      <c r="A2836" s="28"/>
      <c r="B2836" s="28"/>
      <c r="C2836" s="28"/>
      <c r="D2836" s="28"/>
      <c r="E2836" s="16"/>
    </row>
    <row r="2837" spans="1:5" x14ac:dyDescent="0.2">
      <c r="A2837" s="28"/>
      <c r="B2837" s="28"/>
      <c r="C2837" s="28"/>
      <c r="D2837" s="28"/>
      <c r="E2837" s="16"/>
    </row>
    <row r="2838" spans="1:5" x14ac:dyDescent="0.2">
      <c r="A2838" s="28"/>
      <c r="B2838" s="28"/>
      <c r="C2838" s="28"/>
      <c r="D2838" s="28"/>
      <c r="E2838" s="16"/>
    </row>
    <row r="2839" spans="1:5" x14ac:dyDescent="0.2">
      <c r="A2839" s="28"/>
      <c r="B2839" s="28"/>
      <c r="C2839" s="28"/>
      <c r="D2839" s="28"/>
      <c r="E2839" s="16"/>
    </row>
    <row r="2840" spans="1:5" x14ac:dyDescent="0.2">
      <c r="A2840" s="28"/>
      <c r="B2840" s="28"/>
      <c r="C2840" s="28"/>
      <c r="D2840" s="28"/>
      <c r="E2840" s="16"/>
    </row>
    <row r="2841" spans="1:5" x14ac:dyDescent="0.2">
      <c r="A2841" s="28"/>
      <c r="B2841" s="28"/>
      <c r="C2841" s="28"/>
      <c r="D2841" s="28"/>
      <c r="E2841" s="16"/>
    </row>
    <row r="2842" spans="1:5" x14ac:dyDescent="0.2">
      <c r="A2842" s="28"/>
      <c r="B2842" s="28"/>
      <c r="C2842" s="28"/>
      <c r="D2842" s="28"/>
      <c r="E2842" s="16"/>
    </row>
    <row r="2843" spans="1:5" x14ac:dyDescent="0.2">
      <c r="A2843" s="28"/>
      <c r="B2843" s="28"/>
      <c r="C2843" s="28"/>
      <c r="D2843" s="28"/>
      <c r="E2843" s="16"/>
    </row>
    <row r="2844" spans="1:5" x14ac:dyDescent="0.2">
      <c r="A2844" s="28"/>
      <c r="B2844" s="28"/>
      <c r="C2844" s="28"/>
      <c r="D2844" s="28"/>
      <c r="E2844" s="16"/>
    </row>
    <row r="2845" spans="1:5" x14ac:dyDescent="0.2">
      <c r="A2845" s="28"/>
      <c r="B2845" s="28"/>
      <c r="C2845" s="28"/>
      <c r="D2845" s="28"/>
      <c r="E2845" s="16"/>
    </row>
    <row r="2846" spans="1:5" x14ac:dyDescent="0.2">
      <c r="A2846" s="28"/>
      <c r="B2846" s="28"/>
      <c r="C2846" s="28"/>
      <c r="D2846" s="28"/>
      <c r="E2846" s="16"/>
    </row>
    <row r="2847" spans="1:5" x14ac:dyDescent="0.2">
      <c r="A2847" s="28"/>
      <c r="B2847" s="28"/>
      <c r="C2847" s="28"/>
      <c r="D2847" s="28"/>
      <c r="E2847" s="16"/>
    </row>
    <row r="2848" spans="1:5" x14ac:dyDescent="0.2">
      <c r="A2848" s="28"/>
      <c r="B2848" s="28"/>
      <c r="C2848" s="28"/>
      <c r="D2848" s="28"/>
      <c r="E2848" s="16"/>
    </row>
    <row r="2849" spans="1:5" x14ac:dyDescent="0.2">
      <c r="A2849" s="28"/>
      <c r="B2849" s="28"/>
      <c r="C2849" s="28"/>
      <c r="D2849" s="28"/>
      <c r="E2849" s="16"/>
    </row>
    <row r="2850" spans="1:5" x14ac:dyDescent="0.2">
      <c r="A2850" s="28"/>
      <c r="B2850" s="28"/>
      <c r="C2850" s="28"/>
      <c r="D2850" s="28"/>
      <c r="E2850" s="16"/>
    </row>
    <row r="2851" spans="1:5" x14ac:dyDescent="0.2">
      <c r="A2851" s="28"/>
      <c r="B2851" s="28"/>
      <c r="C2851" s="28"/>
      <c r="D2851" s="28"/>
      <c r="E2851" s="16"/>
    </row>
    <row r="2852" spans="1:5" x14ac:dyDescent="0.2">
      <c r="A2852" s="28"/>
      <c r="B2852" s="28"/>
      <c r="C2852" s="28"/>
      <c r="D2852" s="28"/>
      <c r="E2852" s="16"/>
    </row>
    <row r="2853" spans="1:5" x14ac:dyDescent="0.2">
      <c r="A2853" s="28"/>
      <c r="B2853" s="28"/>
      <c r="C2853" s="28"/>
      <c r="D2853" s="28"/>
      <c r="E2853" s="16"/>
    </row>
    <row r="2854" spans="1:5" x14ac:dyDescent="0.2">
      <c r="A2854" s="28"/>
      <c r="B2854" s="28"/>
      <c r="C2854" s="28"/>
      <c r="D2854" s="28"/>
      <c r="E2854" s="16"/>
    </row>
    <row r="2855" spans="1:5" x14ac:dyDescent="0.2">
      <c r="A2855" s="28"/>
      <c r="B2855" s="28"/>
      <c r="C2855" s="28"/>
      <c r="D2855" s="28"/>
      <c r="E2855" s="16"/>
    </row>
    <row r="2856" spans="1:5" x14ac:dyDescent="0.2">
      <c r="A2856" s="28"/>
      <c r="B2856" s="28"/>
      <c r="C2856" s="28"/>
      <c r="D2856" s="28"/>
      <c r="E2856" s="16"/>
    </row>
    <row r="2857" spans="1:5" x14ac:dyDescent="0.2">
      <c r="A2857" s="28"/>
      <c r="B2857" s="28"/>
      <c r="C2857" s="28"/>
      <c r="D2857" s="28"/>
      <c r="E2857" s="16"/>
    </row>
    <row r="2858" spans="1:5" x14ac:dyDescent="0.2">
      <c r="A2858" s="28"/>
      <c r="B2858" s="28"/>
      <c r="C2858" s="28"/>
      <c r="D2858" s="28"/>
      <c r="E2858" s="16"/>
    </row>
    <row r="2859" spans="1:5" x14ac:dyDescent="0.2">
      <c r="A2859" s="28"/>
      <c r="B2859" s="28"/>
      <c r="C2859" s="28"/>
      <c r="D2859" s="28"/>
      <c r="E2859" s="16"/>
    </row>
    <row r="2860" spans="1:5" x14ac:dyDescent="0.2">
      <c r="A2860" s="28"/>
      <c r="B2860" s="28"/>
      <c r="C2860" s="28"/>
      <c r="D2860" s="28"/>
      <c r="E2860" s="16"/>
    </row>
    <row r="2861" spans="1:5" x14ac:dyDescent="0.2">
      <c r="A2861" s="28"/>
      <c r="B2861" s="28"/>
      <c r="C2861" s="28"/>
      <c r="D2861" s="28"/>
      <c r="E2861" s="16"/>
    </row>
    <row r="2862" spans="1:5" x14ac:dyDescent="0.2">
      <c r="A2862" s="28"/>
      <c r="B2862" s="28"/>
      <c r="C2862" s="28"/>
      <c r="D2862" s="28"/>
      <c r="E2862" s="16"/>
    </row>
    <row r="2863" spans="1:5" x14ac:dyDescent="0.2">
      <c r="A2863" s="28"/>
      <c r="B2863" s="28"/>
      <c r="C2863" s="28"/>
      <c r="D2863" s="28"/>
      <c r="E2863" s="16"/>
    </row>
    <row r="2864" spans="1:5" x14ac:dyDescent="0.2">
      <c r="A2864" s="28"/>
      <c r="B2864" s="28"/>
      <c r="C2864" s="28"/>
      <c r="D2864" s="28"/>
      <c r="E2864" s="16"/>
    </row>
    <row r="2865" spans="1:5" x14ac:dyDescent="0.2">
      <c r="A2865" s="28"/>
      <c r="B2865" s="28"/>
      <c r="C2865" s="28"/>
      <c r="D2865" s="28"/>
      <c r="E2865" s="16"/>
    </row>
    <row r="2866" spans="1:5" x14ac:dyDescent="0.2">
      <c r="A2866" s="28"/>
      <c r="B2866" s="28"/>
      <c r="C2866" s="28"/>
      <c r="D2866" s="28"/>
      <c r="E2866" s="16"/>
    </row>
    <row r="2867" spans="1:5" x14ac:dyDescent="0.2">
      <c r="A2867" s="28"/>
      <c r="B2867" s="28"/>
      <c r="C2867" s="28"/>
      <c r="D2867" s="28"/>
      <c r="E2867" s="16"/>
    </row>
    <row r="2868" spans="1:5" x14ac:dyDescent="0.2">
      <c r="A2868" s="28"/>
      <c r="B2868" s="28"/>
      <c r="C2868" s="28"/>
      <c r="D2868" s="28"/>
      <c r="E2868" s="16"/>
    </row>
    <row r="2869" spans="1:5" x14ac:dyDescent="0.2">
      <c r="A2869" s="28"/>
      <c r="B2869" s="28"/>
      <c r="C2869" s="28"/>
      <c r="D2869" s="28"/>
      <c r="E2869" s="16"/>
    </row>
    <row r="2870" spans="1:5" x14ac:dyDescent="0.2">
      <c r="A2870" s="28"/>
      <c r="B2870" s="28"/>
      <c r="C2870" s="28"/>
      <c r="D2870" s="28"/>
      <c r="E2870" s="16"/>
    </row>
    <row r="2871" spans="1:5" x14ac:dyDescent="0.2">
      <c r="A2871" s="28"/>
      <c r="B2871" s="28"/>
      <c r="C2871" s="28"/>
      <c r="D2871" s="28"/>
      <c r="E2871" s="16"/>
    </row>
    <row r="2872" spans="1:5" x14ac:dyDescent="0.2">
      <c r="A2872" s="28"/>
      <c r="B2872" s="28"/>
      <c r="C2872" s="28"/>
      <c r="D2872" s="28"/>
      <c r="E2872" s="16"/>
    </row>
    <row r="2873" spans="1:5" x14ac:dyDescent="0.2">
      <c r="A2873" s="28"/>
      <c r="B2873" s="28"/>
      <c r="C2873" s="28"/>
      <c r="D2873" s="28"/>
      <c r="E2873" s="16"/>
    </row>
    <row r="2874" spans="1:5" x14ac:dyDescent="0.2">
      <c r="A2874" s="28"/>
      <c r="B2874" s="28"/>
      <c r="C2874" s="28"/>
      <c r="D2874" s="28"/>
      <c r="E2874" s="16"/>
    </row>
    <row r="2875" spans="1:5" x14ac:dyDescent="0.2">
      <c r="A2875" s="28"/>
      <c r="B2875" s="28"/>
      <c r="C2875" s="28"/>
      <c r="D2875" s="28"/>
      <c r="E2875" s="16"/>
    </row>
    <row r="2876" spans="1:5" x14ac:dyDescent="0.2">
      <c r="A2876" s="28"/>
      <c r="B2876" s="28"/>
      <c r="C2876" s="28"/>
      <c r="D2876" s="28"/>
      <c r="E2876" s="16"/>
    </row>
    <row r="2877" spans="1:5" x14ac:dyDescent="0.2">
      <c r="A2877" s="28"/>
      <c r="B2877" s="28"/>
      <c r="C2877" s="28"/>
      <c r="D2877" s="28"/>
      <c r="E2877" s="16"/>
    </row>
    <row r="2878" spans="1:5" x14ac:dyDescent="0.2">
      <c r="A2878" s="28"/>
      <c r="B2878" s="28"/>
      <c r="C2878" s="28"/>
      <c r="D2878" s="28"/>
      <c r="E2878" s="16"/>
    </row>
    <row r="2879" spans="1:5" x14ac:dyDescent="0.2">
      <c r="A2879" s="28"/>
      <c r="B2879" s="28"/>
      <c r="C2879" s="28"/>
      <c r="D2879" s="28"/>
      <c r="E2879" s="16"/>
    </row>
    <row r="2880" spans="1:5" x14ac:dyDescent="0.2">
      <c r="A2880" s="28"/>
      <c r="B2880" s="28"/>
      <c r="C2880" s="28"/>
      <c r="D2880" s="28"/>
      <c r="E2880" s="16"/>
    </row>
    <row r="2881" spans="1:5" x14ac:dyDescent="0.2">
      <c r="A2881" s="28"/>
      <c r="B2881" s="28"/>
      <c r="C2881" s="28"/>
      <c r="D2881" s="28"/>
      <c r="E2881" s="16"/>
    </row>
    <row r="2882" spans="1:5" x14ac:dyDescent="0.2">
      <c r="A2882" s="28"/>
      <c r="B2882" s="28"/>
      <c r="C2882" s="28"/>
      <c r="D2882" s="28"/>
      <c r="E2882" s="16"/>
    </row>
    <row r="2883" spans="1:5" x14ac:dyDescent="0.2">
      <c r="A2883" s="28"/>
      <c r="B2883" s="28"/>
      <c r="C2883" s="28"/>
      <c r="D2883" s="28"/>
      <c r="E2883" s="16"/>
    </row>
    <row r="2884" spans="1:5" x14ac:dyDescent="0.2">
      <c r="A2884" s="28"/>
      <c r="B2884" s="28"/>
      <c r="C2884" s="28"/>
      <c r="D2884" s="28"/>
      <c r="E2884" s="16"/>
    </row>
    <row r="2885" spans="1:5" x14ac:dyDescent="0.2">
      <c r="A2885" s="28"/>
      <c r="B2885" s="28"/>
      <c r="C2885" s="28"/>
      <c r="D2885" s="28"/>
      <c r="E2885" s="16"/>
    </row>
    <row r="2886" spans="1:5" x14ac:dyDescent="0.2">
      <c r="A2886" s="28"/>
      <c r="B2886" s="28"/>
      <c r="C2886" s="28"/>
      <c r="D2886" s="28"/>
      <c r="E2886" s="16"/>
    </row>
    <row r="2887" spans="1:5" x14ac:dyDescent="0.2">
      <c r="A2887" s="28"/>
      <c r="B2887" s="28"/>
      <c r="C2887" s="28"/>
      <c r="D2887" s="28"/>
      <c r="E2887" s="16"/>
    </row>
    <row r="2888" spans="1:5" x14ac:dyDescent="0.2">
      <c r="A2888" s="28"/>
      <c r="B2888" s="28"/>
      <c r="C2888" s="28"/>
      <c r="D2888" s="28"/>
      <c r="E2888" s="16"/>
    </row>
    <row r="2889" spans="1:5" x14ac:dyDescent="0.2">
      <c r="A2889" s="28"/>
      <c r="B2889" s="28"/>
      <c r="C2889" s="28"/>
      <c r="D2889" s="28"/>
      <c r="E2889" s="16"/>
    </row>
    <row r="2890" spans="1:5" x14ac:dyDescent="0.2">
      <c r="A2890" s="28"/>
      <c r="B2890" s="28"/>
      <c r="C2890" s="28"/>
      <c r="D2890" s="28"/>
      <c r="E2890" s="16"/>
    </row>
    <row r="2891" spans="1:5" x14ac:dyDescent="0.2">
      <c r="A2891" s="28"/>
      <c r="B2891" s="28"/>
      <c r="C2891" s="28"/>
      <c r="D2891" s="28"/>
      <c r="E2891" s="16"/>
    </row>
    <row r="2892" spans="1:5" x14ac:dyDescent="0.2">
      <c r="A2892" s="28"/>
      <c r="B2892" s="28"/>
      <c r="C2892" s="28"/>
      <c r="D2892" s="28"/>
      <c r="E2892" s="16"/>
    </row>
    <row r="2893" spans="1:5" x14ac:dyDescent="0.2">
      <c r="A2893" s="28"/>
      <c r="B2893" s="28"/>
      <c r="C2893" s="28"/>
      <c r="D2893" s="28"/>
      <c r="E2893" s="16"/>
    </row>
    <row r="2894" spans="1:5" x14ac:dyDescent="0.2">
      <c r="A2894" s="28"/>
      <c r="B2894" s="28"/>
      <c r="C2894" s="28"/>
      <c r="D2894" s="28"/>
      <c r="E2894" s="16"/>
    </row>
    <row r="2895" spans="1:5" x14ac:dyDescent="0.2">
      <c r="A2895" s="28"/>
      <c r="B2895" s="28"/>
      <c r="C2895" s="28"/>
      <c r="D2895" s="28"/>
      <c r="E2895" s="16"/>
    </row>
    <row r="2896" spans="1:5" x14ac:dyDescent="0.2">
      <c r="A2896" s="28"/>
      <c r="B2896" s="28"/>
      <c r="C2896" s="28"/>
      <c r="D2896" s="28"/>
      <c r="E2896" s="16"/>
    </row>
    <row r="2897" spans="1:5" x14ac:dyDescent="0.2">
      <c r="A2897" s="28"/>
      <c r="B2897" s="28"/>
      <c r="C2897" s="28"/>
      <c r="D2897" s="28"/>
      <c r="E2897" s="16"/>
    </row>
    <row r="2898" spans="1:5" x14ac:dyDescent="0.2">
      <c r="A2898" s="28"/>
      <c r="B2898" s="28"/>
      <c r="C2898" s="28"/>
      <c r="D2898" s="28"/>
      <c r="E2898" s="16"/>
    </row>
    <row r="2899" spans="1:5" x14ac:dyDescent="0.2">
      <c r="A2899" s="28"/>
      <c r="B2899" s="28"/>
      <c r="C2899" s="28"/>
      <c r="D2899" s="28"/>
      <c r="E2899" s="16"/>
    </row>
    <row r="2900" spans="1:5" x14ac:dyDescent="0.2">
      <c r="A2900" s="28"/>
      <c r="B2900" s="28"/>
      <c r="C2900" s="28"/>
      <c r="D2900" s="28"/>
      <c r="E2900" s="16"/>
    </row>
    <row r="2901" spans="1:5" x14ac:dyDescent="0.2">
      <c r="A2901" s="28"/>
      <c r="B2901" s="28"/>
      <c r="C2901" s="28"/>
      <c r="D2901" s="28"/>
      <c r="E2901" s="16"/>
    </row>
    <row r="2902" spans="1:5" x14ac:dyDescent="0.2">
      <c r="A2902" s="28"/>
      <c r="B2902" s="28"/>
      <c r="C2902" s="28"/>
      <c r="D2902" s="28"/>
      <c r="E2902" s="16"/>
    </row>
    <row r="2903" spans="1:5" x14ac:dyDescent="0.2">
      <c r="A2903" s="28"/>
      <c r="B2903" s="28"/>
      <c r="C2903" s="28"/>
      <c r="D2903" s="28"/>
      <c r="E2903" s="16"/>
    </row>
    <row r="2904" spans="1:5" x14ac:dyDescent="0.2">
      <c r="A2904" s="28"/>
      <c r="B2904" s="28"/>
      <c r="C2904" s="28"/>
      <c r="D2904" s="28"/>
      <c r="E2904" s="16"/>
    </row>
    <row r="2905" spans="1:5" x14ac:dyDescent="0.2">
      <c r="A2905" s="28"/>
      <c r="B2905" s="28"/>
      <c r="C2905" s="28"/>
      <c r="D2905" s="28"/>
      <c r="E2905" s="16"/>
    </row>
    <row r="2906" spans="1:5" x14ac:dyDescent="0.2">
      <c r="A2906" s="28"/>
      <c r="B2906" s="28"/>
      <c r="C2906" s="28"/>
      <c r="D2906" s="28"/>
      <c r="E2906" s="16"/>
    </row>
    <row r="2907" spans="1:5" x14ac:dyDescent="0.2">
      <c r="A2907" s="28"/>
      <c r="B2907" s="28"/>
      <c r="C2907" s="28"/>
      <c r="D2907" s="28"/>
      <c r="E2907" s="16"/>
    </row>
    <row r="2908" spans="1:5" x14ac:dyDescent="0.2">
      <c r="A2908" s="28"/>
      <c r="B2908" s="28"/>
      <c r="C2908" s="28"/>
      <c r="D2908" s="28"/>
      <c r="E2908" s="16"/>
    </row>
    <row r="2909" spans="1:5" x14ac:dyDescent="0.2">
      <c r="A2909" s="28"/>
      <c r="B2909" s="28"/>
      <c r="C2909" s="28"/>
      <c r="D2909" s="28"/>
      <c r="E2909" s="16"/>
    </row>
    <row r="2910" spans="1:5" x14ac:dyDescent="0.2">
      <c r="A2910" s="28"/>
      <c r="B2910" s="28"/>
      <c r="C2910" s="28"/>
      <c r="D2910" s="28"/>
      <c r="E2910" s="16"/>
    </row>
    <row r="2911" spans="1:5" x14ac:dyDescent="0.2">
      <c r="A2911" s="28"/>
      <c r="B2911" s="28"/>
      <c r="C2911" s="28"/>
      <c r="D2911" s="28"/>
      <c r="E2911" s="16"/>
    </row>
    <row r="2912" spans="1:5" x14ac:dyDescent="0.2">
      <c r="A2912" s="28"/>
      <c r="B2912" s="28"/>
      <c r="C2912" s="28"/>
      <c r="D2912" s="28"/>
      <c r="E2912" s="16"/>
    </row>
    <row r="2913" spans="1:5" x14ac:dyDescent="0.2">
      <c r="A2913" s="28"/>
      <c r="B2913" s="28"/>
      <c r="C2913" s="28"/>
      <c r="D2913" s="28"/>
      <c r="E2913" s="16"/>
    </row>
    <row r="2914" spans="1:5" x14ac:dyDescent="0.2">
      <c r="A2914" s="28"/>
      <c r="B2914" s="28"/>
      <c r="C2914" s="28"/>
      <c r="D2914" s="28"/>
      <c r="E2914" s="16"/>
    </row>
    <row r="2915" spans="1:5" x14ac:dyDescent="0.2">
      <c r="A2915" s="28"/>
      <c r="B2915" s="28"/>
      <c r="C2915" s="28"/>
      <c r="D2915" s="28"/>
      <c r="E2915" s="16"/>
    </row>
    <row r="2916" spans="1:5" x14ac:dyDescent="0.2">
      <c r="A2916" s="28"/>
      <c r="B2916" s="28"/>
      <c r="C2916" s="28"/>
      <c r="D2916" s="28"/>
      <c r="E2916" s="16"/>
    </row>
    <row r="2917" spans="1:5" x14ac:dyDescent="0.2">
      <c r="A2917" s="28"/>
      <c r="B2917" s="28"/>
      <c r="C2917" s="28"/>
      <c r="D2917" s="28"/>
      <c r="E2917" s="16"/>
    </row>
    <row r="2918" spans="1:5" x14ac:dyDescent="0.2">
      <c r="A2918" s="28"/>
      <c r="B2918" s="28"/>
      <c r="C2918" s="28"/>
      <c r="D2918" s="28"/>
      <c r="E2918" s="16"/>
    </row>
    <row r="2919" spans="1:5" x14ac:dyDescent="0.2">
      <c r="A2919" s="28"/>
      <c r="B2919" s="28"/>
      <c r="C2919" s="28"/>
      <c r="D2919" s="28"/>
      <c r="E2919" s="16"/>
    </row>
    <row r="2920" spans="1:5" x14ac:dyDescent="0.2">
      <c r="A2920" s="28"/>
      <c r="B2920" s="28"/>
      <c r="C2920" s="28"/>
      <c r="D2920" s="28"/>
      <c r="E2920" s="16"/>
    </row>
    <row r="2921" spans="1:5" x14ac:dyDescent="0.2">
      <c r="A2921" s="28"/>
      <c r="B2921" s="28"/>
      <c r="C2921" s="28"/>
      <c r="D2921" s="28"/>
      <c r="E2921" s="16"/>
    </row>
    <row r="2922" spans="1:5" x14ac:dyDescent="0.2">
      <c r="A2922" s="28"/>
      <c r="B2922" s="28"/>
      <c r="C2922" s="28"/>
      <c r="D2922" s="28"/>
      <c r="E2922" s="16"/>
    </row>
    <row r="2923" spans="1:5" x14ac:dyDescent="0.2">
      <c r="A2923" s="28"/>
      <c r="B2923" s="28"/>
      <c r="C2923" s="28"/>
      <c r="D2923" s="28"/>
      <c r="E2923" s="16"/>
    </row>
    <row r="2924" spans="1:5" x14ac:dyDescent="0.2">
      <c r="A2924" s="28"/>
      <c r="B2924" s="28"/>
      <c r="C2924" s="28"/>
      <c r="D2924" s="28"/>
      <c r="E2924" s="16"/>
    </row>
    <row r="2925" spans="1:5" x14ac:dyDescent="0.2">
      <c r="A2925" s="28"/>
      <c r="B2925" s="28"/>
      <c r="C2925" s="28"/>
      <c r="D2925" s="28"/>
      <c r="E2925" s="16"/>
    </row>
    <row r="2926" spans="1:5" x14ac:dyDescent="0.2">
      <c r="A2926" s="28"/>
      <c r="B2926" s="28"/>
      <c r="C2926" s="28"/>
      <c r="D2926" s="28"/>
      <c r="E2926" s="16"/>
    </row>
    <row r="2927" spans="1:5" x14ac:dyDescent="0.2">
      <c r="A2927" s="28"/>
      <c r="B2927" s="28"/>
      <c r="C2927" s="28"/>
      <c r="D2927" s="28"/>
      <c r="E2927" s="16"/>
    </row>
    <row r="2928" spans="1:5" x14ac:dyDescent="0.2">
      <c r="A2928" s="28"/>
      <c r="B2928" s="28"/>
      <c r="C2928" s="28"/>
      <c r="D2928" s="28"/>
      <c r="E2928" s="16"/>
    </row>
    <row r="2929" spans="1:5" x14ac:dyDescent="0.2">
      <c r="A2929" s="28"/>
      <c r="B2929" s="28"/>
      <c r="C2929" s="28"/>
      <c r="D2929" s="28"/>
      <c r="E2929" s="16"/>
    </row>
    <row r="2930" spans="1:5" x14ac:dyDescent="0.2">
      <c r="A2930" s="28"/>
      <c r="B2930" s="28"/>
      <c r="C2930" s="28"/>
      <c r="D2930" s="28"/>
      <c r="E2930" s="16"/>
    </row>
    <row r="2931" spans="1:5" x14ac:dyDescent="0.2">
      <c r="A2931" s="28"/>
      <c r="B2931" s="28"/>
      <c r="C2931" s="28"/>
      <c r="D2931" s="28"/>
      <c r="E2931" s="16"/>
    </row>
    <row r="2932" spans="1:5" x14ac:dyDescent="0.2">
      <c r="A2932" s="28"/>
      <c r="B2932" s="28"/>
      <c r="C2932" s="28"/>
      <c r="D2932" s="28"/>
      <c r="E2932" s="16"/>
    </row>
    <row r="2933" spans="1:5" x14ac:dyDescent="0.2">
      <c r="A2933" s="28"/>
      <c r="B2933" s="28"/>
      <c r="C2933" s="28"/>
      <c r="D2933" s="28"/>
      <c r="E2933" s="16"/>
    </row>
    <row r="2934" spans="1:5" x14ac:dyDescent="0.2">
      <c r="A2934" s="28"/>
      <c r="B2934" s="28"/>
      <c r="C2934" s="28"/>
      <c r="D2934" s="28"/>
      <c r="E2934" s="16"/>
    </row>
    <row r="2935" spans="1:5" x14ac:dyDescent="0.2">
      <c r="A2935" s="28"/>
      <c r="B2935" s="28"/>
      <c r="C2935" s="28"/>
      <c r="D2935" s="28"/>
      <c r="E2935" s="16"/>
    </row>
    <row r="2936" spans="1:5" x14ac:dyDescent="0.2">
      <c r="A2936" s="28"/>
      <c r="B2936" s="28"/>
      <c r="C2936" s="28"/>
      <c r="D2936" s="28"/>
      <c r="E2936" s="16"/>
    </row>
    <row r="2937" spans="1:5" x14ac:dyDescent="0.2">
      <c r="A2937" s="28"/>
      <c r="B2937" s="28"/>
      <c r="C2937" s="28"/>
      <c r="D2937" s="28"/>
      <c r="E2937" s="16"/>
    </row>
    <row r="2938" spans="1:5" x14ac:dyDescent="0.2">
      <c r="A2938" s="28"/>
      <c r="B2938" s="28"/>
      <c r="C2938" s="28"/>
      <c r="D2938" s="28"/>
      <c r="E2938" s="16"/>
    </row>
    <row r="2939" spans="1:5" x14ac:dyDescent="0.2">
      <c r="A2939" s="28"/>
      <c r="B2939" s="28"/>
      <c r="C2939" s="28"/>
      <c r="D2939" s="28"/>
      <c r="E2939" s="16"/>
    </row>
    <row r="2940" spans="1:5" x14ac:dyDescent="0.2">
      <c r="A2940" s="28"/>
      <c r="B2940" s="28"/>
      <c r="C2940" s="28"/>
      <c r="D2940" s="28"/>
      <c r="E2940" s="16"/>
    </row>
    <row r="2941" spans="1:5" x14ac:dyDescent="0.2">
      <c r="A2941" s="28"/>
      <c r="B2941" s="28"/>
      <c r="C2941" s="28"/>
      <c r="D2941" s="28"/>
      <c r="E2941" s="16"/>
    </row>
    <row r="2942" spans="1:5" x14ac:dyDescent="0.2">
      <c r="A2942" s="28"/>
      <c r="B2942" s="28"/>
      <c r="C2942" s="28"/>
      <c r="D2942" s="28"/>
      <c r="E2942" s="16"/>
    </row>
    <row r="2943" spans="1:5" x14ac:dyDescent="0.2">
      <c r="A2943" s="28"/>
      <c r="B2943" s="28"/>
      <c r="C2943" s="28"/>
      <c r="D2943" s="28"/>
      <c r="E2943" s="16"/>
    </row>
    <row r="2944" spans="1:5" x14ac:dyDescent="0.2">
      <c r="A2944" s="28"/>
      <c r="B2944" s="28"/>
      <c r="C2944" s="28"/>
      <c r="D2944" s="28"/>
      <c r="E2944" s="16"/>
    </row>
    <row r="2945" spans="1:5" x14ac:dyDescent="0.2">
      <c r="A2945" s="28"/>
      <c r="B2945" s="28"/>
      <c r="C2945" s="28"/>
      <c r="D2945" s="28"/>
      <c r="E2945" s="16"/>
    </row>
    <row r="2946" spans="1:5" x14ac:dyDescent="0.2">
      <c r="A2946" s="28"/>
      <c r="B2946" s="28"/>
      <c r="C2946" s="28"/>
      <c r="D2946" s="28"/>
      <c r="E2946" s="16"/>
    </row>
    <row r="2947" spans="1:5" x14ac:dyDescent="0.2">
      <c r="A2947" s="28"/>
      <c r="B2947" s="28"/>
      <c r="C2947" s="28"/>
      <c r="D2947" s="28"/>
      <c r="E2947" s="16"/>
    </row>
    <row r="2948" spans="1:5" x14ac:dyDescent="0.2">
      <c r="A2948" s="28"/>
      <c r="B2948" s="28"/>
      <c r="C2948" s="28"/>
      <c r="D2948" s="28"/>
      <c r="E2948" s="16"/>
    </row>
    <row r="2949" spans="1:5" x14ac:dyDescent="0.2">
      <c r="A2949" s="28"/>
      <c r="B2949" s="28"/>
      <c r="C2949" s="28"/>
      <c r="D2949" s="28"/>
      <c r="E2949" s="16"/>
    </row>
    <row r="2950" spans="1:5" x14ac:dyDescent="0.2">
      <c r="A2950" s="28"/>
      <c r="B2950" s="28"/>
      <c r="C2950" s="28"/>
      <c r="D2950" s="28"/>
      <c r="E2950" s="16"/>
    </row>
    <row r="2951" spans="1:5" x14ac:dyDescent="0.2">
      <c r="A2951" s="28"/>
      <c r="B2951" s="28"/>
      <c r="C2951" s="28"/>
      <c r="D2951" s="28"/>
      <c r="E2951" s="16"/>
    </row>
    <row r="2952" spans="1:5" x14ac:dyDescent="0.2">
      <c r="A2952" s="28"/>
      <c r="B2952" s="28"/>
      <c r="C2952" s="28"/>
      <c r="D2952" s="28"/>
      <c r="E2952" s="16"/>
    </row>
    <row r="2953" spans="1:5" x14ac:dyDescent="0.2">
      <c r="A2953" s="28"/>
      <c r="B2953" s="28"/>
      <c r="C2953" s="28"/>
      <c r="D2953" s="28"/>
      <c r="E2953" s="16"/>
    </row>
    <row r="2954" spans="1:5" x14ac:dyDescent="0.2">
      <c r="A2954" s="28"/>
      <c r="B2954" s="28"/>
      <c r="C2954" s="28"/>
      <c r="D2954" s="28"/>
      <c r="E2954" s="16"/>
    </row>
    <row r="2955" spans="1:5" x14ac:dyDescent="0.2">
      <c r="A2955" s="28"/>
      <c r="B2955" s="28"/>
      <c r="C2955" s="28"/>
      <c r="D2955" s="28"/>
      <c r="E2955" s="16"/>
    </row>
    <row r="2956" spans="1:5" x14ac:dyDescent="0.2">
      <c r="A2956" s="28"/>
      <c r="B2956" s="28"/>
      <c r="C2956" s="28"/>
      <c r="D2956" s="28"/>
      <c r="E2956" s="16"/>
    </row>
    <row r="2957" spans="1:5" x14ac:dyDescent="0.2">
      <c r="A2957" s="28"/>
      <c r="B2957" s="28"/>
      <c r="C2957" s="28"/>
      <c r="D2957" s="28"/>
      <c r="E2957" s="16"/>
    </row>
    <row r="2958" spans="1:5" x14ac:dyDescent="0.2">
      <c r="A2958" s="28"/>
      <c r="B2958" s="28"/>
      <c r="C2958" s="28"/>
      <c r="D2958" s="28"/>
      <c r="E2958" s="16"/>
    </row>
    <row r="2959" spans="1:5" x14ac:dyDescent="0.2">
      <c r="A2959" s="28"/>
      <c r="B2959" s="28"/>
      <c r="C2959" s="28"/>
      <c r="D2959" s="28"/>
      <c r="E2959" s="16"/>
    </row>
    <row r="2960" spans="1:5" x14ac:dyDescent="0.2">
      <c r="A2960" s="28"/>
      <c r="B2960" s="28"/>
      <c r="C2960" s="28"/>
      <c r="D2960" s="28"/>
      <c r="E2960" s="16"/>
    </row>
    <row r="2961" spans="1:5" x14ac:dyDescent="0.2">
      <c r="A2961" s="28"/>
      <c r="B2961" s="28"/>
      <c r="C2961" s="28"/>
      <c r="D2961" s="28"/>
      <c r="E2961" s="16"/>
    </row>
    <row r="2962" spans="1:5" x14ac:dyDescent="0.2">
      <c r="A2962" s="28"/>
      <c r="B2962" s="28"/>
      <c r="C2962" s="28"/>
      <c r="D2962" s="28"/>
      <c r="E2962" s="16"/>
    </row>
    <row r="2963" spans="1:5" x14ac:dyDescent="0.2">
      <c r="A2963" s="28"/>
      <c r="B2963" s="28"/>
      <c r="C2963" s="28"/>
      <c r="D2963" s="28"/>
      <c r="E2963" s="16"/>
    </row>
    <row r="2964" spans="1:5" x14ac:dyDescent="0.2">
      <c r="A2964" s="28"/>
      <c r="B2964" s="28"/>
      <c r="C2964" s="28"/>
      <c r="D2964" s="28"/>
      <c r="E2964" s="16"/>
    </row>
    <row r="2965" spans="1:5" x14ac:dyDescent="0.2">
      <c r="A2965" s="28"/>
      <c r="B2965" s="28"/>
      <c r="C2965" s="28"/>
      <c r="D2965" s="28"/>
      <c r="E2965" s="16"/>
    </row>
    <row r="2966" spans="1:5" x14ac:dyDescent="0.2">
      <c r="A2966" s="28"/>
      <c r="B2966" s="28"/>
      <c r="C2966" s="28"/>
      <c r="D2966" s="28"/>
      <c r="E2966" s="16"/>
    </row>
    <row r="2967" spans="1:5" x14ac:dyDescent="0.2">
      <c r="A2967" s="28"/>
      <c r="B2967" s="28"/>
      <c r="C2967" s="28"/>
      <c r="D2967" s="28"/>
      <c r="E2967" s="16"/>
    </row>
    <row r="2968" spans="1:5" x14ac:dyDescent="0.2">
      <c r="A2968" s="28"/>
      <c r="B2968" s="28"/>
      <c r="C2968" s="28"/>
      <c r="D2968" s="28"/>
      <c r="E2968" s="16"/>
    </row>
    <row r="2969" spans="1:5" x14ac:dyDescent="0.2">
      <c r="A2969" s="28"/>
      <c r="B2969" s="28"/>
      <c r="C2969" s="28"/>
      <c r="D2969" s="28"/>
      <c r="E2969" s="16"/>
    </row>
    <row r="2970" spans="1:5" x14ac:dyDescent="0.2">
      <c r="A2970" s="28"/>
      <c r="B2970" s="28"/>
      <c r="C2970" s="28"/>
      <c r="D2970" s="28"/>
      <c r="E2970" s="16"/>
    </row>
    <row r="2971" spans="1:5" x14ac:dyDescent="0.2">
      <c r="A2971" s="28"/>
      <c r="B2971" s="28"/>
      <c r="C2971" s="28"/>
      <c r="D2971" s="28"/>
      <c r="E2971" s="16"/>
    </row>
    <row r="2972" spans="1:5" x14ac:dyDescent="0.2">
      <c r="A2972" s="28"/>
      <c r="B2972" s="28"/>
      <c r="C2972" s="28"/>
      <c r="D2972" s="28"/>
      <c r="E2972" s="16"/>
    </row>
    <row r="2973" spans="1:5" x14ac:dyDescent="0.2">
      <c r="A2973" s="28"/>
      <c r="B2973" s="28"/>
      <c r="C2973" s="28"/>
      <c r="D2973" s="28"/>
      <c r="E2973" s="16"/>
    </row>
    <row r="2974" spans="1:5" x14ac:dyDescent="0.2">
      <c r="A2974" s="28"/>
      <c r="B2974" s="28"/>
      <c r="C2974" s="28"/>
      <c r="D2974" s="28"/>
      <c r="E2974" s="16"/>
    </row>
    <row r="2975" spans="1:5" x14ac:dyDescent="0.2">
      <c r="A2975" s="28"/>
      <c r="B2975" s="28"/>
      <c r="C2975" s="28"/>
      <c r="D2975" s="28"/>
      <c r="E2975" s="16"/>
    </row>
    <row r="2976" spans="1:5" x14ac:dyDescent="0.2">
      <c r="A2976" s="28"/>
      <c r="B2976" s="28"/>
      <c r="C2976" s="28"/>
      <c r="D2976" s="28"/>
      <c r="E2976" s="16"/>
    </row>
    <row r="2977" spans="1:5" x14ac:dyDescent="0.2">
      <c r="A2977" s="28"/>
      <c r="B2977" s="28"/>
      <c r="C2977" s="28"/>
      <c r="D2977" s="28"/>
      <c r="E2977" s="16"/>
    </row>
    <row r="2978" spans="1:5" x14ac:dyDescent="0.2">
      <c r="A2978" s="28"/>
      <c r="B2978" s="28"/>
      <c r="C2978" s="28"/>
      <c r="D2978" s="28"/>
      <c r="E2978" s="16"/>
    </row>
    <row r="2979" spans="1:5" x14ac:dyDescent="0.2">
      <c r="A2979" s="28"/>
      <c r="B2979" s="28"/>
      <c r="C2979" s="28"/>
      <c r="D2979" s="28"/>
      <c r="E2979" s="16"/>
    </row>
    <row r="2980" spans="1:5" x14ac:dyDescent="0.2">
      <c r="A2980" s="28"/>
      <c r="B2980" s="28"/>
      <c r="C2980" s="28"/>
      <c r="D2980" s="28"/>
      <c r="E2980" s="16"/>
    </row>
    <row r="2981" spans="1:5" x14ac:dyDescent="0.2">
      <c r="A2981" s="28"/>
      <c r="B2981" s="28"/>
      <c r="C2981" s="28"/>
      <c r="D2981" s="28"/>
      <c r="E2981" s="16"/>
    </row>
    <row r="2982" spans="1:5" x14ac:dyDescent="0.2">
      <c r="A2982" s="28"/>
      <c r="B2982" s="28"/>
      <c r="C2982" s="28"/>
      <c r="D2982" s="28"/>
      <c r="E2982" s="16"/>
    </row>
    <row r="2983" spans="1:5" x14ac:dyDescent="0.2">
      <c r="A2983" s="28"/>
      <c r="B2983" s="28"/>
      <c r="C2983" s="28"/>
      <c r="D2983" s="28"/>
      <c r="E2983" s="16"/>
    </row>
    <row r="2984" spans="1:5" x14ac:dyDescent="0.2">
      <c r="A2984" s="28"/>
      <c r="B2984" s="28"/>
      <c r="C2984" s="28"/>
      <c r="D2984" s="28"/>
      <c r="E2984" s="16"/>
    </row>
    <row r="2985" spans="1:5" x14ac:dyDescent="0.2">
      <c r="A2985" s="28"/>
      <c r="B2985" s="28"/>
      <c r="C2985" s="28"/>
      <c r="D2985" s="28"/>
      <c r="E2985" s="16"/>
    </row>
    <row r="2986" spans="1:5" x14ac:dyDescent="0.2">
      <c r="A2986" s="28"/>
      <c r="B2986" s="28"/>
      <c r="C2986" s="28"/>
      <c r="D2986" s="28"/>
      <c r="E2986" s="16"/>
    </row>
    <row r="2987" spans="1:5" x14ac:dyDescent="0.2">
      <c r="A2987" s="28"/>
      <c r="B2987" s="28"/>
      <c r="C2987" s="28"/>
      <c r="D2987" s="28"/>
      <c r="E2987" s="16"/>
    </row>
    <row r="2988" spans="1:5" x14ac:dyDescent="0.2">
      <c r="A2988" s="28"/>
      <c r="B2988" s="28"/>
      <c r="C2988" s="28"/>
      <c r="D2988" s="28"/>
      <c r="E2988" s="16"/>
    </row>
    <row r="2989" spans="1:5" x14ac:dyDescent="0.2">
      <c r="A2989" s="28"/>
      <c r="B2989" s="28"/>
      <c r="C2989" s="28"/>
      <c r="D2989" s="28"/>
      <c r="E2989" s="16"/>
    </row>
    <row r="2990" spans="1:5" x14ac:dyDescent="0.2">
      <c r="A2990" s="28"/>
      <c r="B2990" s="28"/>
      <c r="C2990" s="28"/>
      <c r="D2990" s="28"/>
      <c r="E2990" s="16"/>
    </row>
    <row r="2991" spans="1:5" x14ac:dyDescent="0.2">
      <c r="A2991" s="28"/>
      <c r="B2991" s="28"/>
      <c r="C2991" s="28"/>
      <c r="D2991" s="28"/>
      <c r="E2991" s="16"/>
    </row>
    <row r="2992" spans="1:5" x14ac:dyDescent="0.2">
      <c r="A2992" s="28"/>
      <c r="B2992" s="28"/>
      <c r="C2992" s="28"/>
      <c r="D2992" s="28"/>
      <c r="E2992" s="16"/>
    </row>
    <row r="2993" spans="1:5" x14ac:dyDescent="0.2">
      <c r="A2993" s="28"/>
      <c r="B2993" s="28"/>
      <c r="C2993" s="28"/>
      <c r="D2993" s="28"/>
      <c r="E2993" s="16"/>
    </row>
    <row r="2994" spans="1:5" x14ac:dyDescent="0.2">
      <c r="A2994" s="28"/>
      <c r="B2994" s="28"/>
      <c r="C2994" s="28"/>
      <c r="D2994" s="28"/>
      <c r="E2994" s="16"/>
    </row>
    <row r="2995" spans="1:5" x14ac:dyDescent="0.2">
      <c r="A2995" s="28"/>
      <c r="B2995" s="28"/>
      <c r="C2995" s="28"/>
      <c r="D2995" s="28"/>
      <c r="E2995" s="16"/>
    </row>
    <row r="2996" spans="1:5" x14ac:dyDescent="0.2">
      <c r="A2996" s="28"/>
      <c r="B2996" s="28"/>
      <c r="C2996" s="28"/>
      <c r="D2996" s="28"/>
      <c r="E2996" s="16"/>
    </row>
    <row r="2997" spans="1:5" x14ac:dyDescent="0.2">
      <c r="A2997" s="28"/>
      <c r="B2997" s="28"/>
      <c r="C2997" s="28"/>
      <c r="D2997" s="28"/>
      <c r="E2997" s="16"/>
    </row>
    <row r="2998" spans="1:5" x14ac:dyDescent="0.2">
      <c r="A2998" s="28"/>
      <c r="B2998" s="28"/>
      <c r="C2998" s="28"/>
      <c r="D2998" s="28"/>
      <c r="E2998" s="16"/>
    </row>
    <row r="2999" spans="1:5" x14ac:dyDescent="0.2">
      <c r="A2999" s="28"/>
      <c r="B2999" s="28"/>
      <c r="C2999" s="28"/>
      <c r="D2999" s="28"/>
      <c r="E2999" s="16"/>
    </row>
    <row r="3000" spans="1:5" x14ac:dyDescent="0.2">
      <c r="A3000" s="28"/>
      <c r="B3000" s="28"/>
      <c r="C3000" s="28"/>
      <c r="D3000" s="28"/>
      <c r="E3000" s="16"/>
    </row>
    <row r="3001" spans="1:5" x14ac:dyDescent="0.2">
      <c r="A3001" s="28"/>
      <c r="B3001" s="28"/>
      <c r="C3001" s="28"/>
      <c r="D3001" s="28"/>
      <c r="E3001" s="16"/>
    </row>
    <row r="3002" spans="1:5" x14ac:dyDescent="0.2">
      <c r="A3002" s="28"/>
      <c r="B3002" s="28"/>
      <c r="C3002" s="28"/>
      <c r="D3002" s="28"/>
      <c r="E3002" s="16"/>
    </row>
    <row r="3003" spans="1:5" x14ac:dyDescent="0.2">
      <c r="A3003" s="28"/>
      <c r="B3003" s="28"/>
      <c r="C3003" s="28"/>
      <c r="D3003" s="28"/>
      <c r="E3003" s="16"/>
    </row>
    <row r="3004" spans="1:5" x14ac:dyDescent="0.2">
      <c r="A3004" s="28"/>
      <c r="B3004" s="28"/>
      <c r="C3004" s="28"/>
      <c r="D3004" s="28"/>
      <c r="E3004" s="16"/>
    </row>
    <row r="3005" spans="1:5" x14ac:dyDescent="0.2">
      <c r="A3005" s="28"/>
      <c r="B3005" s="28"/>
      <c r="C3005" s="28"/>
      <c r="D3005" s="28"/>
      <c r="E3005" s="16"/>
    </row>
    <row r="3006" spans="1:5" x14ac:dyDescent="0.2">
      <c r="A3006" s="28"/>
      <c r="B3006" s="28"/>
      <c r="C3006" s="28"/>
      <c r="D3006" s="28"/>
      <c r="E3006" s="16"/>
    </row>
    <row r="3007" spans="1:5" x14ac:dyDescent="0.2">
      <c r="A3007" s="28"/>
      <c r="B3007" s="28"/>
      <c r="C3007" s="28"/>
      <c r="D3007" s="28"/>
      <c r="E3007" s="16"/>
    </row>
    <row r="3008" spans="1:5" x14ac:dyDescent="0.2">
      <c r="A3008" s="28"/>
      <c r="B3008" s="28"/>
      <c r="C3008" s="28"/>
      <c r="D3008" s="28"/>
      <c r="E3008" s="16"/>
    </row>
    <row r="3009" spans="1:5" x14ac:dyDescent="0.2">
      <c r="A3009" s="28"/>
      <c r="B3009" s="28"/>
      <c r="C3009" s="28"/>
      <c r="D3009" s="28"/>
      <c r="E3009" s="16"/>
    </row>
    <row r="3010" spans="1:5" x14ac:dyDescent="0.2">
      <c r="A3010" s="28"/>
      <c r="B3010" s="28"/>
      <c r="C3010" s="28"/>
      <c r="D3010" s="28"/>
      <c r="E3010" s="16"/>
    </row>
    <row r="3011" spans="1:5" x14ac:dyDescent="0.2">
      <c r="A3011" s="28"/>
      <c r="B3011" s="28"/>
      <c r="C3011" s="28"/>
      <c r="D3011" s="28"/>
      <c r="E3011" s="16"/>
    </row>
    <row r="3012" spans="1:5" x14ac:dyDescent="0.2">
      <c r="A3012" s="28"/>
      <c r="B3012" s="28"/>
      <c r="C3012" s="28"/>
      <c r="D3012" s="28"/>
      <c r="E3012" s="16"/>
    </row>
    <row r="3013" spans="1:5" x14ac:dyDescent="0.2">
      <c r="A3013" s="28"/>
      <c r="B3013" s="28"/>
      <c r="C3013" s="28"/>
      <c r="D3013" s="28"/>
      <c r="E3013" s="16"/>
    </row>
    <row r="3014" spans="1:5" x14ac:dyDescent="0.2">
      <c r="A3014" s="28"/>
      <c r="B3014" s="28"/>
      <c r="C3014" s="28"/>
      <c r="D3014" s="28"/>
      <c r="E3014" s="16"/>
    </row>
    <row r="3015" spans="1:5" x14ac:dyDescent="0.2">
      <c r="A3015" s="28"/>
      <c r="B3015" s="28"/>
      <c r="C3015" s="28"/>
      <c r="D3015" s="28"/>
      <c r="E3015" s="16"/>
    </row>
    <row r="3016" spans="1:5" x14ac:dyDescent="0.2">
      <c r="A3016" s="28"/>
      <c r="B3016" s="28"/>
      <c r="C3016" s="28"/>
      <c r="D3016" s="28"/>
      <c r="E3016" s="16"/>
    </row>
    <row r="3017" spans="1:5" x14ac:dyDescent="0.2">
      <c r="A3017" s="28"/>
      <c r="B3017" s="28"/>
      <c r="C3017" s="28"/>
      <c r="D3017" s="28"/>
      <c r="E3017" s="16"/>
    </row>
    <row r="3018" spans="1:5" x14ac:dyDescent="0.2">
      <c r="A3018" s="28"/>
      <c r="B3018" s="28"/>
      <c r="C3018" s="28"/>
      <c r="D3018" s="28"/>
      <c r="E3018" s="16"/>
    </row>
    <row r="3019" spans="1:5" x14ac:dyDescent="0.2">
      <c r="A3019" s="28"/>
      <c r="B3019" s="28"/>
      <c r="C3019" s="28"/>
      <c r="D3019" s="28"/>
      <c r="E3019" s="16"/>
    </row>
    <row r="3020" spans="1:5" x14ac:dyDescent="0.2">
      <c r="A3020" s="28"/>
      <c r="B3020" s="28"/>
      <c r="C3020" s="28"/>
      <c r="D3020" s="28"/>
      <c r="E3020" s="16"/>
    </row>
    <row r="3021" spans="1:5" x14ac:dyDescent="0.2">
      <c r="A3021" s="28"/>
      <c r="B3021" s="28"/>
      <c r="C3021" s="28"/>
      <c r="D3021" s="28"/>
      <c r="E3021" s="16"/>
    </row>
    <row r="3022" spans="1:5" x14ac:dyDescent="0.2">
      <c r="A3022" s="28"/>
      <c r="B3022" s="28"/>
      <c r="C3022" s="28"/>
      <c r="D3022" s="28"/>
      <c r="E3022" s="16"/>
    </row>
    <row r="3023" spans="1:5" x14ac:dyDescent="0.2">
      <c r="A3023" s="28"/>
      <c r="B3023" s="28"/>
      <c r="C3023" s="28"/>
      <c r="D3023" s="28"/>
      <c r="E3023" s="16"/>
    </row>
    <row r="3024" spans="1:5" x14ac:dyDescent="0.2">
      <c r="A3024" s="28"/>
      <c r="B3024" s="28"/>
      <c r="C3024" s="28"/>
      <c r="D3024" s="28"/>
      <c r="E3024" s="16"/>
    </row>
    <row r="3025" spans="1:5" x14ac:dyDescent="0.2">
      <c r="A3025" s="28"/>
      <c r="B3025" s="28"/>
      <c r="C3025" s="28"/>
      <c r="D3025" s="28"/>
      <c r="E3025" s="16"/>
    </row>
    <row r="3026" spans="1:5" x14ac:dyDescent="0.2">
      <c r="A3026" s="28"/>
      <c r="B3026" s="28"/>
      <c r="C3026" s="28"/>
      <c r="D3026" s="28"/>
      <c r="E3026" s="16"/>
    </row>
    <row r="3027" spans="1:5" x14ac:dyDescent="0.2">
      <c r="A3027" s="28"/>
      <c r="B3027" s="28"/>
      <c r="C3027" s="28"/>
      <c r="D3027" s="28"/>
      <c r="E3027" s="16"/>
    </row>
    <row r="3028" spans="1:5" x14ac:dyDescent="0.2">
      <c r="A3028" s="28"/>
      <c r="B3028" s="28"/>
      <c r="C3028" s="28"/>
      <c r="D3028" s="28"/>
      <c r="E3028" s="16"/>
    </row>
    <row r="3029" spans="1:5" x14ac:dyDescent="0.2">
      <c r="A3029" s="28"/>
      <c r="B3029" s="28"/>
      <c r="C3029" s="28"/>
      <c r="D3029" s="28"/>
      <c r="E3029" s="16"/>
    </row>
    <row r="3030" spans="1:5" x14ac:dyDescent="0.2">
      <c r="A3030" s="28"/>
      <c r="B3030" s="28"/>
      <c r="C3030" s="28"/>
      <c r="D3030" s="28"/>
      <c r="E3030" s="16"/>
    </row>
    <row r="3031" spans="1:5" x14ac:dyDescent="0.2">
      <c r="A3031" s="28"/>
      <c r="B3031" s="28"/>
      <c r="C3031" s="28"/>
      <c r="D3031" s="28"/>
      <c r="E3031" s="16"/>
    </row>
    <row r="3032" spans="1:5" x14ac:dyDescent="0.2">
      <c r="A3032" s="28"/>
      <c r="B3032" s="28"/>
      <c r="C3032" s="28"/>
      <c r="D3032" s="28"/>
      <c r="E3032" s="16"/>
    </row>
    <row r="3033" spans="1:5" x14ac:dyDescent="0.2">
      <c r="A3033" s="28"/>
      <c r="B3033" s="28"/>
      <c r="C3033" s="28"/>
      <c r="D3033" s="28"/>
      <c r="E3033" s="16"/>
    </row>
    <row r="3034" spans="1:5" x14ac:dyDescent="0.2">
      <c r="A3034" s="28"/>
      <c r="B3034" s="28"/>
      <c r="C3034" s="28"/>
      <c r="D3034" s="28"/>
      <c r="E3034" s="16"/>
    </row>
    <row r="3035" spans="1:5" x14ac:dyDescent="0.2">
      <c r="A3035" s="28"/>
      <c r="B3035" s="28"/>
      <c r="C3035" s="28"/>
      <c r="D3035" s="28"/>
      <c r="E3035" s="16"/>
    </row>
    <row r="3036" spans="1:5" x14ac:dyDescent="0.2">
      <c r="A3036" s="28"/>
      <c r="B3036" s="28"/>
      <c r="C3036" s="28"/>
      <c r="D3036" s="28"/>
      <c r="E3036" s="16"/>
    </row>
    <row r="3037" spans="1:5" x14ac:dyDescent="0.2">
      <c r="A3037" s="28"/>
      <c r="B3037" s="28"/>
      <c r="C3037" s="28"/>
      <c r="D3037" s="28"/>
      <c r="E3037" s="16"/>
    </row>
    <row r="3038" spans="1:5" x14ac:dyDescent="0.2">
      <c r="A3038" s="28"/>
      <c r="B3038" s="28"/>
      <c r="C3038" s="28"/>
      <c r="D3038" s="28"/>
      <c r="E3038" s="16"/>
    </row>
    <row r="3039" spans="1:5" x14ac:dyDescent="0.2">
      <c r="A3039" s="28"/>
      <c r="B3039" s="28"/>
      <c r="C3039" s="28"/>
      <c r="D3039" s="28"/>
      <c r="E3039" s="16"/>
    </row>
    <row r="3040" spans="1:5" x14ac:dyDescent="0.2">
      <c r="A3040" s="28"/>
      <c r="B3040" s="28"/>
      <c r="C3040" s="28"/>
      <c r="D3040" s="28"/>
      <c r="E3040" s="16"/>
    </row>
    <row r="3041" spans="1:5" x14ac:dyDescent="0.2">
      <c r="A3041" s="28"/>
      <c r="B3041" s="28"/>
      <c r="C3041" s="28"/>
      <c r="D3041" s="28"/>
      <c r="E3041" s="16"/>
    </row>
    <row r="3042" spans="1:5" x14ac:dyDescent="0.2">
      <c r="A3042" s="28"/>
      <c r="B3042" s="28"/>
      <c r="C3042" s="28"/>
      <c r="D3042" s="28"/>
      <c r="E3042" s="16"/>
    </row>
    <row r="3043" spans="1:5" x14ac:dyDescent="0.2">
      <c r="A3043" s="28"/>
      <c r="B3043" s="28"/>
      <c r="C3043" s="28"/>
      <c r="D3043" s="28"/>
      <c r="E3043" s="16"/>
    </row>
    <row r="3044" spans="1:5" x14ac:dyDescent="0.2">
      <c r="A3044" s="28"/>
      <c r="B3044" s="28"/>
      <c r="C3044" s="28"/>
      <c r="D3044" s="28"/>
      <c r="E3044" s="16"/>
    </row>
    <row r="3045" spans="1:5" x14ac:dyDescent="0.2">
      <c r="A3045" s="28"/>
      <c r="B3045" s="28"/>
      <c r="C3045" s="28"/>
      <c r="D3045" s="28"/>
      <c r="E3045" s="16"/>
    </row>
    <row r="3046" spans="1:5" x14ac:dyDescent="0.2">
      <c r="A3046" s="28"/>
      <c r="B3046" s="28"/>
      <c r="C3046" s="28"/>
      <c r="D3046" s="28"/>
      <c r="E3046" s="16"/>
    </row>
    <row r="3047" spans="1:5" x14ac:dyDescent="0.2">
      <c r="A3047" s="28"/>
      <c r="B3047" s="28"/>
      <c r="C3047" s="28"/>
      <c r="D3047" s="28"/>
      <c r="E3047" s="16"/>
    </row>
    <row r="3048" spans="1:5" x14ac:dyDescent="0.2">
      <c r="A3048" s="28"/>
      <c r="B3048" s="28"/>
      <c r="C3048" s="28"/>
      <c r="D3048" s="28"/>
      <c r="E3048" s="16"/>
    </row>
    <row r="3049" spans="1:5" x14ac:dyDescent="0.2">
      <c r="A3049" s="28"/>
      <c r="B3049" s="28"/>
      <c r="C3049" s="28"/>
      <c r="D3049" s="28"/>
      <c r="E3049" s="16"/>
    </row>
    <row r="3050" spans="1:5" x14ac:dyDescent="0.2">
      <c r="A3050" s="28"/>
      <c r="B3050" s="28"/>
      <c r="C3050" s="28"/>
      <c r="D3050" s="28"/>
      <c r="E3050" s="16"/>
    </row>
    <row r="3051" spans="1:5" x14ac:dyDescent="0.2">
      <c r="A3051" s="28"/>
      <c r="B3051" s="28"/>
      <c r="C3051" s="28"/>
      <c r="D3051" s="28"/>
      <c r="E3051" s="16"/>
    </row>
    <row r="3052" spans="1:5" x14ac:dyDescent="0.2">
      <c r="A3052" s="28"/>
      <c r="B3052" s="28"/>
      <c r="C3052" s="28"/>
      <c r="D3052" s="28"/>
      <c r="E3052" s="16"/>
    </row>
    <row r="3053" spans="1:5" x14ac:dyDescent="0.2">
      <c r="A3053" s="28"/>
      <c r="B3053" s="28"/>
      <c r="C3053" s="28"/>
      <c r="D3053" s="28"/>
      <c r="E3053" s="16"/>
    </row>
    <row r="3054" spans="1:5" x14ac:dyDescent="0.2">
      <c r="A3054" s="28"/>
      <c r="B3054" s="28"/>
      <c r="C3054" s="28"/>
      <c r="D3054" s="28"/>
      <c r="E3054" s="16"/>
    </row>
    <row r="3055" spans="1:5" x14ac:dyDescent="0.2">
      <c r="A3055" s="28"/>
      <c r="B3055" s="28"/>
      <c r="C3055" s="28"/>
      <c r="D3055" s="28"/>
      <c r="E3055" s="16"/>
    </row>
    <row r="3056" spans="1:5" x14ac:dyDescent="0.2">
      <c r="A3056" s="28"/>
      <c r="B3056" s="28"/>
      <c r="C3056" s="28"/>
      <c r="D3056" s="28"/>
      <c r="E3056" s="16"/>
    </row>
    <row r="3057" spans="1:5" x14ac:dyDescent="0.2">
      <c r="A3057" s="28"/>
      <c r="B3057" s="28"/>
      <c r="C3057" s="28"/>
      <c r="D3057" s="28"/>
      <c r="E3057" s="16"/>
    </row>
    <row r="3058" spans="1:5" x14ac:dyDescent="0.2">
      <c r="A3058" s="28"/>
      <c r="B3058" s="28"/>
      <c r="C3058" s="28"/>
      <c r="D3058" s="28"/>
      <c r="E3058" s="16"/>
    </row>
    <row r="3059" spans="1:5" x14ac:dyDescent="0.2">
      <c r="A3059" s="28"/>
      <c r="B3059" s="28"/>
      <c r="C3059" s="28"/>
      <c r="D3059" s="28"/>
      <c r="E3059" s="16"/>
    </row>
    <row r="3060" spans="1:5" x14ac:dyDescent="0.2">
      <c r="A3060" s="28"/>
      <c r="B3060" s="28"/>
      <c r="C3060" s="28"/>
      <c r="D3060" s="28"/>
      <c r="E3060" s="16"/>
    </row>
    <row r="3061" spans="1:5" x14ac:dyDescent="0.2">
      <c r="A3061" s="28"/>
      <c r="B3061" s="28"/>
      <c r="C3061" s="28"/>
      <c r="D3061" s="28"/>
      <c r="E3061" s="16"/>
    </row>
    <row r="3062" spans="1:5" x14ac:dyDescent="0.2">
      <c r="A3062" s="28"/>
      <c r="B3062" s="28"/>
      <c r="C3062" s="28"/>
      <c r="D3062" s="28"/>
      <c r="E3062" s="16"/>
    </row>
    <row r="3063" spans="1:5" x14ac:dyDescent="0.2">
      <c r="A3063" s="28"/>
      <c r="B3063" s="28"/>
      <c r="C3063" s="28"/>
      <c r="D3063" s="28"/>
      <c r="E3063" s="16"/>
    </row>
    <row r="3064" spans="1:5" x14ac:dyDescent="0.2">
      <c r="A3064" s="28"/>
      <c r="B3064" s="28"/>
      <c r="C3064" s="28"/>
      <c r="D3064" s="28"/>
      <c r="E3064" s="16"/>
    </row>
    <row r="3065" spans="1:5" x14ac:dyDescent="0.2">
      <c r="A3065" s="28"/>
      <c r="B3065" s="28"/>
      <c r="C3065" s="28"/>
      <c r="D3065" s="28"/>
      <c r="E3065" s="16"/>
    </row>
    <row r="3066" spans="1:5" x14ac:dyDescent="0.2">
      <c r="A3066" s="28"/>
      <c r="B3066" s="28"/>
      <c r="C3066" s="28"/>
      <c r="D3066" s="28"/>
      <c r="E3066" s="16"/>
    </row>
    <row r="3067" spans="1:5" x14ac:dyDescent="0.2">
      <c r="A3067" s="28"/>
      <c r="B3067" s="28"/>
      <c r="C3067" s="28"/>
      <c r="D3067" s="28"/>
      <c r="E3067" s="16"/>
    </row>
    <row r="3068" spans="1:5" x14ac:dyDescent="0.2">
      <c r="A3068" s="28"/>
      <c r="B3068" s="28"/>
      <c r="C3068" s="28"/>
      <c r="D3068" s="28"/>
      <c r="E3068" s="16"/>
    </row>
    <row r="3069" spans="1:5" x14ac:dyDescent="0.2">
      <c r="A3069" s="28"/>
      <c r="B3069" s="28"/>
      <c r="C3069" s="28"/>
      <c r="D3069" s="28"/>
      <c r="E3069" s="16"/>
    </row>
    <row r="3070" spans="1:5" x14ac:dyDescent="0.2">
      <c r="A3070" s="28"/>
      <c r="B3070" s="28"/>
      <c r="C3070" s="28"/>
      <c r="D3070" s="28"/>
      <c r="E3070" s="16"/>
    </row>
    <row r="3071" spans="1:5" x14ac:dyDescent="0.2">
      <c r="A3071" s="28"/>
      <c r="B3071" s="28"/>
      <c r="C3071" s="28"/>
      <c r="D3071" s="28"/>
      <c r="E3071" s="16"/>
    </row>
    <row r="3072" spans="1:5" x14ac:dyDescent="0.2">
      <c r="A3072" s="28"/>
      <c r="B3072" s="28"/>
      <c r="C3072" s="28"/>
      <c r="D3072" s="28"/>
      <c r="E3072" s="16"/>
    </row>
    <row r="3073" spans="1:5" x14ac:dyDescent="0.2">
      <c r="A3073" s="28"/>
      <c r="B3073" s="28"/>
      <c r="C3073" s="28"/>
      <c r="D3073" s="28"/>
      <c r="E3073" s="16"/>
    </row>
    <row r="3074" spans="1:5" x14ac:dyDescent="0.2">
      <c r="A3074" s="28"/>
      <c r="B3074" s="28"/>
      <c r="C3074" s="28"/>
      <c r="D3074" s="28"/>
      <c r="E3074" s="16"/>
    </row>
    <row r="3075" spans="1:5" x14ac:dyDescent="0.2">
      <c r="A3075" s="28"/>
      <c r="B3075" s="28"/>
      <c r="C3075" s="28"/>
      <c r="D3075" s="28"/>
      <c r="E3075" s="16"/>
    </row>
    <row r="3076" spans="1:5" x14ac:dyDescent="0.2">
      <c r="A3076" s="28"/>
      <c r="B3076" s="28"/>
      <c r="C3076" s="28"/>
      <c r="D3076" s="28"/>
      <c r="E3076" s="16"/>
    </row>
    <row r="3077" spans="1:5" x14ac:dyDescent="0.2">
      <c r="A3077" s="28"/>
      <c r="B3077" s="28"/>
      <c r="C3077" s="28"/>
      <c r="D3077" s="28"/>
      <c r="E3077" s="16"/>
    </row>
    <row r="3078" spans="1:5" x14ac:dyDescent="0.2">
      <c r="A3078" s="28"/>
      <c r="B3078" s="28"/>
      <c r="C3078" s="28"/>
      <c r="D3078" s="28"/>
      <c r="E3078" s="16"/>
    </row>
    <row r="3079" spans="1:5" x14ac:dyDescent="0.2">
      <c r="A3079" s="28"/>
      <c r="B3079" s="28"/>
      <c r="C3079" s="28"/>
      <c r="D3079" s="28"/>
      <c r="E3079" s="16"/>
    </row>
    <row r="3080" spans="1:5" x14ac:dyDescent="0.2">
      <c r="A3080" s="28"/>
      <c r="B3080" s="28"/>
      <c r="C3080" s="28"/>
      <c r="D3080" s="28"/>
      <c r="E3080" s="16"/>
    </row>
    <row r="3081" spans="1:5" x14ac:dyDescent="0.2">
      <c r="A3081" s="28"/>
      <c r="B3081" s="28"/>
      <c r="C3081" s="28"/>
      <c r="D3081" s="28"/>
      <c r="E3081" s="16"/>
    </row>
    <row r="3082" spans="1:5" x14ac:dyDescent="0.2">
      <c r="A3082" s="28"/>
      <c r="B3082" s="28"/>
      <c r="C3082" s="28"/>
      <c r="D3082" s="28"/>
      <c r="E3082" s="16"/>
    </row>
    <row r="3083" spans="1:5" x14ac:dyDescent="0.2">
      <c r="A3083" s="28"/>
      <c r="B3083" s="28"/>
      <c r="C3083" s="28"/>
      <c r="D3083" s="28"/>
      <c r="E3083" s="16"/>
    </row>
    <row r="3084" spans="1:5" x14ac:dyDescent="0.2">
      <c r="A3084" s="28"/>
      <c r="B3084" s="28"/>
      <c r="C3084" s="28"/>
      <c r="D3084" s="28"/>
      <c r="E3084" s="16"/>
    </row>
    <row r="3085" spans="1:5" x14ac:dyDescent="0.2">
      <c r="A3085" s="28"/>
      <c r="B3085" s="28"/>
      <c r="C3085" s="28"/>
      <c r="D3085" s="28"/>
      <c r="E3085" s="16"/>
    </row>
    <row r="3086" spans="1:5" x14ac:dyDescent="0.2">
      <c r="A3086" s="28"/>
      <c r="B3086" s="28"/>
      <c r="C3086" s="28"/>
      <c r="D3086" s="28"/>
      <c r="E3086" s="16"/>
    </row>
    <row r="3087" spans="1:5" x14ac:dyDescent="0.2">
      <c r="A3087" s="28"/>
      <c r="B3087" s="28"/>
      <c r="C3087" s="28"/>
      <c r="D3087" s="28"/>
      <c r="E3087" s="16"/>
    </row>
    <row r="3088" spans="1:5" x14ac:dyDescent="0.2">
      <c r="A3088" s="28"/>
      <c r="B3088" s="28"/>
      <c r="C3088" s="28"/>
      <c r="D3088" s="28"/>
      <c r="E3088" s="16"/>
    </row>
    <row r="3089" spans="1:5" x14ac:dyDescent="0.2">
      <c r="A3089" s="28"/>
      <c r="B3089" s="28"/>
      <c r="C3089" s="28"/>
      <c r="D3089" s="28"/>
      <c r="E3089" s="16"/>
    </row>
    <row r="3090" spans="1:5" x14ac:dyDescent="0.2">
      <c r="A3090" s="28"/>
      <c r="B3090" s="28"/>
      <c r="C3090" s="28"/>
      <c r="D3090" s="28"/>
      <c r="E3090" s="16"/>
    </row>
    <row r="3091" spans="1:5" x14ac:dyDescent="0.2">
      <c r="A3091" s="28"/>
      <c r="B3091" s="28"/>
      <c r="C3091" s="28"/>
      <c r="D3091" s="28"/>
      <c r="E3091" s="16"/>
    </row>
    <row r="3092" spans="1:5" x14ac:dyDescent="0.2">
      <c r="A3092" s="28"/>
      <c r="B3092" s="28"/>
      <c r="C3092" s="28"/>
      <c r="D3092" s="28"/>
      <c r="E3092" s="16"/>
    </row>
    <row r="3093" spans="1:5" x14ac:dyDescent="0.2">
      <c r="A3093" s="28"/>
      <c r="B3093" s="28"/>
      <c r="C3093" s="28"/>
      <c r="D3093" s="28"/>
      <c r="E3093" s="16"/>
    </row>
    <row r="3094" spans="1:5" x14ac:dyDescent="0.2">
      <c r="A3094" s="28"/>
      <c r="B3094" s="28"/>
      <c r="C3094" s="28"/>
      <c r="D3094" s="28"/>
      <c r="E3094" s="16"/>
    </row>
    <row r="3095" spans="1:5" x14ac:dyDescent="0.2">
      <c r="A3095" s="28"/>
      <c r="B3095" s="28"/>
      <c r="C3095" s="28"/>
      <c r="D3095" s="28"/>
      <c r="E3095" s="16"/>
    </row>
    <row r="3096" spans="1:5" x14ac:dyDescent="0.2">
      <c r="A3096" s="28"/>
      <c r="B3096" s="28"/>
      <c r="C3096" s="28"/>
      <c r="D3096" s="28"/>
      <c r="E3096" s="16"/>
    </row>
    <row r="3097" spans="1:5" x14ac:dyDescent="0.2">
      <c r="A3097" s="28"/>
      <c r="B3097" s="28"/>
      <c r="C3097" s="28"/>
      <c r="D3097" s="28"/>
      <c r="E3097" s="16"/>
    </row>
    <row r="3098" spans="1:5" x14ac:dyDescent="0.2">
      <c r="A3098" s="28"/>
      <c r="B3098" s="28"/>
      <c r="C3098" s="28"/>
      <c r="D3098" s="28"/>
      <c r="E3098" s="16"/>
    </row>
    <row r="3099" spans="1:5" x14ac:dyDescent="0.2">
      <c r="A3099" s="28"/>
      <c r="B3099" s="28"/>
      <c r="C3099" s="28"/>
      <c r="D3099" s="28"/>
      <c r="E3099" s="16"/>
    </row>
    <row r="3100" spans="1:5" x14ac:dyDescent="0.2">
      <c r="A3100" s="28"/>
      <c r="B3100" s="28"/>
      <c r="C3100" s="28"/>
      <c r="D3100" s="28"/>
      <c r="E3100" s="16"/>
    </row>
    <row r="3101" spans="1:5" x14ac:dyDescent="0.2">
      <c r="A3101" s="28"/>
      <c r="B3101" s="28"/>
      <c r="C3101" s="28"/>
      <c r="D3101" s="28"/>
      <c r="E3101" s="16"/>
    </row>
    <row r="3102" spans="1:5" x14ac:dyDescent="0.2">
      <c r="A3102" s="28"/>
      <c r="B3102" s="28"/>
      <c r="C3102" s="28"/>
      <c r="D3102" s="28"/>
      <c r="E3102" s="16"/>
    </row>
    <row r="3103" spans="1:5" x14ac:dyDescent="0.2">
      <c r="A3103" s="28"/>
      <c r="B3103" s="28"/>
      <c r="C3103" s="28"/>
      <c r="D3103" s="28"/>
      <c r="E3103" s="16"/>
    </row>
    <row r="3104" spans="1:5" x14ac:dyDescent="0.2">
      <c r="A3104" s="28"/>
      <c r="B3104" s="28"/>
      <c r="C3104" s="28"/>
      <c r="D3104" s="28"/>
      <c r="E3104" s="16"/>
    </row>
    <row r="3105" spans="1:5" x14ac:dyDescent="0.2">
      <c r="A3105" s="28"/>
      <c r="B3105" s="28"/>
      <c r="C3105" s="28"/>
      <c r="D3105" s="28"/>
      <c r="E3105" s="16"/>
    </row>
    <row r="3106" spans="1:5" x14ac:dyDescent="0.2">
      <c r="A3106" s="28"/>
      <c r="B3106" s="28"/>
      <c r="C3106" s="28"/>
      <c r="D3106" s="28"/>
      <c r="E3106" s="16"/>
    </row>
    <row r="3107" spans="1:5" x14ac:dyDescent="0.2">
      <c r="A3107" s="28"/>
      <c r="B3107" s="28"/>
      <c r="C3107" s="28"/>
      <c r="D3107" s="28"/>
      <c r="E3107" s="16"/>
    </row>
    <row r="3108" spans="1:5" x14ac:dyDescent="0.2">
      <c r="A3108" s="28"/>
      <c r="B3108" s="28"/>
      <c r="C3108" s="28"/>
      <c r="D3108" s="28"/>
      <c r="E3108" s="16"/>
    </row>
    <row r="3109" spans="1:5" x14ac:dyDescent="0.2">
      <c r="A3109" s="28"/>
      <c r="B3109" s="28"/>
      <c r="C3109" s="28"/>
      <c r="D3109" s="28"/>
      <c r="E3109" s="16"/>
    </row>
    <row r="3110" spans="1:5" x14ac:dyDescent="0.2">
      <c r="A3110" s="28"/>
      <c r="B3110" s="28"/>
      <c r="C3110" s="28"/>
      <c r="D3110" s="28"/>
      <c r="E3110" s="16"/>
    </row>
    <row r="3111" spans="1:5" x14ac:dyDescent="0.2">
      <c r="A3111" s="28"/>
      <c r="B3111" s="28"/>
      <c r="C3111" s="28"/>
      <c r="D3111" s="28"/>
      <c r="E3111" s="16"/>
    </row>
    <row r="3112" spans="1:5" x14ac:dyDescent="0.2">
      <c r="A3112" s="28"/>
      <c r="B3112" s="28"/>
      <c r="C3112" s="28"/>
      <c r="D3112" s="28"/>
      <c r="E3112" s="16"/>
    </row>
    <row r="3113" spans="1:5" x14ac:dyDescent="0.2">
      <c r="A3113" s="28"/>
      <c r="B3113" s="28"/>
      <c r="C3113" s="28"/>
      <c r="D3113" s="28"/>
      <c r="E3113" s="16"/>
    </row>
    <row r="3114" spans="1:5" x14ac:dyDescent="0.2">
      <c r="A3114" s="28"/>
      <c r="B3114" s="28"/>
      <c r="C3114" s="28"/>
      <c r="D3114" s="28"/>
      <c r="E3114" s="16"/>
    </row>
    <row r="3115" spans="1:5" x14ac:dyDescent="0.2">
      <c r="A3115" s="28"/>
      <c r="B3115" s="28"/>
      <c r="C3115" s="28"/>
      <c r="D3115" s="28"/>
      <c r="E3115" s="16"/>
    </row>
    <row r="3116" spans="1:5" x14ac:dyDescent="0.2">
      <c r="A3116" s="28"/>
      <c r="B3116" s="28"/>
      <c r="C3116" s="28"/>
      <c r="D3116" s="28"/>
      <c r="E3116" s="16"/>
    </row>
    <row r="3117" spans="1:5" x14ac:dyDescent="0.2">
      <c r="A3117" s="28"/>
      <c r="B3117" s="28"/>
      <c r="C3117" s="28"/>
      <c r="D3117" s="28"/>
      <c r="E3117" s="16"/>
    </row>
    <row r="3118" spans="1:5" x14ac:dyDescent="0.2">
      <c r="A3118" s="28"/>
      <c r="B3118" s="28"/>
      <c r="C3118" s="28"/>
      <c r="D3118" s="28"/>
      <c r="E3118" s="16"/>
    </row>
    <row r="3119" spans="1:5" x14ac:dyDescent="0.2">
      <c r="A3119" s="28"/>
      <c r="B3119" s="28"/>
      <c r="C3119" s="28"/>
      <c r="D3119" s="28"/>
      <c r="E3119" s="16"/>
    </row>
    <row r="3120" spans="1:5" x14ac:dyDescent="0.2">
      <c r="A3120" s="28"/>
      <c r="B3120" s="28"/>
      <c r="C3120" s="28"/>
      <c r="D3120" s="28"/>
      <c r="E3120" s="16"/>
    </row>
    <row r="3121" spans="1:5" x14ac:dyDescent="0.2">
      <c r="A3121" s="28"/>
      <c r="B3121" s="28"/>
      <c r="C3121" s="28"/>
      <c r="D3121" s="28"/>
      <c r="E3121" s="16"/>
    </row>
    <row r="3122" spans="1:5" x14ac:dyDescent="0.2">
      <c r="A3122" s="28"/>
      <c r="B3122" s="28"/>
      <c r="C3122" s="28"/>
      <c r="D3122" s="28"/>
      <c r="E3122" s="16"/>
    </row>
    <row r="3123" spans="1:5" x14ac:dyDescent="0.2">
      <c r="A3123" s="28"/>
      <c r="B3123" s="28"/>
      <c r="C3123" s="28"/>
      <c r="D3123" s="28"/>
      <c r="E3123" s="16"/>
    </row>
    <row r="3124" spans="1:5" x14ac:dyDescent="0.2">
      <c r="A3124" s="28"/>
      <c r="B3124" s="28"/>
      <c r="C3124" s="28"/>
      <c r="D3124" s="28"/>
      <c r="E3124" s="16"/>
    </row>
    <row r="3125" spans="1:5" x14ac:dyDescent="0.2">
      <c r="A3125" s="28"/>
      <c r="B3125" s="28"/>
      <c r="C3125" s="28"/>
      <c r="D3125" s="28"/>
      <c r="E3125" s="16"/>
    </row>
    <row r="3126" spans="1:5" x14ac:dyDescent="0.2">
      <c r="A3126" s="28"/>
      <c r="B3126" s="28"/>
      <c r="C3126" s="28"/>
      <c r="D3126" s="28"/>
      <c r="E3126" s="16"/>
    </row>
    <row r="3127" spans="1:5" x14ac:dyDescent="0.2">
      <c r="A3127" s="28"/>
      <c r="B3127" s="28"/>
      <c r="C3127" s="28"/>
      <c r="D3127" s="28"/>
      <c r="E3127" s="16"/>
    </row>
    <row r="3128" spans="1:5" x14ac:dyDescent="0.2">
      <c r="A3128" s="28"/>
      <c r="B3128" s="28"/>
      <c r="C3128" s="28"/>
      <c r="D3128" s="28"/>
      <c r="E3128" s="16"/>
    </row>
    <row r="3129" spans="1:5" x14ac:dyDescent="0.2">
      <c r="A3129" s="28"/>
      <c r="B3129" s="28"/>
      <c r="C3129" s="28"/>
      <c r="D3129" s="28"/>
      <c r="E3129" s="16"/>
    </row>
    <row r="3130" spans="1:5" x14ac:dyDescent="0.2">
      <c r="A3130" s="28"/>
      <c r="B3130" s="28"/>
      <c r="C3130" s="28"/>
      <c r="D3130" s="28"/>
      <c r="E3130" s="16"/>
    </row>
    <row r="3131" spans="1:5" x14ac:dyDescent="0.2">
      <c r="A3131" s="28"/>
      <c r="B3131" s="28"/>
      <c r="C3131" s="28"/>
      <c r="D3131" s="28"/>
      <c r="E3131" s="16"/>
    </row>
    <row r="3132" spans="1:5" x14ac:dyDescent="0.2">
      <c r="A3132" s="28"/>
      <c r="B3132" s="28"/>
      <c r="C3132" s="28"/>
      <c r="D3132" s="28"/>
      <c r="E3132" s="16"/>
    </row>
    <row r="3133" spans="1:5" x14ac:dyDescent="0.2">
      <c r="A3133" s="28"/>
      <c r="B3133" s="28"/>
      <c r="C3133" s="28"/>
      <c r="D3133" s="28"/>
      <c r="E3133" s="16"/>
    </row>
    <row r="3134" spans="1:5" x14ac:dyDescent="0.2">
      <c r="A3134" s="28"/>
      <c r="B3134" s="28"/>
      <c r="C3134" s="28"/>
      <c r="D3134" s="28"/>
      <c r="E3134" s="16"/>
    </row>
    <row r="3135" spans="1:5" x14ac:dyDescent="0.2">
      <c r="A3135" s="28"/>
      <c r="B3135" s="28"/>
      <c r="C3135" s="28"/>
      <c r="D3135" s="28"/>
      <c r="E3135" s="16"/>
    </row>
    <row r="3136" spans="1:5" x14ac:dyDescent="0.2">
      <c r="A3136" s="28"/>
      <c r="B3136" s="28"/>
      <c r="C3136" s="28"/>
      <c r="D3136" s="28"/>
      <c r="E3136" s="16"/>
    </row>
    <row r="3137" spans="1:5" x14ac:dyDescent="0.2">
      <c r="A3137" s="28"/>
      <c r="B3137" s="28"/>
      <c r="C3137" s="28"/>
      <c r="D3137" s="28"/>
      <c r="E3137" s="16"/>
    </row>
    <row r="3138" spans="1:5" x14ac:dyDescent="0.2">
      <c r="A3138" s="28"/>
      <c r="B3138" s="28"/>
      <c r="C3138" s="28"/>
      <c r="D3138" s="28"/>
      <c r="E3138" s="16"/>
    </row>
    <row r="3139" spans="1:5" x14ac:dyDescent="0.2">
      <c r="A3139" s="28"/>
      <c r="B3139" s="28"/>
      <c r="C3139" s="28"/>
      <c r="D3139" s="28"/>
      <c r="E3139" s="16"/>
    </row>
    <row r="3140" spans="1:5" x14ac:dyDescent="0.2">
      <c r="A3140" s="28"/>
      <c r="B3140" s="28"/>
      <c r="C3140" s="28"/>
      <c r="D3140" s="28"/>
      <c r="E3140" s="16"/>
    </row>
    <row r="3141" spans="1:5" x14ac:dyDescent="0.2">
      <c r="A3141" s="28"/>
      <c r="B3141" s="28"/>
      <c r="C3141" s="28"/>
      <c r="D3141" s="28"/>
      <c r="E3141" s="16"/>
    </row>
    <row r="3142" spans="1:5" x14ac:dyDescent="0.2">
      <c r="A3142" s="28"/>
      <c r="B3142" s="28"/>
      <c r="C3142" s="28"/>
      <c r="D3142" s="28"/>
      <c r="E3142" s="16"/>
    </row>
    <row r="3143" spans="1:5" x14ac:dyDescent="0.2">
      <c r="A3143" s="28"/>
      <c r="B3143" s="28"/>
      <c r="C3143" s="28"/>
      <c r="D3143" s="28"/>
      <c r="E3143" s="16"/>
    </row>
    <row r="3144" spans="1:5" x14ac:dyDescent="0.2">
      <c r="A3144" s="28"/>
      <c r="B3144" s="28"/>
      <c r="C3144" s="28"/>
      <c r="D3144" s="28"/>
      <c r="E3144" s="16"/>
    </row>
    <row r="3145" spans="1:5" x14ac:dyDescent="0.2">
      <c r="A3145" s="28"/>
      <c r="B3145" s="28"/>
      <c r="C3145" s="28"/>
      <c r="D3145" s="28"/>
      <c r="E3145" s="16"/>
    </row>
    <row r="3146" spans="1:5" x14ac:dyDescent="0.2">
      <c r="A3146" s="28"/>
      <c r="B3146" s="28"/>
      <c r="C3146" s="28"/>
      <c r="D3146" s="28"/>
      <c r="E3146" s="16"/>
    </row>
    <row r="3147" spans="1:5" x14ac:dyDescent="0.2">
      <c r="A3147" s="28"/>
      <c r="B3147" s="28"/>
      <c r="C3147" s="28"/>
      <c r="D3147" s="28"/>
      <c r="E3147" s="16"/>
    </row>
    <row r="3148" spans="1:5" x14ac:dyDescent="0.2">
      <c r="A3148" s="28"/>
      <c r="B3148" s="28"/>
      <c r="C3148" s="28"/>
      <c r="D3148" s="28"/>
      <c r="E3148" s="16"/>
    </row>
    <row r="3149" spans="1:5" x14ac:dyDescent="0.2">
      <c r="A3149" s="28"/>
      <c r="B3149" s="28"/>
      <c r="C3149" s="28"/>
      <c r="D3149" s="28"/>
      <c r="E3149" s="16"/>
    </row>
    <row r="3150" spans="1:5" x14ac:dyDescent="0.2">
      <c r="A3150" s="28"/>
      <c r="B3150" s="28"/>
      <c r="C3150" s="28"/>
      <c r="D3150" s="28"/>
      <c r="E3150" s="16"/>
    </row>
    <row r="3151" spans="1:5" x14ac:dyDescent="0.2">
      <c r="A3151" s="28"/>
      <c r="B3151" s="28"/>
      <c r="C3151" s="28"/>
      <c r="D3151" s="28"/>
      <c r="E3151" s="16"/>
    </row>
    <row r="3152" spans="1:5" x14ac:dyDescent="0.2">
      <c r="A3152" s="28"/>
      <c r="B3152" s="28"/>
      <c r="C3152" s="28"/>
      <c r="D3152" s="28"/>
      <c r="E3152" s="16"/>
    </row>
    <row r="3153" spans="1:5" x14ac:dyDescent="0.2">
      <c r="A3153" s="28"/>
      <c r="B3153" s="28"/>
      <c r="C3153" s="28"/>
      <c r="D3153" s="28"/>
      <c r="E3153" s="16"/>
    </row>
    <row r="3154" spans="1:5" x14ac:dyDescent="0.2">
      <c r="A3154" s="28"/>
      <c r="B3154" s="28"/>
      <c r="C3154" s="28"/>
      <c r="D3154" s="28"/>
      <c r="E3154" s="16"/>
    </row>
    <row r="3155" spans="1:5" x14ac:dyDescent="0.2">
      <c r="A3155" s="28"/>
      <c r="B3155" s="28"/>
      <c r="C3155" s="28"/>
      <c r="D3155" s="28"/>
      <c r="E3155" s="16"/>
    </row>
    <row r="3156" spans="1:5" x14ac:dyDescent="0.2">
      <c r="A3156" s="28"/>
      <c r="B3156" s="28"/>
      <c r="C3156" s="28"/>
      <c r="D3156" s="28"/>
      <c r="E3156" s="16"/>
    </row>
    <row r="3157" spans="1:5" x14ac:dyDescent="0.2">
      <c r="A3157" s="28"/>
      <c r="B3157" s="28"/>
      <c r="C3157" s="28"/>
      <c r="D3157" s="28"/>
      <c r="E3157" s="16"/>
    </row>
    <row r="3158" spans="1:5" x14ac:dyDescent="0.2">
      <c r="A3158" s="28"/>
      <c r="B3158" s="28"/>
      <c r="C3158" s="28"/>
      <c r="D3158" s="28"/>
      <c r="E3158" s="16"/>
    </row>
    <row r="3159" spans="1:5" x14ac:dyDescent="0.2">
      <c r="A3159" s="28"/>
      <c r="B3159" s="28"/>
      <c r="C3159" s="28"/>
      <c r="D3159" s="28"/>
      <c r="E3159" s="16"/>
    </row>
    <row r="3160" spans="1:5" x14ac:dyDescent="0.2">
      <c r="A3160" s="28"/>
      <c r="B3160" s="28"/>
      <c r="C3160" s="28"/>
      <c r="D3160" s="28"/>
      <c r="E3160" s="16"/>
    </row>
    <row r="3161" spans="1:5" x14ac:dyDescent="0.2">
      <c r="A3161" s="28"/>
      <c r="B3161" s="28"/>
      <c r="C3161" s="28"/>
      <c r="D3161" s="28"/>
      <c r="E3161" s="16"/>
    </row>
    <row r="3162" spans="1:5" x14ac:dyDescent="0.2">
      <c r="A3162" s="28"/>
      <c r="B3162" s="28"/>
      <c r="C3162" s="28"/>
      <c r="D3162" s="28"/>
      <c r="E3162" s="16"/>
    </row>
    <row r="3163" spans="1:5" x14ac:dyDescent="0.2">
      <c r="A3163" s="28"/>
      <c r="B3163" s="28"/>
      <c r="C3163" s="28"/>
      <c r="D3163" s="28"/>
      <c r="E3163" s="16"/>
    </row>
    <row r="3164" spans="1:5" x14ac:dyDescent="0.2">
      <c r="A3164" s="28"/>
      <c r="B3164" s="28"/>
      <c r="C3164" s="28"/>
      <c r="D3164" s="28"/>
      <c r="E3164" s="16"/>
    </row>
    <row r="3165" spans="1:5" x14ac:dyDescent="0.2">
      <c r="A3165" s="28"/>
      <c r="B3165" s="28"/>
      <c r="C3165" s="28"/>
      <c r="D3165" s="28"/>
      <c r="E3165" s="16"/>
    </row>
    <row r="3166" spans="1:5" x14ac:dyDescent="0.2">
      <c r="A3166" s="28"/>
      <c r="B3166" s="28"/>
      <c r="C3166" s="28"/>
      <c r="D3166" s="28"/>
      <c r="E3166" s="16"/>
    </row>
    <row r="3167" spans="1:5" x14ac:dyDescent="0.2">
      <c r="A3167" s="28"/>
      <c r="B3167" s="28"/>
      <c r="C3167" s="28"/>
      <c r="D3167" s="28"/>
      <c r="E3167" s="16"/>
    </row>
    <row r="3168" spans="1:5" x14ac:dyDescent="0.2">
      <c r="A3168" s="28"/>
      <c r="B3168" s="28"/>
      <c r="C3168" s="28"/>
      <c r="D3168" s="28"/>
      <c r="E3168" s="16"/>
    </row>
    <row r="3169" spans="1:5" x14ac:dyDescent="0.2">
      <c r="A3169" s="28"/>
      <c r="B3169" s="28"/>
      <c r="C3169" s="28"/>
      <c r="D3169" s="28"/>
      <c r="E3169" s="16"/>
    </row>
    <row r="3170" spans="1:5" x14ac:dyDescent="0.2">
      <c r="A3170" s="28"/>
      <c r="B3170" s="28"/>
      <c r="C3170" s="28"/>
      <c r="D3170" s="28"/>
      <c r="E3170" s="16"/>
    </row>
    <row r="3171" spans="1:5" x14ac:dyDescent="0.2">
      <c r="A3171" s="28"/>
      <c r="B3171" s="28"/>
      <c r="C3171" s="28"/>
      <c r="D3171" s="28"/>
      <c r="E3171" s="16"/>
    </row>
    <row r="3172" spans="1:5" x14ac:dyDescent="0.2">
      <c r="A3172" s="28"/>
      <c r="B3172" s="28"/>
      <c r="C3172" s="28"/>
      <c r="D3172" s="28"/>
      <c r="E3172" s="16"/>
    </row>
    <row r="3173" spans="1:5" x14ac:dyDescent="0.2">
      <c r="A3173" s="28"/>
      <c r="B3173" s="28"/>
      <c r="C3173" s="28"/>
      <c r="D3173" s="28"/>
      <c r="E3173" s="16"/>
    </row>
    <row r="3174" spans="1:5" x14ac:dyDescent="0.2">
      <c r="A3174" s="28"/>
      <c r="B3174" s="28"/>
      <c r="C3174" s="28"/>
      <c r="D3174" s="28"/>
      <c r="E3174" s="16"/>
    </row>
    <row r="3175" spans="1:5" x14ac:dyDescent="0.2">
      <c r="A3175" s="28"/>
      <c r="B3175" s="28"/>
      <c r="C3175" s="28"/>
      <c r="D3175" s="28"/>
      <c r="E3175" s="16"/>
    </row>
    <row r="3176" spans="1:5" x14ac:dyDescent="0.2">
      <c r="A3176" s="28"/>
      <c r="B3176" s="28"/>
      <c r="C3176" s="28"/>
      <c r="D3176" s="28"/>
      <c r="E3176" s="16"/>
    </row>
    <row r="3177" spans="1:5" x14ac:dyDescent="0.2">
      <c r="A3177" s="28"/>
      <c r="B3177" s="28"/>
      <c r="C3177" s="28"/>
      <c r="D3177" s="28"/>
      <c r="E3177" s="16"/>
    </row>
    <row r="3178" spans="1:5" x14ac:dyDescent="0.2">
      <c r="A3178" s="28"/>
      <c r="B3178" s="28"/>
      <c r="C3178" s="28"/>
      <c r="D3178" s="28"/>
      <c r="E3178" s="16"/>
    </row>
    <row r="3179" spans="1:5" x14ac:dyDescent="0.2">
      <c r="A3179" s="28"/>
      <c r="B3179" s="28"/>
      <c r="C3179" s="28"/>
      <c r="D3179" s="28"/>
      <c r="E3179" s="16"/>
    </row>
    <row r="3180" spans="1:5" x14ac:dyDescent="0.2">
      <c r="A3180" s="28"/>
      <c r="B3180" s="28"/>
      <c r="C3180" s="28"/>
      <c r="D3180" s="28"/>
      <c r="E3180" s="16"/>
    </row>
    <row r="3181" spans="1:5" x14ac:dyDescent="0.2">
      <c r="A3181" s="28"/>
      <c r="B3181" s="28"/>
      <c r="C3181" s="28"/>
      <c r="D3181" s="28"/>
      <c r="E3181" s="16"/>
    </row>
    <row r="3182" spans="1:5" x14ac:dyDescent="0.2">
      <c r="A3182" s="28"/>
      <c r="B3182" s="28"/>
      <c r="C3182" s="28"/>
      <c r="D3182" s="28"/>
      <c r="E3182" s="16"/>
    </row>
    <row r="3183" spans="1:5" x14ac:dyDescent="0.2">
      <c r="A3183" s="28"/>
      <c r="B3183" s="28"/>
      <c r="C3183" s="28"/>
      <c r="D3183" s="28"/>
      <c r="E3183" s="16"/>
    </row>
    <row r="3184" spans="1:5" x14ac:dyDescent="0.2">
      <c r="A3184" s="28"/>
      <c r="B3184" s="28"/>
      <c r="C3184" s="28"/>
      <c r="D3184" s="28"/>
      <c r="E3184" s="16"/>
    </row>
    <row r="3185" spans="1:5" x14ac:dyDescent="0.2">
      <c r="A3185" s="28"/>
      <c r="B3185" s="28"/>
      <c r="C3185" s="28"/>
      <c r="D3185" s="28"/>
      <c r="E3185" s="16"/>
    </row>
    <row r="3186" spans="1:5" x14ac:dyDescent="0.2">
      <c r="A3186" s="28"/>
      <c r="B3186" s="28"/>
      <c r="C3186" s="28"/>
      <c r="D3186" s="28"/>
      <c r="E3186" s="16"/>
    </row>
    <row r="3187" spans="1:5" x14ac:dyDescent="0.2">
      <c r="A3187" s="28"/>
      <c r="B3187" s="28"/>
      <c r="C3187" s="28"/>
      <c r="D3187" s="28"/>
      <c r="E3187" s="16"/>
    </row>
    <row r="3188" spans="1:5" x14ac:dyDescent="0.2">
      <c r="A3188" s="28"/>
      <c r="B3188" s="28"/>
      <c r="C3188" s="28"/>
      <c r="D3188" s="28"/>
      <c r="E3188" s="16"/>
    </row>
    <row r="3189" spans="1:5" x14ac:dyDescent="0.2">
      <c r="A3189" s="28"/>
      <c r="B3189" s="28"/>
      <c r="C3189" s="28"/>
      <c r="D3189" s="28"/>
      <c r="E3189" s="16"/>
    </row>
    <row r="3190" spans="1:5" x14ac:dyDescent="0.2">
      <c r="A3190" s="28"/>
      <c r="B3190" s="28"/>
      <c r="C3190" s="28"/>
      <c r="D3190" s="28"/>
      <c r="E3190" s="16"/>
    </row>
    <row r="3191" spans="1:5" x14ac:dyDescent="0.2">
      <c r="A3191" s="28"/>
      <c r="B3191" s="28"/>
      <c r="C3191" s="28"/>
      <c r="D3191" s="28"/>
      <c r="E3191" s="16"/>
    </row>
    <row r="3192" spans="1:5" x14ac:dyDescent="0.2">
      <c r="A3192" s="28"/>
      <c r="B3192" s="28"/>
      <c r="C3192" s="28"/>
      <c r="D3192" s="28"/>
      <c r="E3192" s="16"/>
    </row>
    <row r="3193" spans="1:5" x14ac:dyDescent="0.2">
      <c r="A3193" s="28"/>
      <c r="B3193" s="28"/>
      <c r="C3193" s="28"/>
      <c r="D3193" s="28"/>
      <c r="E3193" s="16"/>
    </row>
    <row r="3194" spans="1:5" x14ac:dyDescent="0.2">
      <c r="A3194" s="28"/>
      <c r="B3194" s="28"/>
      <c r="C3194" s="28"/>
      <c r="D3194" s="28"/>
      <c r="E3194" s="16"/>
    </row>
    <row r="3195" spans="1:5" x14ac:dyDescent="0.2">
      <c r="A3195" s="28"/>
      <c r="B3195" s="28"/>
      <c r="C3195" s="28"/>
      <c r="D3195" s="28"/>
      <c r="E3195" s="16"/>
    </row>
    <row r="3196" spans="1:5" x14ac:dyDescent="0.2">
      <c r="A3196" s="28"/>
      <c r="B3196" s="28"/>
      <c r="C3196" s="28"/>
      <c r="D3196" s="28"/>
      <c r="E3196" s="16"/>
    </row>
    <row r="3197" spans="1:5" x14ac:dyDescent="0.2">
      <c r="A3197" s="28"/>
      <c r="B3197" s="28"/>
      <c r="C3197" s="28"/>
      <c r="D3197" s="28"/>
      <c r="E3197" s="16"/>
    </row>
    <row r="3198" spans="1:5" x14ac:dyDescent="0.2">
      <c r="A3198" s="28"/>
      <c r="B3198" s="28"/>
      <c r="C3198" s="28"/>
      <c r="D3198" s="28"/>
      <c r="E3198" s="16"/>
    </row>
    <row r="3199" spans="1:5" x14ac:dyDescent="0.2">
      <c r="A3199" s="28"/>
      <c r="B3199" s="28"/>
      <c r="C3199" s="28"/>
      <c r="D3199" s="28"/>
      <c r="E3199" s="16"/>
    </row>
    <row r="3200" spans="1:5" x14ac:dyDescent="0.2">
      <c r="A3200" s="28"/>
      <c r="B3200" s="28"/>
      <c r="C3200" s="28"/>
      <c r="D3200" s="28"/>
      <c r="E3200" s="16"/>
    </row>
    <row r="3201" spans="1:5" x14ac:dyDescent="0.2">
      <c r="A3201" s="28"/>
      <c r="B3201" s="28"/>
      <c r="C3201" s="28"/>
      <c r="D3201" s="28"/>
      <c r="E3201" s="16"/>
    </row>
    <row r="3202" spans="1:5" x14ac:dyDescent="0.2">
      <c r="A3202" s="28"/>
      <c r="B3202" s="28"/>
      <c r="C3202" s="28"/>
      <c r="D3202" s="28"/>
      <c r="E3202" s="16"/>
    </row>
    <row r="3203" spans="1:5" x14ac:dyDescent="0.2">
      <c r="A3203" s="28"/>
      <c r="B3203" s="28"/>
      <c r="C3203" s="28"/>
      <c r="D3203" s="28"/>
      <c r="E3203" s="16"/>
    </row>
    <row r="3204" spans="1:5" x14ac:dyDescent="0.2">
      <c r="A3204" s="28"/>
      <c r="B3204" s="28"/>
      <c r="C3204" s="28"/>
      <c r="D3204" s="28"/>
      <c r="E3204" s="16"/>
    </row>
    <row r="3205" spans="1:5" x14ac:dyDescent="0.2">
      <c r="A3205" s="28"/>
      <c r="B3205" s="28"/>
      <c r="C3205" s="28"/>
      <c r="D3205" s="28"/>
      <c r="E3205" s="16"/>
    </row>
    <row r="3206" spans="1:5" x14ac:dyDescent="0.2">
      <c r="A3206" s="28"/>
      <c r="B3206" s="28"/>
      <c r="C3206" s="28"/>
      <c r="D3206" s="28"/>
      <c r="E3206" s="16"/>
    </row>
    <row r="3207" spans="1:5" x14ac:dyDescent="0.2">
      <c r="A3207" s="28"/>
      <c r="B3207" s="28"/>
      <c r="C3207" s="28"/>
      <c r="D3207" s="28"/>
      <c r="E3207" s="16"/>
    </row>
    <row r="3208" spans="1:5" x14ac:dyDescent="0.2">
      <c r="A3208" s="28"/>
      <c r="B3208" s="28"/>
      <c r="C3208" s="28"/>
      <c r="D3208" s="28"/>
      <c r="E3208" s="16"/>
    </row>
    <row r="3209" spans="1:5" x14ac:dyDescent="0.2">
      <c r="A3209" s="28"/>
      <c r="B3209" s="28"/>
      <c r="C3209" s="28"/>
      <c r="D3209" s="28"/>
      <c r="E3209" s="16"/>
    </row>
    <row r="3210" spans="1:5" x14ac:dyDescent="0.2">
      <c r="A3210" s="28"/>
      <c r="B3210" s="28"/>
      <c r="C3210" s="28"/>
      <c r="D3210" s="28"/>
      <c r="E3210" s="16"/>
    </row>
    <row r="3211" spans="1:5" x14ac:dyDescent="0.2">
      <c r="A3211" s="28"/>
      <c r="B3211" s="28"/>
      <c r="C3211" s="28"/>
      <c r="D3211" s="28"/>
      <c r="E3211" s="16"/>
    </row>
    <row r="3212" spans="1:5" x14ac:dyDescent="0.2">
      <c r="A3212" s="28"/>
      <c r="B3212" s="28"/>
      <c r="C3212" s="28"/>
      <c r="D3212" s="28"/>
      <c r="E3212" s="16"/>
    </row>
    <row r="3213" spans="1:5" x14ac:dyDescent="0.2">
      <c r="A3213" s="28"/>
      <c r="B3213" s="28"/>
      <c r="C3213" s="28"/>
      <c r="D3213" s="28"/>
      <c r="E3213" s="16"/>
    </row>
    <row r="3214" spans="1:5" x14ac:dyDescent="0.2">
      <c r="A3214" s="28"/>
      <c r="B3214" s="28"/>
      <c r="C3214" s="28"/>
      <c r="D3214" s="28"/>
      <c r="E3214" s="16"/>
    </row>
    <row r="3215" spans="1:5" x14ac:dyDescent="0.2">
      <c r="A3215" s="28"/>
      <c r="B3215" s="28"/>
      <c r="C3215" s="28"/>
      <c r="D3215" s="28"/>
      <c r="E3215" s="16"/>
    </row>
    <row r="3216" spans="1:5" x14ac:dyDescent="0.2">
      <c r="A3216" s="28"/>
      <c r="B3216" s="28"/>
      <c r="C3216" s="28"/>
      <c r="D3216" s="28"/>
      <c r="E3216" s="16"/>
    </row>
    <row r="3217" spans="1:5" x14ac:dyDescent="0.2">
      <c r="A3217" s="28"/>
      <c r="B3217" s="28"/>
      <c r="C3217" s="28"/>
      <c r="D3217" s="28"/>
      <c r="E3217" s="16"/>
    </row>
    <row r="3218" spans="1:5" x14ac:dyDescent="0.2">
      <c r="A3218" s="28"/>
      <c r="B3218" s="28"/>
      <c r="C3218" s="28"/>
      <c r="D3218" s="28"/>
      <c r="E3218" s="16"/>
    </row>
    <row r="3219" spans="1:5" x14ac:dyDescent="0.2">
      <c r="A3219" s="28"/>
      <c r="B3219" s="28"/>
      <c r="C3219" s="28"/>
      <c r="D3219" s="28"/>
      <c r="E3219" s="16"/>
    </row>
    <row r="3220" spans="1:5" x14ac:dyDescent="0.2">
      <c r="A3220" s="28"/>
      <c r="B3220" s="28"/>
      <c r="C3220" s="28"/>
      <c r="D3220" s="28"/>
      <c r="E3220" s="16"/>
    </row>
    <row r="3221" spans="1:5" x14ac:dyDescent="0.2">
      <c r="A3221" s="28"/>
      <c r="B3221" s="28"/>
      <c r="C3221" s="28"/>
      <c r="D3221" s="28"/>
      <c r="E3221" s="16"/>
    </row>
    <row r="3222" spans="1:5" x14ac:dyDescent="0.2">
      <c r="A3222" s="28"/>
      <c r="B3222" s="28"/>
      <c r="C3222" s="28"/>
      <c r="D3222" s="28"/>
      <c r="E3222" s="16"/>
    </row>
    <row r="3223" spans="1:5" x14ac:dyDescent="0.2">
      <c r="A3223" s="28"/>
      <c r="B3223" s="28"/>
      <c r="C3223" s="28"/>
      <c r="D3223" s="28"/>
      <c r="E3223" s="16"/>
    </row>
    <row r="3224" spans="1:5" x14ac:dyDescent="0.2">
      <c r="A3224" s="28"/>
      <c r="B3224" s="28"/>
      <c r="C3224" s="28"/>
      <c r="D3224" s="28"/>
      <c r="E3224" s="16"/>
    </row>
    <row r="3225" spans="1:5" x14ac:dyDescent="0.2">
      <c r="A3225" s="28"/>
      <c r="B3225" s="28"/>
      <c r="C3225" s="28"/>
      <c r="D3225" s="28"/>
      <c r="E3225" s="16"/>
    </row>
    <row r="3226" spans="1:5" x14ac:dyDescent="0.2">
      <c r="A3226" s="28"/>
      <c r="B3226" s="28"/>
      <c r="C3226" s="28"/>
      <c r="D3226" s="28"/>
      <c r="E3226" s="16"/>
    </row>
    <row r="3227" spans="1:5" x14ac:dyDescent="0.2">
      <c r="A3227" s="28"/>
      <c r="B3227" s="28"/>
      <c r="C3227" s="28"/>
      <c r="D3227" s="28"/>
      <c r="E3227" s="16"/>
    </row>
    <row r="3228" spans="1:5" x14ac:dyDescent="0.2">
      <c r="A3228" s="28"/>
      <c r="B3228" s="28"/>
      <c r="C3228" s="28"/>
      <c r="D3228" s="28"/>
      <c r="E3228" s="16"/>
    </row>
    <row r="3229" spans="1:5" x14ac:dyDescent="0.2">
      <c r="A3229" s="28"/>
      <c r="B3229" s="28"/>
      <c r="C3229" s="28"/>
      <c r="D3229" s="28"/>
      <c r="E3229" s="16"/>
    </row>
    <row r="3230" spans="1:5" x14ac:dyDescent="0.2">
      <c r="A3230" s="28"/>
      <c r="B3230" s="28"/>
      <c r="C3230" s="28"/>
      <c r="D3230" s="28"/>
      <c r="E3230" s="16"/>
    </row>
    <row r="3231" spans="1:5" x14ac:dyDescent="0.2">
      <c r="A3231" s="28"/>
      <c r="B3231" s="28"/>
      <c r="C3231" s="28"/>
      <c r="D3231" s="28"/>
      <c r="E3231" s="16"/>
    </row>
    <row r="3232" spans="1:5" x14ac:dyDescent="0.2">
      <c r="A3232" s="28"/>
      <c r="B3232" s="28"/>
      <c r="C3232" s="28"/>
      <c r="D3232" s="28"/>
      <c r="E3232" s="16"/>
    </row>
    <row r="3233" spans="1:5" x14ac:dyDescent="0.2">
      <c r="A3233" s="28"/>
      <c r="B3233" s="28"/>
      <c r="C3233" s="28"/>
      <c r="D3233" s="28"/>
      <c r="E3233" s="16"/>
    </row>
    <row r="3234" spans="1:5" x14ac:dyDescent="0.2">
      <c r="A3234" s="28"/>
      <c r="B3234" s="28"/>
      <c r="C3234" s="28"/>
      <c r="D3234" s="28"/>
      <c r="E3234" s="16"/>
    </row>
    <row r="3235" spans="1:5" x14ac:dyDescent="0.2">
      <c r="A3235" s="28"/>
      <c r="B3235" s="28"/>
      <c r="C3235" s="28"/>
      <c r="D3235" s="28"/>
      <c r="E3235" s="16"/>
    </row>
    <row r="3236" spans="1:5" x14ac:dyDescent="0.2">
      <c r="A3236" s="28"/>
      <c r="B3236" s="28"/>
      <c r="C3236" s="28"/>
      <c r="D3236" s="28"/>
      <c r="E3236" s="16"/>
    </row>
    <row r="3237" spans="1:5" x14ac:dyDescent="0.2">
      <c r="A3237" s="28"/>
      <c r="B3237" s="28"/>
      <c r="C3237" s="28"/>
      <c r="D3237" s="28"/>
      <c r="E3237" s="16"/>
    </row>
    <row r="3238" spans="1:5" x14ac:dyDescent="0.2">
      <c r="A3238" s="28"/>
      <c r="B3238" s="28"/>
      <c r="C3238" s="28"/>
      <c r="D3238" s="28"/>
      <c r="E3238" s="16"/>
    </row>
    <row r="3239" spans="1:5" x14ac:dyDescent="0.2">
      <c r="A3239" s="28"/>
      <c r="B3239" s="28"/>
      <c r="C3239" s="28"/>
      <c r="D3239" s="28"/>
      <c r="E3239" s="16"/>
    </row>
    <row r="3240" spans="1:5" x14ac:dyDescent="0.2">
      <c r="A3240" s="28"/>
      <c r="B3240" s="28"/>
      <c r="C3240" s="28"/>
      <c r="D3240" s="28"/>
      <c r="E3240" s="16"/>
    </row>
    <row r="3241" spans="1:5" x14ac:dyDescent="0.2">
      <c r="A3241" s="28"/>
      <c r="B3241" s="28"/>
      <c r="C3241" s="28"/>
      <c r="D3241" s="28"/>
      <c r="E3241" s="16"/>
    </row>
    <row r="3242" spans="1:5" x14ac:dyDescent="0.2">
      <c r="A3242" s="28"/>
      <c r="B3242" s="28"/>
      <c r="C3242" s="28"/>
      <c r="D3242" s="28"/>
      <c r="E3242" s="16"/>
    </row>
    <row r="3243" spans="1:5" x14ac:dyDescent="0.2">
      <c r="A3243" s="28"/>
      <c r="B3243" s="28"/>
      <c r="C3243" s="28"/>
      <c r="D3243" s="28"/>
      <c r="E3243" s="16"/>
    </row>
    <row r="3244" spans="1:5" x14ac:dyDescent="0.2">
      <c r="A3244" s="28"/>
      <c r="B3244" s="28"/>
      <c r="C3244" s="28"/>
      <c r="D3244" s="28"/>
      <c r="E3244" s="16"/>
    </row>
    <row r="3245" spans="1:5" x14ac:dyDescent="0.2">
      <c r="A3245" s="28"/>
      <c r="B3245" s="28"/>
      <c r="C3245" s="28"/>
      <c r="D3245" s="28"/>
      <c r="E3245" s="16"/>
    </row>
    <row r="3246" spans="1:5" x14ac:dyDescent="0.2">
      <c r="A3246" s="28"/>
      <c r="B3246" s="28"/>
      <c r="C3246" s="28"/>
      <c r="D3246" s="28"/>
      <c r="E3246" s="16"/>
    </row>
    <row r="3247" spans="1:5" x14ac:dyDescent="0.2">
      <c r="A3247" s="28"/>
      <c r="B3247" s="28"/>
      <c r="C3247" s="28"/>
      <c r="D3247" s="28"/>
      <c r="E3247" s="16"/>
    </row>
    <row r="3248" spans="1:5" x14ac:dyDescent="0.2">
      <c r="A3248" s="28"/>
      <c r="B3248" s="28"/>
      <c r="C3248" s="28"/>
      <c r="D3248" s="28"/>
      <c r="E3248" s="16"/>
    </row>
    <row r="3249" spans="1:5" x14ac:dyDescent="0.2">
      <c r="A3249" s="28"/>
      <c r="B3249" s="28"/>
      <c r="C3249" s="28"/>
      <c r="D3249" s="28"/>
      <c r="E3249" s="16"/>
    </row>
    <row r="3250" spans="1:5" x14ac:dyDescent="0.2">
      <c r="A3250" s="28"/>
      <c r="B3250" s="28"/>
      <c r="C3250" s="28"/>
      <c r="D3250" s="28"/>
      <c r="E3250" s="16"/>
    </row>
    <row r="3251" spans="1:5" x14ac:dyDescent="0.2">
      <c r="A3251" s="28"/>
      <c r="B3251" s="28"/>
      <c r="C3251" s="28"/>
      <c r="D3251" s="28"/>
      <c r="E3251" s="16"/>
    </row>
    <row r="3252" spans="1:5" x14ac:dyDescent="0.2">
      <c r="A3252" s="28"/>
      <c r="B3252" s="28"/>
      <c r="C3252" s="28"/>
      <c r="D3252" s="28"/>
      <c r="E3252" s="16"/>
    </row>
    <row r="3253" spans="1:5" x14ac:dyDescent="0.2">
      <c r="A3253" s="28"/>
      <c r="B3253" s="28"/>
      <c r="C3253" s="28"/>
      <c r="D3253" s="28"/>
      <c r="E3253" s="16"/>
    </row>
    <row r="3254" spans="1:5" x14ac:dyDescent="0.2">
      <c r="A3254" s="28"/>
      <c r="B3254" s="28"/>
      <c r="C3254" s="28"/>
      <c r="D3254" s="28"/>
      <c r="E3254" s="16"/>
    </row>
    <row r="3255" spans="1:5" x14ac:dyDescent="0.2">
      <c r="A3255" s="28"/>
      <c r="B3255" s="28"/>
      <c r="C3255" s="28"/>
      <c r="D3255" s="28"/>
      <c r="E3255" s="16"/>
    </row>
    <row r="3256" spans="1:5" x14ac:dyDescent="0.2">
      <c r="A3256" s="28"/>
      <c r="B3256" s="28"/>
      <c r="C3256" s="28"/>
      <c r="D3256" s="28"/>
      <c r="E3256" s="16"/>
    </row>
    <row r="3257" spans="1:5" x14ac:dyDescent="0.2">
      <c r="A3257" s="28"/>
      <c r="B3257" s="28"/>
      <c r="C3257" s="28"/>
      <c r="D3257" s="28"/>
      <c r="E3257" s="16"/>
    </row>
    <row r="3258" spans="1:5" x14ac:dyDescent="0.2">
      <c r="A3258" s="28"/>
      <c r="B3258" s="28"/>
      <c r="C3258" s="28"/>
      <c r="D3258" s="28"/>
      <c r="E3258" s="16"/>
    </row>
    <row r="3259" spans="1:5" x14ac:dyDescent="0.2">
      <c r="A3259" s="28"/>
      <c r="B3259" s="28"/>
      <c r="C3259" s="28"/>
      <c r="D3259" s="28"/>
      <c r="E3259" s="16"/>
    </row>
    <row r="3260" spans="1:5" x14ac:dyDescent="0.2">
      <c r="A3260" s="28"/>
      <c r="B3260" s="28"/>
      <c r="C3260" s="28"/>
      <c r="D3260" s="28"/>
      <c r="E3260" s="16"/>
    </row>
    <row r="3261" spans="1:5" x14ac:dyDescent="0.2">
      <c r="A3261" s="28"/>
      <c r="B3261" s="28"/>
      <c r="C3261" s="28"/>
      <c r="D3261" s="28"/>
      <c r="E3261" s="16"/>
    </row>
    <row r="3262" spans="1:5" x14ac:dyDescent="0.2">
      <c r="A3262" s="28"/>
      <c r="B3262" s="28"/>
      <c r="C3262" s="28"/>
      <c r="D3262" s="28"/>
      <c r="E3262" s="16"/>
    </row>
    <row r="3263" spans="1:5" x14ac:dyDescent="0.2">
      <c r="A3263" s="28"/>
      <c r="B3263" s="28"/>
      <c r="C3263" s="28"/>
      <c r="D3263" s="28"/>
      <c r="E3263" s="16"/>
    </row>
    <row r="3264" spans="1:5" x14ac:dyDescent="0.2">
      <c r="A3264" s="28"/>
      <c r="B3264" s="28"/>
      <c r="C3264" s="28"/>
      <c r="D3264" s="28"/>
      <c r="E3264" s="16"/>
    </row>
    <row r="3265" spans="1:5" x14ac:dyDescent="0.2">
      <c r="A3265" s="28"/>
      <c r="B3265" s="28"/>
      <c r="C3265" s="28"/>
      <c r="D3265" s="28"/>
      <c r="E3265" s="16"/>
    </row>
    <row r="3266" spans="1:5" x14ac:dyDescent="0.2">
      <c r="A3266" s="28"/>
      <c r="B3266" s="28"/>
      <c r="C3266" s="28"/>
      <c r="D3266" s="28"/>
      <c r="E3266" s="16"/>
    </row>
    <row r="3267" spans="1:5" x14ac:dyDescent="0.2">
      <c r="A3267" s="28"/>
      <c r="B3267" s="28"/>
      <c r="C3267" s="28"/>
      <c r="D3267" s="28"/>
      <c r="E3267" s="16"/>
    </row>
    <row r="3268" spans="1:5" x14ac:dyDescent="0.2">
      <c r="A3268" s="28"/>
      <c r="B3268" s="28"/>
      <c r="C3268" s="28"/>
      <c r="D3268" s="28"/>
      <c r="E3268" s="16"/>
    </row>
    <row r="3269" spans="1:5" x14ac:dyDescent="0.2">
      <c r="A3269" s="28"/>
      <c r="B3269" s="28"/>
      <c r="C3269" s="28"/>
      <c r="D3269" s="28"/>
      <c r="E3269" s="16"/>
    </row>
    <row r="3270" spans="1:5" x14ac:dyDescent="0.2">
      <c r="A3270" s="28"/>
      <c r="B3270" s="28"/>
      <c r="C3270" s="28"/>
      <c r="D3270" s="28"/>
      <c r="E3270" s="16"/>
    </row>
    <row r="3271" spans="1:5" x14ac:dyDescent="0.2">
      <c r="A3271" s="28"/>
      <c r="B3271" s="28"/>
      <c r="C3271" s="28"/>
      <c r="D3271" s="28"/>
      <c r="E3271" s="16"/>
    </row>
    <row r="3272" spans="1:5" x14ac:dyDescent="0.2">
      <c r="A3272" s="28"/>
      <c r="B3272" s="28"/>
      <c r="C3272" s="28"/>
      <c r="D3272" s="28"/>
      <c r="E3272" s="16"/>
    </row>
    <row r="3273" spans="1:5" x14ac:dyDescent="0.2">
      <c r="A3273" s="28"/>
      <c r="B3273" s="28"/>
      <c r="C3273" s="28"/>
      <c r="D3273" s="28"/>
      <c r="E3273" s="16"/>
    </row>
    <row r="3274" spans="1:5" x14ac:dyDescent="0.2">
      <c r="A3274" s="28"/>
      <c r="B3274" s="28"/>
      <c r="C3274" s="28"/>
      <c r="D3274" s="28"/>
      <c r="E3274" s="16"/>
    </row>
    <row r="3275" spans="1:5" x14ac:dyDescent="0.2">
      <c r="A3275" s="28"/>
      <c r="B3275" s="28"/>
      <c r="C3275" s="28"/>
      <c r="D3275" s="28"/>
      <c r="E3275" s="16"/>
    </row>
    <row r="3276" spans="1:5" x14ac:dyDescent="0.2">
      <c r="A3276" s="28"/>
      <c r="B3276" s="28"/>
      <c r="C3276" s="28"/>
      <c r="D3276" s="28"/>
      <c r="E3276" s="16"/>
    </row>
    <row r="3277" spans="1:5" x14ac:dyDescent="0.2">
      <c r="A3277" s="28"/>
      <c r="B3277" s="28"/>
      <c r="C3277" s="28"/>
      <c r="D3277" s="28"/>
      <c r="E3277" s="16"/>
    </row>
    <row r="3278" spans="1:5" x14ac:dyDescent="0.2">
      <c r="A3278" s="28"/>
      <c r="B3278" s="28"/>
      <c r="C3278" s="28"/>
      <c r="D3278" s="28"/>
      <c r="E3278" s="16"/>
    </row>
    <row r="3279" spans="1:5" x14ac:dyDescent="0.2">
      <c r="A3279" s="28"/>
      <c r="B3279" s="28"/>
      <c r="C3279" s="28"/>
      <c r="D3279" s="28"/>
      <c r="E3279" s="16"/>
    </row>
    <row r="3280" spans="1:5" x14ac:dyDescent="0.2">
      <c r="A3280" s="28"/>
      <c r="B3280" s="28"/>
      <c r="C3280" s="28"/>
      <c r="D3280" s="28"/>
      <c r="E3280" s="16"/>
    </row>
    <row r="3281" spans="1:5" x14ac:dyDescent="0.2">
      <c r="A3281" s="28"/>
      <c r="B3281" s="28"/>
      <c r="C3281" s="28"/>
      <c r="D3281" s="28"/>
      <c r="E3281" s="16"/>
    </row>
    <row r="3282" spans="1:5" x14ac:dyDescent="0.2">
      <c r="A3282" s="28"/>
      <c r="B3282" s="28"/>
      <c r="C3282" s="28"/>
      <c r="D3282" s="28"/>
      <c r="E3282" s="16"/>
    </row>
    <row r="3283" spans="1:5" x14ac:dyDescent="0.2">
      <c r="A3283" s="28"/>
      <c r="B3283" s="28"/>
      <c r="C3283" s="28"/>
      <c r="D3283" s="28"/>
      <c r="E3283" s="16"/>
    </row>
    <row r="3284" spans="1:5" x14ac:dyDescent="0.2">
      <c r="A3284" s="28"/>
      <c r="B3284" s="28"/>
      <c r="C3284" s="28"/>
      <c r="D3284" s="28"/>
      <c r="E3284" s="16"/>
    </row>
    <row r="3285" spans="1:5" x14ac:dyDescent="0.2">
      <c r="A3285" s="28"/>
      <c r="B3285" s="28"/>
      <c r="C3285" s="28"/>
      <c r="D3285" s="28"/>
      <c r="E3285" s="16"/>
    </row>
    <row r="3286" spans="1:5" x14ac:dyDescent="0.2">
      <c r="A3286" s="28"/>
      <c r="B3286" s="28"/>
      <c r="C3286" s="28"/>
      <c r="D3286" s="28"/>
      <c r="E3286" s="16"/>
    </row>
    <row r="3287" spans="1:5" x14ac:dyDescent="0.2">
      <c r="A3287" s="28"/>
      <c r="B3287" s="28"/>
      <c r="C3287" s="28"/>
      <c r="D3287" s="28"/>
      <c r="E3287" s="16"/>
    </row>
    <row r="3288" spans="1:5" x14ac:dyDescent="0.2">
      <c r="A3288" s="28"/>
      <c r="B3288" s="28"/>
      <c r="C3288" s="28"/>
      <c r="D3288" s="28"/>
      <c r="E3288" s="16"/>
    </row>
    <row r="3289" spans="1:5" x14ac:dyDescent="0.2">
      <c r="A3289" s="28"/>
      <c r="B3289" s="28"/>
      <c r="C3289" s="28"/>
      <c r="D3289" s="28"/>
      <c r="E3289" s="16"/>
    </row>
    <row r="3290" spans="1:5" x14ac:dyDescent="0.2">
      <c r="A3290" s="28"/>
      <c r="B3290" s="28"/>
      <c r="C3290" s="28"/>
      <c r="D3290" s="28"/>
      <c r="E3290" s="16"/>
    </row>
    <row r="3291" spans="1:5" x14ac:dyDescent="0.2">
      <c r="A3291" s="28"/>
      <c r="B3291" s="28"/>
      <c r="C3291" s="28"/>
      <c r="D3291" s="28"/>
      <c r="E3291" s="16"/>
    </row>
    <row r="3292" spans="1:5" x14ac:dyDescent="0.2">
      <c r="A3292" s="28"/>
      <c r="B3292" s="28"/>
      <c r="C3292" s="28"/>
      <c r="D3292" s="28"/>
      <c r="E3292" s="16"/>
    </row>
    <row r="3293" spans="1:5" x14ac:dyDescent="0.2">
      <c r="A3293" s="28"/>
      <c r="B3293" s="28"/>
      <c r="C3293" s="28"/>
      <c r="D3293" s="28"/>
      <c r="E3293" s="16"/>
    </row>
    <row r="3294" spans="1:5" x14ac:dyDescent="0.2">
      <c r="A3294" s="28"/>
      <c r="B3294" s="28"/>
      <c r="C3294" s="28"/>
      <c r="D3294" s="28"/>
      <c r="E3294" s="16"/>
    </row>
    <row r="3295" spans="1:5" x14ac:dyDescent="0.2">
      <c r="A3295" s="28"/>
      <c r="B3295" s="28"/>
      <c r="C3295" s="28"/>
      <c r="D3295" s="28"/>
      <c r="E3295" s="16"/>
    </row>
    <row r="3296" spans="1:5" x14ac:dyDescent="0.2">
      <c r="A3296" s="28"/>
      <c r="B3296" s="28"/>
      <c r="C3296" s="28"/>
      <c r="D3296" s="28"/>
      <c r="E3296" s="16"/>
    </row>
    <row r="3297" spans="1:5" x14ac:dyDescent="0.2">
      <c r="A3297" s="28"/>
      <c r="B3297" s="28"/>
      <c r="C3297" s="28"/>
      <c r="D3297" s="28"/>
      <c r="E3297" s="16"/>
    </row>
    <row r="3298" spans="1:5" x14ac:dyDescent="0.2">
      <c r="A3298" s="28"/>
      <c r="B3298" s="28"/>
      <c r="C3298" s="28"/>
      <c r="D3298" s="28"/>
      <c r="E3298" s="16"/>
    </row>
    <row r="3299" spans="1:5" x14ac:dyDescent="0.2">
      <c r="A3299" s="28"/>
      <c r="B3299" s="28"/>
      <c r="C3299" s="28"/>
      <c r="D3299" s="28"/>
      <c r="E3299" s="16"/>
    </row>
    <row r="3300" spans="1:5" x14ac:dyDescent="0.2">
      <c r="A3300" s="28"/>
      <c r="B3300" s="28"/>
      <c r="C3300" s="28"/>
      <c r="D3300" s="28"/>
      <c r="E3300" s="16"/>
    </row>
    <row r="3301" spans="1:5" x14ac:dyDescent="0.2">
      <c r="A3301" s="28"/>
      <c r="B3301" s="28"/>
      <c r="C3301" s="28"/>
      <c r="D3301" s="28"/>
      <c r="E3301" s="16"/>
    </row>
    <row r="3302" spans="1:5" x14ac:dyDescent="0.2">
      <c r="A3302" s="28"/>
      <c r="B3302" s="28"/>
      <c r="C3302" s="28"/>
      <c r="D3302" s="28"/>
      <c r="E3302" s="16"/>
    </row>
    <row r="3303" spans="1:5" x14ac:dyDescent="0.2">
      <c r="A3303" s="28"/>
      <c r="B3303" s="28"/>
      <c r="C3303" s="28"/>
      <c r="D3303" s="28"/>
      <c r="E3303" s="16"/>
    </row>
    <row r="3304" spans="1:5" x14ac:dyDescent="0.2">
      <c r="A3304" s="28"/>
      <c r="B3304" s="28"/>
      <c r="C3304" s="28"/>
      <c r="D3304" s="28"/>
      <c r="E3304" s="16"/>
    </row>
    <row r="3305" spans="1:5" x14ac:dyDescent="0.2">
      <c r="A3305" s="28"/>
      <c r="B3305" s="28"/>
      <c r="C3305" s="28"/>
      <c r="D3305" s="28"/>
      <c r="E3305" s="16"/>
    </row>
    <row r="3306" spans="1:5" x14ac:dyDescent="0.2">
      <c r="A3306" s="28"/>
      <c r="B3306" s="28"/>
      <c r="C3306" s="28"/>
      <c r="D3306" s="28"/>
      <c r="E3306" s="16"/>
    </row>
    <row r="3307" spans="1:5" x14ac:dyDescent="0.2">
      <c r="A3307" s="28"/>
      <c r="B3307" s="28"/>
      <c r="C3307" s="28"/>
      <c r="D3307" s="28"/>
      <c r="E3307" s="16"/>
    </row>
    <row r="3308" spans="1:5" x14ac:dyDescent="0.2">
      <c r="A3308" s="28"/>
      <c r="B3308" s="28"/>
      <c r="C3308" s="28"/>
      <c r="D3308" s="28"/>
      <c r="E3308" s="16"/>
    </row>
    <row r="3309" spans="1:5" x14ac:dyDescent="0.2">
      <c r="A3309" s="28"/>
      <c r="B3309" s="28"/>
      <c r="C3309" s="28"/>
      <c r="D3309" s="28"/>
      <c r="E3309" s="16"/>
    </row>
    <row r="3310" spans="1:5" x14ac:dyDescent="0.2">
      <c r="A3310" s="28"/>
      <c r="B3310" s="28"/>
      <c r="C3310" s="28"/>
      <c r="D3310" s="28"/>
      <c r="E3310" s="16"/>
    </row>
    <row r="3311" spans="1:5" x14ac:dyDescent="0.2">
      <c r="A3311" s="28"/>
      <c r="B3311" s="28"/>
      <c r="C3311" s="28"/>
      <c r="D3311" s="28"/>
      <c r="E3311" s="16"/>
    </row>
    <row r="3312" spans="1:5" x14ac:dyDescent="0.2">
      <c r="A3312" s="28"/>
      <c r="B3312" s="28"/>
      <c r="C3312" s="28"/>
      <c r="D3312" s="28"/>
      <c r="E3312" s="16"/>
    </row>
    <row r="3313" spans="1:5" x14ac:dyDescent="0.2">
      <c r="A3313" s="28"/>
      <c r="B3313" s="28"/>
      <c r="C3313" s="28"/>
      <c r="D3313" s="28"/>
      <c r="E3313" s="16"/>
    </row>
    <row r="3314" spans="1:5" x14ac:dyDescent="0.2">
      <c r="A3314" s="28"/>
      <c r="B3314" s="28"/>
      <c r="C3314" s="28"/>
      <c r="D3314" s="28"/>
      <c r="E3314" s="16"/>
    </row>
    <row r="3315" spans="1:5" x14ac:dyDescent="0.2">
      <c r="A3315" s="28"/>
      <c r="B3315" s="28"/>
      <c r="C3315" s="28"/>
      <c r="D3315" s="28"/>
      <c r="E3315" s="16"/>
    </row>
    <row r="3316" spans="1:5" x14ac:dyDescent="0.2">
      <c r="A3316" s="28"/>
      <c r="B3316" s="28"/>
      <c r="C3316" s="28"/>
      <c r="D3316" s="28"/>
      <c r="E3316" s="16"/>
    </row>
    <row r="3317" spans="1:5" x14ac:dyDescent="0.2">
      <c r="A3317" s="28"/>
      <c r="B3317" s="28"/>
      <c r="C3317" s="28"/>
      <c r="D3317" s="28"/>
      <c r="E3317" s="16"/>
    </row>
    <row r="3318" spans="1:5" x14ac:dyDescent="0.2">
      <c r="A3318" s="28"/>
      <c r="B3318" s="28"/>
      <c r="C3318" s="28"/>
      <c r="D3318" s="28"/>
      <c r="E3318" s="16"/>
    </row>
    <row r="3319" spans="1:5" x14ac:dyDescent="0.2">
      <c r="A3319" s="28"/>
      <c r="B3319" s="28"/>
      <c r="C3319" s="28"/>
      <c r="D3319" s="28"/>
      <c r="E3319" s="16"/>
    </row>
    <row r="3320" spans="1:5" x14ac:dyDescent="0.2">
      <c r="A3320" s="28"/>
      <c r="B3320" s="28"/>
      <c r="C3320" s="28"/>
      <c r="D3320" s="28"/>
      <c r="E3320" s="16"/>
    </row>
    <row r="3321" spans="1:5" x14ac:dyDescent="0.2">
      <c r="A3321" s="28"/>
      <c r="B3321" s="28"/>
      <c r="C3321" s="28"/>
      <c r="D3321" s="28"/>
      <c r="E3321" s="16"/>
    </row>
    <row r="3322" spans="1:5" x14ac:dyDescent="0.2">
      <c r="A3322" s="28"/>
      <c r="B3322" s="28"/>
      <c r="C3322" s="28"/>
      <c r="D3322" s="28"/>
      <c r="E3322" s="16"/>
    </row>
    <row r="3323" spans="1:5" x14ac:dyDescent="0.2">
      <c r="A3323" s="28"/>
      <c r="B3323" s="28"/>
      <c r="C3323" s="28"/>
      <c r="D3323" s="28"/>
      <c r="E3323" s="16"/>
    </row>
    <row r="3324" spans="1:5" x14ac:dyDescent="0.2">
      <c r="A3324" s="28"/>
      <c r="B3324" s="28"/>
      <c r="C3324" s="28"/>
      <c r="D3324" s="28"/>
      <c r="E3324" s="16"/>
    </row>
    <row r="3325" spans="1:5" x14ac:dyDescent="0.2">
      <c r="A3325" s="28"/>
      <c r="B3325" s="28"/>
      <c r="C3325" s="28"/>
      <c r="D3325" s="28"/>
      <c r="E3325" s="16"/>
    </row>
    <row r="3326" spans="1:5" x14ac:dyDescent="0.2">
      <c r="A3326" s="28"/>
      <c r="B3326" s="28"/>
      <c r="C3326" s="28"/>
      <c r="D3326" s="28"/>
      <c r="E3326" s="16"/>
    </row>
    <row r="3327" spans="1:5" x14ac:dyDescent="0.2">
      <c r="A3327" s="28"/>
      <c r="B3327" s="28"/>
      <c r="C3327" s="28"/>
      <c r="D3327" s="28"/>
      <c r="E3327" s="16"/>
    </row>
    <row r="3328" spans="1:5" x14ac:dyDescent="0.2">
      <c r="A3328" s="28"/>
      <c r="B3328" s="28"/>
      <c r="C3328" s="28"/>
      <c r="D3328" s="28"/>
      <c r="E3328" s="16"/>
    </row>
    <row r="3329" spans="1:5" x14ac:dyDescent="0.2">
      <c r="A3329" s="28"/>
      <c r="B3329" s="28"/>
      <c r="C3329" s="28"/>
      <c r="D3329" s="28"/>
      <c r="E3329" s="16"/>
    </row>
    <row r="3330" spans="1:5" x14ac:dyDescent="0.2">
      <c r="A3330" s="28"/>
      <c r="B3330" s="28"/>
      <c r="C3330" s="28"/>
      <c r="D3330" s="28"/>
      <c r="E3330" s="16"/>
    </row>
    <row r="3331" spans="1:5" x14ac:dyDescent="0.2">
      <c r="A3331" s="28"/>
      <c r="B3331" s="28"/>
      <c r="C3331" s="28"/>
      <c r="D3331" s="28"/>
      <c r="E3331" s="16"/>
    </row>
    <row r="3332" spans="1:5" x14ac:dyDescent="0.2">
      <c r="A3332" s="28"/>
      <c r="B3332" s="28"/>
      <c r="C3332" s="28"/>
      <c r="D3332" s="28"/>
      <c r="E3332" s="16"/>
    </row>
    <row r="3333" spans="1:5" x14ac:dyDescent="0.2">
      <c r="A3333" s="28"/>
      <c r="B3333" s="28"/>
      <c r="C3333" s="28"/>
      <c r="D3333" s="28"/>
      <c r="E3333" s="16"/>
    </row>
    <row r="3334" spans="1:5" x14ac:dyDescent="0.2">
      <c r="A3334" s="28"/>
      <c r="B3334" s="28"/>
      <c r="C3334" s="28"/>
      <c r="D3334" s="28"/>
      <c r="E3334" s="16"/>
    </row>
    <row r="3335" spans="1:5" x14ac:dyDescent="0.2">
      <c r="A3335" s="28"/>
      <c r="B3335" s="28"/>
      <c r="C3335" s="28"/>
      <c r="D3335" s="28"/>
      <c r="E3335" s="16"/>
    </row>
    <row r="3336" spans="1:5" x14ac:dyDescent="0.2">
      <c r="A3336" s="28"/>
      <c r="B3336" s="28"/>
      <c r="C3336" s="28"/>
      <c r="D3336" s="28"/>
      <c r="E3336" s="16"/>
    </row>
    <row r="3337" spans="1:5" x14ac:dyDescent="0.2">
      <c r="A3337" s="28"/>
      <c r="B3337" s="28"/>
      <c r="C3337" s="28"/>
      <c r="D3337" s="28"/>
      <c r="E3337" s="16"/>
    </row>
    <row r="3338" spans="1:5" x14ac:dyDescent="0.2">
      <c r="A3338" s="28"/>
      <c r="B3338" s="28"/>
      <c r="C3338" s="28"/>
      <c r="D3338" s="28"/>
      <c r="E3338" s="16"/>
    </row>
    <row r="3339" spans="1:5" x14ac:dyDescent="0.2">
      <c r="A3339" s="28"/>
      <c r="B3339" s="28"/>
      <c r="C3339" s="28"/>
      <c r="D3339" s="28"/>
      <c r="E3339" s="16"/>
    </row>
    <row r="3340" spans="1:5" x14ac:dyDescent="0.2">
      <c r="A3340" s="28"/>
      <c r="B3340" s="28"/>
      <c r="C3340" s="28"/>
      <c r="D3340" s="28"/>
      <c r="E3340" s="16"/>
    </row>
    <row r="3341" spans="1:5" x14ac:dyDescent="0.2">
      <c r="A3341" s="28"/>
      <c r="B3341" s="28"/>
      <c r="C3341" s="28"/>
      <c r="D3341" s="28"/>
      <c r="E3341" s="16"/>
    </row>
    <row r="3342" spans="1:5" x14ac:dyDescent="0.2">
      <c r="A3342" s="28"/>
      <c r="B3342" s="28"/>
      <c r="C3342" s="28"/>
      <c r="D3342" s="28"/>
      <c r="E3342" s="16"/>
    </row>
    <row r="3343" spans="1:5" x14ac:dyDescent="0.2">
      <c r="A3343" s="28"/>
      <c r="B3343" s="28"/>
      <c r="C3343" s="28"/>
      <c r="D3343" s="28"/>
      <c r="E3343" s="16"/>
    </row>
    <row r="3344" spans="1:5" x14ac:dyDescent="0.2">
      <c r="A3344" s="28"/>
      <c r="B3344" s="28"/>
      <c r="C3344" s="28"/>
      <c r="D3344" s="28"/>
      <c r="E3344" s="16"/>
    </row>
    <row r="3345" spans="1:5" x14ac:dyDescent="0.2">
      <c r="A3345" s="28"/>
      <c r="B3345" s="28"/>
      <c r="C3345" s="28"/>
      <c r="D3345" s="28"/>
      <c r="E3345" s="16"/>
    </row>
    <row r="3346" spans="1:5" x14ac:dyDescent="0.2">
      <c r="A3346" s="28"/>
      <c r="B3346" s="28"/>
      <c r="C3346" s="28"/>
      <c r="D3346" s="28"/>
      <c r="E3346" s="16"/>
    </row>
    <row r="3347" spans="1:5" x14ac:dyDescent="0.2">
      <c r="A3347" s="28"/>
      <c r="B3347" s="28"/>
      <c r="C3347" s="28"/>
      <c r="D3347" s="28"/>
      <c r="E3347" s="16"/>
    </row>
    <row r="3348" spans="1:5" x14ac:dyDescent="0.2">
      <c r="A3348" s="28"/>
      <c r="B3348" s="28"/>
      <c r="C3348" s="28"/>
      <c r="D3348" s="28"/>
      <c r="E3348" s="16"/>
    </row>
    <row r="3349" spans="1:5" x14ac:dyDescent="0.2">
      <c r="A3349" s="28"/>
      <c r="B3349" s="28"/>
      <c r="C3349" s="28"/>
      <c r="D3349" s="28"/>
      <c r="E3349" s="16"/>
    </row>
    <row r="3350" spans="1:5" x14ac:dyDescent="0.2">
      <c r="A3350" s="28"/>
      <c r="B3350" s="28"/>
      <c r="C3350" s="28"/>
      <c r="D3350" s="28"/>
      <c r="E3350" s="16"/>
    </row>
    <row r="3351" spans="1:5" x14ac:dyDescent="0.2">
      <c r="A3351" s="28"/>
      <c r="B3351" s="28"/>
      <c r="C3351" s="28"/>
      <c r="D3351" s="28"/>
      <c r="E3351" s="16"/>
    </row>
    <row r="3352" spans="1:5" x14ac:dyDescent="0.2">
      <c r="A3352" s="28"/>
      <c r="B3352" s="28"/>
      <c r="C3352" s="28"/>
      <c r="D3352" s="28"/>
      <c r="E3352" s="16"/>
    </row>
    <row r="3353" spans="1:5" x14ac:dyDescent="0.2">
      <c r="A3353" s="28"/>
      <c r="B3353" s="28"/>
      <c r="C3353" s="28"/>
      <c r="D3353" s="28"/>
      <c r="E3353" s="16"/>
    </row>
    <row r="3354" spans="1:5" x14ac:dyDescent="0.2">
      <c r="A3354" s="28"/>
      <c r="B3354" s="28"/>
      <c r="C3354" s="28"/>
      <c r="D3354" s="28"/>
      <c r="E3354" s="16"/>
    </row>
    <row r="3355" spans="1:5" x14ac:dyDescent="0.2">
      <c r="A3355" s="28"/>
      <c r="B3355" s="28"/>
      <c r="C3355" s="28"/>
      <c r="D3355" s="28"/>
      <c r="E3355" s="16"/>
    </row>
    <row r="3356" spans="1:5" x14ac:dyDescent="0.2">
      <c r="A3356" s="28"/>
      <c r="B3356" s="28"/>
      <c r="C3356" s="28"/>
      <c r="D3356" s="28"/>
      <c r="E3356" s="16"/>
    </row>
    <row r="3357" spans="1:5" x14ac:dyDescent="0.2">
      <c r="A3357" s="28"/>
      <c r="B3357" s="28"/>
      <c r="C3357" s="28"/>
      <c r="D3357" s="28"/>
      <c r="E3357" s="16"/>
    </row>
    <row r="3358" spans="1:5" x14ac:dyDescent="0.2">
      <c r="A3358" s="28"/>
      <c r="B3358" s="28"/>
      <c r="C3358" s="28"/>
      <c r="D3358" s="28"/>
      <c r="E3358" s="16"/>
    </row>
    <row r="3359" spans="1:5" x14ac:dyDescent="0.2">
      <c r="A3359" s="28"/>
      <c r="B3359" s="28"/>
      <c r="C3359" s="28"/>
      <c r="D3359" s="28"/>
      <c r="E3359" s="16"/>
    </row>
    <row r="3360" spans="1:5" x14ac:dyDescent="0.2">
      <c r="A3360" s="28"/>
      <c r="B3360" s="28"/>
      <c r="C3360" s="28"/>
      <c r="D3360" s="28"/>
      <c r="E3360" s="16"/>
    </row>
    <row r="3361" spans="1:5" x14ac:dyDescent="0.2">
      <c r="A3361" s="28"/>
      <c r="B3361" s="28"/>
      <c r="C3361" s="28"/>
      <c r="D3361" s="28"/>
      <c r="E3361" s="16"/>
    </row>
    <row r="3362" spans="1:5" x14ac:dyDescent="0.2">
      <c r="A3362" s="28"/>
      <c r="B3362" s="28"/>
      <c r="C3362" s="28"/>
      <c r="D3362" s="28"/>
      <c r="E3362" s="16"/>
    </row>
    <row r="3363" spans="1:5" x14ac:dyDescent="0.2">
      <c r="A3363" s="28"/>
      <c r="B3363" s="28"/>
      <c r="C3363" s="28"/>
      <c r="D3363" s="28"/>
      <c r="E3363" s="16"/>
    </row>
    <row r="3364" spans="1:5" x14ac:dyDescent="0.2">
      <c r="A3364" s="28"/>
      <c r="B3364" s="28"/>
      <c r="C3364" s="28"/>
      <c r="D3364" s="28"/>
      <c r="E3364" s="16"/>
    </row>
    <row r="3365" spans="1:5" x14ac:dyDescent="0.2">
      <c r="A3365" s="28"/>
      <c r="B3365" s="28"/>
      <c r="C3365" s="28"/>
      <c r="D3365" s="28"/>
      <c r="E3365" s="16"/>
    </row>
    <row r="3366" spans="1:5" x14ac:dyDescent="0.2">
      <c r="A3366" s="28"/>
      <c r="B3366" s="28"/>
      <c r="C3366" s="28"/>
      <c r="D3366" s="28"/>
      <c r="E3366" s="16"/>
    </row>
    <row r="3367" spans="1:5" x14ac:dyDescent="0.2">
      <c r="A3367" s="28"/>
      <c r="B3367" s="28"/>
      <c r="C3367" s="28"/>
      <c r="D3367" s="28"/>
      <c r="E3367" s="16"/>
    </row>
    <row r="3368" spans="1:5" x14ac:dyDescent="0.2">
      <c r="A3368" s="28"/>
      <c r="B3368" s="28"/>
      <c r="C3368" s="28"/>
      <c r="D3368" s="28"/>
      <c r="E3368" s="16"/>
    </row>
    <row r="3369" spans="1:5" x14ac:dyDescent="0.2">
      <c r="A3369" s="28"/>
      <c r="B3369" s="28"/>
      <c r="C3369" s="28"/>
      <c r="D3369" s="28"/>
      <c r="E3369" s="16"/>
    </row>
    <row r="3370" spans="1:5" x14ac:dyDescent="0.2">
      <c r="A3370" s="28"/>
      <c r="B3370" s="28"/>
      <c r="C3370" s="28"/>
      <c r="D3370" s="28"/>
      <c r="E3370" s="16"/>
    </row>
    <row r="3371" spans="1:5" x14ac:dyDescent="0.2">
      <c r="A3371" s="28"/>
      <c r="B3371" s="28"/>
      <c r="C3371" s="28"/>
      <c r="D3371" s="28"/>
      <c r="E3371" s="16"/>
    </row>
    <row r="3372" spans="1:5" x14ac:dyDescent="0.2">
      <c r="A3372" s="28"/>
      <c r="B3372" s="28"/>
      <c r="C3372" s="28"/>
      <c r="D3372" s="28"/>
      <c r="E3372" s="16"/>
    </row>
    <row r="3373" spans="1:5" x14ac:dyDescent="0.2">
      <c r="A3373" s="28"/>
      <c r="B3373" s="28"/>
      <c r="C3373" s="28"/>
      <c r="D3373" s="28"/>
      <c r="E3373" s="16"/>
    </row>
    <row r="3374" spans="1:5" x14ac:dyDescent="0.2">
      <c r="A3374" s="28"/>
      <c r="B3374" s="28"/>
      <c r="C3374" s="28"/>
      <c r="D3374" s="28"/>
      <c r="E3374" s="16"/>
    </row>
    <row r="3375" spans="1:5" x14ac:dyDescent="0.2">
      <c r="A3375" s="28"/>
      <c r="B3375" s="28"/>
      <c r="C3375" s="28"/>
      <c r="D3375" s="28"/>
      <c r="E3375" s="16"/>
    </row>
    <row r="3376" spans="1:5" x14ac:dyDescent="0.2">
      <c r="A3376" s="28"/>
      <c r="B3376" s="28"/>
      <c r="C3376" s="28"/>
      <c r="D3376" s="28"/>
      <c r="E3376" s="16"/>
    </row>
    <row r="3377" spans="1:5" x14ac:dyDescent="0.2">
      <c r="A3377" s="28"/>
      <c r="B3377" s="28"/>
      <c r="C3377" s="28"/>
      <c r="D3377" s="28"/>
      <c r="E3377" s="16"/>
    </row>
    <row r="3378" spans="1:5" x14ac:dyDescent="0.2">
      <c r="A3378" s="28"/>
      <c r="B3378" s="28"/>
      <c r="C3378" s="28"/>
      <c r="D3378" s="28"/>
      <c r="E3378" s="16"/>
    </row>
    <row r="3379" spans="1:5" x14ac:dyDescent="0.2">
      <c r="A3379" s="28"/>
      <c r="B3379" s="28"/>
      <c r="C3379" s="28"/>
      <c r="D3379" s="28"/>
      <c r="E3379" s="16"/>
    </row>
    <row r="3380" spans="1:5" x14ac:dyDescent="0.2">
      <c r="A3380" s="28"/>
      <c r="B3380" s="28"/>
      <c r="C3380" s="28"/>
      <c r="D3380" s="28"/>
      <c r="E3380" s="16"/>
    </row>
    <row r="3381" spans="1:5" x14ac:dyDescent="0.2">
      <c r="A3381" s="28"/>
      <c r="B3381" s="28"/>
      <c r="C3381" s="28"/>
      <c r="D3381" s="28"/>
      <c r="E3381" s="16"/>
    </row>
    <row r="3382" spans="1:5" x14ac:dyDescent="0.2">
      <c r="A3382" s="28"/>
      <c r="B3382" s="28"/>
      <c r="C3382" s="28"/>
      <c r="D3382" s="28"/>
      <c r="E3382" s="16"/>
    </row>
    <row r="3383" spans="1:5" x14ac:dyDescent="0.2">
      <c r="A3383" s="28"/>
      <c r="B3383" s="28"/>
      <c r="C3383" s="28"/>
      <c r="D3383" s="28"/>
      <c r="E3383" s="16"/>
    </row>
    <row r="3384" spans="1:5" x14ac:dyDescent="0.2">
      <c r="A3384" s="28"/>
      <c r="B3384" s="28"/>
      <c r="C3384" s="28"/>
      <c r="D3384" s="28"/>
      <c r="E3384" s="16"/>
    </row>
    <row r="3385" spans="1:5" x14ac:dyDescent="0.2">
      <c r="A3385" s="28"/>
      <c r="B3385" s="28"/>
      <c r="C3385" s="28"/>
      <c r="D3385" s="28"/>
      <c r="E3385" s="16"/>
    </row>
    <row r="3386" spans="1:5" x14ac:dyDescent="0.2">
      <c r="A3386" s="28"/>
      <c r="B3386" s="28"/>
      <c r="C3386" s="28"/>
      <c r="D3386" s="28"/>
      <c r="E3386" s="16"/>
    </row>
    <row r="3387" spans="1:5" x14ac:dyDescent="0.2">
      <c r="A3387" s="28"/>
      <c r="B3387" s="28"/>
      <c r="C3387" s="28"/>
      <c r="D3387" s="28"/>
      <c r="E3387" s="16"/>
    </row>
    <row r="3388" spans="1:5" x14ac:dyDescent="0.2">
      <c r="A3388" s="28"/>
      <c r="B3388" s="28"/>
      <c r="C3388" s="28"/>
      <c r="D3388" s="28"/>
      <c r="E3388" s="16"/>
    </row>
    <row r="3389" spans="1:5" x14ac:dyDescent="0.2">
      <c r="A3389" s="28"/>
      <c r="B3389" s="28"/>
      <c r="C3389" s="28"/>
      <c r="D3389" s="28"/>
      <c r="E3389" s="16"/>
    </row>
    <row r="3390" spans="1:5" x14ac:dyDescent="0.2">
      <c r="A3390" s="28"/>
      <c r="B3390" s="28"/>
      <c r="C3390" s="28"/>
      <c r="D3390" s="28"/>
      <c r="E3390" s="16"/>
    </row>
    <row r="3391" spans="1:5" x14ac:dyDescent="0.2">
      <c r="A3391" s="28"/>
      <c r="B3391" s="28"/>
      <c r="C3391" s="28"/>
      <c r="D3391" s="28"/>
      <c r="E3391" s="16"/>
    </row>
    <row r="3392" spans="1:5" x14ac:dyDescent="0.2">
      <c r="A3392" s="28"/>
      <c r="B3392" s="28"/>
      <c r="C3392" s="28"/>
      <c r="D3392" s="28"/>
      <c r="E3392" s="16"/>
    </row>
    <row r="3393" spans="1:5" x14ac:dyDescent="0.2">
      <c r="A3393" s="28"/>
      <c r="B3393" s="28"/>
      <c r="C3393" s="28"/>
      <c r="D3393" s="28"/>
      <c r="E3393" s="16"/>
    </row>
    <row r="3394" spans="1:5" x14ac:dyDescent="0.2">
      <c r="A3394" s="28"/>
      <c r="B3394" s="28"/>
      <c r="C3394" s="28"/>
      <c r="D3394" s="28"/>
      <c r="E3394" s="16"/>
    </row>
    <row r="3395" spans="1:5" x14ac:dyDescent="0.2">
      <c r="A3395" s="28"/>
      <c r="B3395" s="28"/>
      <c r="C3395" s="28"/>
      <c r="D3395" s="28"/>
      <c r="E3395" s="16"/>
    </row>
    <row r="3396" spans="1:5" x14ac:dyDescent="0.2">
      <c r="A3396" s="28"/>
      <c r="B3396" s="28"/>
      <c r="C3396" s="28"/>
      <c r="D3396" s="28"/>
      <c r="E3396" s="16"/>
    </row>
    <row r="3397" spans="1:5" x14ac:dyDescent="0.2">
      <c r="A3397" s="28"/>
      <c r="B3397" s="28"/>
      <c r="C3397" s="28"/>
      <c r="D3397" s="28"/>
      <c r="E3397" s="16"/>
    </row>
    <row r="3398" spans="1:5" x14ac:dyDescent="0.2">
      <c r="A3398" s="28"/>
      <c r="B3398" s="28"/>
      <c r="C3398" s="28"/>
      <c r="D3398" s="28"/>
      <c r="E3398" s="16"/>
    </row>
    <row r="3399" spans="1:5" x14ac:dyDescent="0.2">
      <c r="A3399" s="28"/>
      <c r="B3399" s="28"/>
      <c r="C3399" s="28"/>
      <c r="D3399" s="28"/>
      <c r="E3399" s="16"/>
    </row>
    <row r="3400" spans="1:5" x14ac:dyDescent="0.2">
      <c r="A3400" s="28"/>
      <c r="B3400" s="28"/>
      <c r="C3400" s="28"/>
      <c r="D3400" s="28"/>
      <c r="E3400" s="16"/>
    </row>
    <row r="3401" spans="1:5" x14ac:dyDescent="0.2">
      <c r="A3401" s="28"/>
      <c r="B3401" s="28"/>
      <c r="C3401" s="28"/>
      <c r="D3401" s="28"/>
      <c r="E3401" s="16"/>
    </row>
    <row r="3402" spans="1:5" x14ac:dyDescent="0.2">
      <c r="A3402" s="28"/>
      <c r="B3402" s="28"/>
      <c r="C3402" s="28"/>
      <c r="D3402" s="28"/>
      <c r="E3402" s="16"/>
    </row>
    <row r="3403" spans="1:5" x14ac:dyDescent="0.2">
      <c r="A3403" s="28"/>
      <c r="B3403" s="28"/>
      <c r="C3403" s="28"/>
      <c r="D3403" s="28"/>
      <c r="E3403" s="16"/>
    </row>
    <row r="3404" spans="1:5" x14ac:dyDescent="0.2">
      <c r="A3404" s="28"/>
      <c r="B3404" s="28"/>
      <c r="C3404" s="28"/>
      <c r="D3404" s="28"/>
      <c r="E3404" s="16"/>
    </row>
    <row r="3405" spans="1:5" x14ac:dyDescent="0.2">
      <c r="A3405" s="28"/>
      <c r="B3405" s="28"/>
      <c r="C3405" s="28"/>
      <c r="D3405" s="28"/>
      <c r="E3405" s="16"/>
    </row>
    <row r="3406" spans="1:5" x14ac:dyDescent="0.2">
      <c r="A3406" s="28"/>
      <c r="B3406" s="28"/>
      <c r="C3406" s="28"/>
      <c r="D3406" s="28"/>
      <c r="E3406" s="16"/>
    </row>
    <row r="3407" spans="1:5" x14ac:dyDescent="0.2">
      <c r="A3407" s="28"/>
      <c r="B3407" s="28"/>
      <c r="C3407" s="28"/>
      <c r="D3407" s="28"/>
      <c r="E3407" s="16"/>
    </row>
    <row r="3408" spans="1:5" x14ac:dyDescent="0.2">
      <c r="A3408" s="28"/>
      <c r="B3408" s="28"/>
      <c r="C3408" s="28"/>
      <c r="D3408" s="28"/>
      <c r="E3408" s="16"/>
    </row>
    <row r="3409" spans="1:5" x14ac:dyDescent="0.2">
      <c r="A3409" s="28"/>
      <c r="B3409" s="28"/>
      <c r="C3409" s="28"/>
      <c r="D3409" s="28"/>
      <c r="E3409" s="16"/>
    </row>
    <row r="3410" spans="1:5" x14ac:dyDescent="0.2">
      <c r="A3410" s="28"/>
      <c r="B3410" s="28"/>
      <c r="C3410" s="28"/>
      <c r="D3410" s="28"/>
      <c r="E3410" s="16"/>
    </row>
    <row r="3411" spans="1:5" x14ac:dyDescent="0.2">
      <c r="A3411" s="28"/>
      <c r="B3411" s="28"/>
      <c r="C3411" s="28"/>
      <c r="D3411" s="28"/>
      <c r="E3411" s="16"/>
    </row>
    <row r="3412" spans="1:5" x14ac:dyDescent="0.2">
      <c r="A3412" s="28"/>
      <c r="B3412" s="28"/>
      <c r="C3412" s="28"/>
      <c r="D3412" s="28"/>
      <c r="E3412" s="16"/>
    </row>
    <row r="3413" spans="1:5" x14ac:dyDescent="0.2">
      <c r="A3413" s="28"/>
      <c r="B3413" s="28"/>
      <c r="C3413" s="28"/>
      <c r="D3413" s="28"/>
      <c r="E3413" s="16"/>
    </row>
    <row r="3414" spans="1:5" x14ac:dyDescent="0.2">
      <c r="A3414" s="28"/>
      <c r="B3414" s="28"/>
      <c r="C3414" s="28"/>
      <c r="D3414" s="28"/>
      <c r="E3414" s="16"/>
    </row>
    <row r="3415" spans="1:5" x14ac:dyDescent="0.2">
      <c r="A3415" s="28"/>
      <c r="B3415" s="28"/>
      <c r="C3415" s="28"/>
      <c r="D3415" s="28"/>
      <c r="E3415" s="16"/>
    </row>
    <row r="3416" spans="1:5" x14ac:dyDescent="0.2">
      <c r="A3416" s="28"/>
      <c r="B3416" s="28"/>
      <c r="C3416" s="28"/>
      <c r="D3416" s="28"/>
      <c r="E3416" s="16"/>
    </row>
    <row r="3417" spans="1:5" x14ac:dyDescent="0.2">
      <c r="A3417" s="28"/>
      <c r="B3417" s="28"/>
      <c r="C3417" s="28"/>
      <c r="D3417" s="28"/>
      <c r="E3417" s="16"/>
    </row>
    <row r="3418" spans="1:5" x14ac:dyDescent="0.2">
      <c r="A3418" s="28"/>
      <c r="B3418" s="28"/>
      <c r="C3418" s="28"/>
      <c r="D3418" s="28"/>
      <c r="E3418" s="16"/>
    </row>
    <row r="3419" spans="1:5" x14ac:dyDescent="0.2">
      <c r="A3419" s="28"/>
      <c r="B3419" s="28"/>
      <c r="C3419" s="28"/>
      <c r="D3419" s="28"/>
      <c r="E3419" s="16"/>
    </row>
    <row r="3420" spans="1:5" x14ac:dyDescent="0.2">
      <c r="A3420" s="28"/>
      <c r="B3420" s="28"/>
      <c r="C3420" s="28"/>
      <c r="D3420" s="28"/>
      <c r="E3420" s="16"/>
    </row>
    <row r="3421" spans="1:5" x14ac:dyDescent="0.2">
      <c r="A3421" s="28"/>
      <c r="B3421" s="28"/>
      <c r="C3421" s="28"/>
      <c r="D3421" s="28"/>
      <c r="E3421" s="16"/>
    </row>
    <row r="3422" spans="1:5" x14ac:dyDescent="0.2">
      <c r="A3422" s="28"/>
      <c r="B3422" s="28"/>
      <c r="C3422" s="28"/>
      <c r="D3422" s="28"/>
      <c r="E3422" s="16"/>
    </row>
    <row r="3423" spans="1:5" x14ac:dyDescent="0.2">
      <c r="A3423" s="28"/>
      <c r="B3423" s="28"/>
      <c r="C3423" s="28"/>
      <c r="D3423" s="28"/>
      <c r="E3423" s="16"/>
    </row>
    <row r="3424" spans="1:5" x14ac:dyDescent="0.2">
      <c r="A3424" s="28"/>
      <c r="B3424" s="28"/>
      <c r="C3424" s="28"/>
      <c r="D3424" s="28"/>
      <c r="E3424" s="16"/>
    </row>
    <row r="3425" spans="1:5" x14ac:dyDescent="0.2">
      <c r="A3425" s="28"/>
      <c r="B3425" s="28"/>
      <c r="C3425" s="28"/>
      <c r="D3425" s="28"/>
      <c r="E3425" s="16"/>
    </row>
    <row r="3426" spans="1:5" x14ac:dyDescent="0.2">
      <c r="A3426" s="28"/>
      <c r="B3426" s="28"/>
      <c r="C3426" s="28"/>
      <c r="D3426" s="28"/>
      <c r="E3426" s="16"/>
    </row>
    <row r="3427" spans="1:5" x14ac:dyDescent="0.2">
      <c r="A3427" s="28"/>
      <c r="B3427" s="28"/>
      <c r="C3427" s="28"/>
      <c r="D3427" s="28"/>
      <c r="E3427" s="16"/>
    </row>
    <row r="3428" spans="1:5" x14ac:dyDescent="0.2">
      <c r="A3428" s="28"/>
      <c r="B3428" s="28"/>
      <c r="C3428" s="28"/>
      <c r="D3428" s="28"/>
      <c r="E3428" s="16"/>
    </row>
    <row r="3429" spans="1:5" x14ac:dyDescent="0.2">
      <c r="A3429" s="28"/>
      <c r="B3429" s="28"/>
      <c r="C3429" s="28"/>
      <c r="D3429" s="28"/>
      <c r="E3429" s="16"/>
    </row>
    <row r="3430" spans="1:5" x14ac:dyDescent="0.2">
      <c r="A3430" s="28"/>
      <c r="B3430" s="28"/>
      <c r="C3430" s="28"/>
      <c r="D3430" s="28"/>
      <c r="E3430" s="16"/>
    </row>
    <row r="3431" spans="1:5" x14ac:dyDescent="0.2">
      <c r="A3431" s="28"/>
      <c r="B3431" s="28"/>
      <c r="C3431" s="28"/>
      <c r="D3431" s="28"/>
      <c r="E3431" s="16"/>
    </row>
    <row r="3432" spans="1:5" x14ac:dyDescent="0.2">
      <c r="A3432" s="28"/>
      <c r="B3432" s="28"/>
      <c r="C3432" s="28"/>
      <c r="D3432" s="28"/>
      <c r="E3432" s="16"/>
    </row>
    <row r="3433" spans="1:5" x14ac:dyDescent="0.2">
      <c r="A3433" s="28"/>
      <c r="B3433" s="28"/>
      <c r="C3433" s="28"/>
      <c r="D3433" s="28"/>
      <c r="E3433" s="16"/>
    </row>
    <row r="3434" spans="1:5" x14ac:dyDescent="0.2">
      <c r="A3434" s="28"/>
      <c r="B3434" s="28"/>
      <c r="C3434" s="28"/>
      <c r="D3434" s="28"/>
      <c r="E3434" s="16"/>
    </row>
    <row r="3435" spans="1:5" x14ac:dyDescent="0.2">
      <c r="A3435" s="28"/>
      <c r="B3435" s="28"/>
      <c r="C3435" s="28"/>
      <c r="D3435" s="28"/>
      <c r="E3435" s="16"/>
    </row>
    <row r="3436" spans="1:5" x14ac:dyDescent="0.2">
      <c r="A3436" s="28"/>
      <c r="B3436" s="28"/>
      <c r="C3436" s="28"/>
      <c r="D3436" s="28"/>
      <c r="E3436" s="16"/>
    </row>
    <row r="3437" spans="1:5" x14ac:dyDescent="0.2">
      <c r="A3437" s="28"/>
      <c r="B3437" s="28"/>
      <c r="C3437" s="28"/>
      <c r="D3437" s="28"/>
      <c r="E3437" s="16"/>
    </row>
    <row r="3438" spans="1:5" x14ac:dyDescent="0.2">
      <c r="A3438" s="28"/>
      <c r="B3438" s="28"/>
      <c r="C3438" s="28"/>
      <c r="D3438" s="28"/>
      <c r="E3438" s="16"/>
    </row>
    <row r="3439" spans="1:5" x14ac:dyDescent="0.2">
      <c r="A3439" s="28"/>
      <c r="B3439" s="28"/>
      <c r="C3439" s="28"/>
      <c r="D3439" s="28"/>
      <c r="E3439" s="16"/>
    </row>
    <row r="3440" spans="1:5" x14ac:dyDescent="0.2">
      <c r="A3440" s="28"/>
      <c r="B3440" s="28"/>
      <c r="C3440" s="28"/>
      <c r="D3440" s="28"/>
      <c r="E3440" s="16"/>
    </row>
    <row r="3441" spans="1:5" x14ac:dyDescent="0.2">
      <c r="A3441" s="28"/>
      <c r="B3441" s="28"/>
      <c r="C3441" s="28"/>
      <c r="D3441" s="28"/>
      <c r="E3441" s="16"/>
    </row>
    <row r="3442" spans="1:5" x14ac:dyDescent="0.2">
      <c r="A3442" s="28"/>
      <c r="B3442" s="28"/>
      <c r="C3442" s="28"/>
      <c r="D3442" s="28"/>
      <c r="E3442" s="16"/>
    </row>
    <row r="3443" spans="1:5" x14ac:dyDescent="0.2">
      <c r="A3443" s="28"/>
      <c r="B3443" s="28"/>
      <c r="C3443" s="28"/>
      <c r="D3443" s="28"/>
      <c r="E3443" s="16"/>
    </row>
    <row r="3444" spans="1:5" x14ac:dyDescent="0.2">
      <c r="A3444" s="28"/>
      <c r="B3444" s="28"/>
      <c r="C3444" s="28"/>
      <c r="D3444" s="28"/>
      <c r="E3444" s="16"/>
    </row>
    <row r="3445" spans="1:5" x14ac:dyDescent="0.2">
      <c r="A3445" s="28"/>
      <c r="B3445" s="28"/>
      <c r="C3445" s="28"/>
      <c r="D3445" s="28"/>
      <c r="E3445" s="16"/>
    </row>
    <row r="3446" spans="1:5" x14ac:dyDescent="0.2">
      <c r="A3446" s="28"/>
      <c r="B3446" s="28"/>
      <c r="C3446" s="28"/>
      <c r="D3446" s="28"/>
      <c r="E3446" s="16"/>
    </row>
    <row r="3447" spans="1:5" x14ac:dyDescent="0.2">
      <c r="A3447" s="28"/>
      <c r="B3447" s="28"/>
      <c r="C3447" s="28"/>
      <c r="D3447" s="28"/>
      <c r="E3447" s="16"/>
    </row>
    <row r="3448" spans="1:5" x14ac:dyDescent="0.2">
      <c r="A3448" s="28"/>
      <c r="B3448" s="28"/>
      <c r="C3448" s="28"/>
      <c r="D3448" s="28"/>
      <c r="E3448" s="16"/>
    </row>
    <row r="3449" spans="1:5" x14ac:dyDescent="0.2">
      <c r="A3449" s="28"/>
      <c r="B3449" s="28"/>
      <c r="C3449" s="28"/>
      <c r="D3449" s="28"/>
      <c r="E3449" s="16"/>
    </row>
    <row r="3450" spans="1:5" x14ac:dyDescent="0.2">
      <c r="A3450" s="28"/>
      <c r="B3450" s="28"/>
      <c r="C3450" s="28"/>
      <c r="D3450" s="28"/>
      <c r="E3450" s="16"/>
    </row>
    <row r="3451" spans="1:5" x14ac:dyDescent="0.2">
      <c r="A3451" s="28"/>
      <c r="B3451" s="28"/>
      <c r="C3451" s="28"/>
      <c r="D3451" s="28"/>
      <c r="E3451" s="16"/>
    </row>
    <row r="3452" spans="1:5" x14ac:dyDescent="0.2">
      <c r="A3452" s="28"/>
      <c r="B3452" s="28"/>
      <c r="C3452" s="28"/>
      <c r="D3452" s="28"/>
      <c r="E3452" s="16"/>
    </row>
    <row r="3453" spans="1:5" x14ac:dyDescent="0.2">
      <c r="A3453" s="28"/>
      <c r="B3453" s="28"/>
      <c r="C3453" s="28"/>
      <c r="D3453" s="28"/>
      <c r="E3453" s="16"/>
    </row>
    <row r="3454" spans="1:5" x14ac:dyDescent="0.2">
      <c r="A3454" s="28"/>
      <c r="B3454" s="28"/>
      <c r="C3454" s="28"/>
      <c r="D3454" s="28"/>
      <c r="E3454" s="16"/>
    </row>
    <row r="3455" spans="1:5" x14ac:dyDescent="0.2">
      <c r="A3455" s="28"/>
      <c r="B3455" s="28"/>
      <c r="C3455" s="28"/>
      <c r="D3455" s="28"/>
      <c r="E3455" s="16"/>
    </row>
    <row r="3456" spans="1:5" x14ac:dyDescent="0.2">
      <c r="A3456" s="28"/>
      <c r="B3456" s="28"/>
      <c r="C3456" s="28"/>
      <c r="D3456" s="28"/>
      <c r="E3456" s="16"/>
    </row>
    <row r="3457" spans="1:5" x14ac:dyDescent="0.2">
      <c r="A3457" s="28"/>
      <c r="B3457" s="28"/>
      <c r="C3457" s="28"/>
      <c r="D3457" s="28"/>
      <c r="E3457" s="16"/>
    </row>
    <row r="3458" spans="1:5" x14ac:dyDescent="0.2">
      <c r="A3458" s="28"/>
      <c r="B3458" s="28"/>
      <c r="C3458" s="28"/>
      <c r="D3458" s="28"/>
      <c r="E3458" s="16"/>
    </row>
    <row r="3459" spans="1:5" x14ac:dyDescent="0.2">
      <c r="A3459" s="28"/>
      <c r="B3459" s="28"/>
      <c r="C3459" s="28"/>
      <c r="D3459" s="28"/>
      <c r="E3459" s="16"/>
    </row>
    <row r="3460" spans="1:5" x14ac:dyDescent="0.2">
      <c r="A3460" s="28"/>
      <c r="B3460" s="28"/>
      <c r="C3460" s="28"/>
      <c r="D3460" s="28"/>
      <c r="E3460" s="16"/>
    </row>
    <row r="3461" spans="1:5" x14ac:dyDescent="0.2">
      <c r="A3461" s="28"/>
      <c r="B3461" s="28"/>
      <c r="C3461" s="28"/>
      <c r="D3461" s="28"/>
      <c r="E3461" s="16"/>
    </row>
    <row r="3462" spans="1:5" x14ac:dyDescent="0.2">
      <c r="A3462" s="28"/>
      <c r="B3462" s="28"/>
      <c r="C3462" s="28"/>
      <c r="D3462" s="28"/>
      <c r="E3462" s="16"/>
    </row>
    <row r="3463" spans="1:5" x14ac:dyDescent="0.2">
      <c r="A3463" s="28"/>
      <c r="B3463" s="28"/>
      <c r="C3463" s="28"/>
      <c r="D3463" s="28"/>
      <c r="E3463" s="16"/>
    </row>
    <row r="3464" spans="1:5" x14ac:dyDescent="0.2">
      <c r="A3464" s="28"/>
      <c r="B3464" s="28"/>
      <c r="C3464" s="28"/>
      <c r="D3464" s="28"/>
      <c r="E3464" s="16"/>
    </row>
    <row r="3465" spans="1:5" x14ac:dyDescent="0.2">
      <c r="A3465" s="28"/>
      <c r="B3465" s="28"/>
      <c r="C3465" s="28"/>
      <c r="D3465" s="28"/>
      <c r="E3465" s="16"/>
    </row>
    <row r="3466" spans="1:5" x14ac:dyDescent="0.2">
      <c r="A3466" s="28"/>
      <c r="B3466" s="28"/>
      <c r="C3466" s="28"/>
      <c r="D3466" s="28"/>
      <c r="E3466" s="16"/>
    </row>
    <row r="3467" spans="1:5" x14ac:dyDescent="0.2">
      <c r="A3467" s="28"/>
      <c r="B3467" s="28"/>
      <c r="C3467" s="28"/>
      <c r="D3467" s="28"/>
      <c r="E3467" s="16"/>
    </row>
    <row r="3468" spans="1:5" x14ac:dyDescent="0.2">
      <c r="A3468" s="28"/>
      <c r="B3468" s="28"/>
      <c r="C3468" s="28"/>
      <c r="D3468" s="28"/>
      <c r="E3468" s="16"/>
    </row>
    <row r="3469" spans="1:5" x14ac:dyDescent="0.2">
      <c r="A3469" s="28"/>
      <c r="B3469" s="28"/>
      <c r="C3469" s="28"/>
      <c r="D3469" s="28"/>
      <c r="E3469" s="16"/>
    </row>
    <row r="3470" spans="1:5" x14ac:dyDescent="0.2">
      <c r="A3470" s="28"/>
      <c r="B3470" s="28"/>
      <c r="C3470" s="28"/>
      <c r="D3470" s="28"/>
      <c r="E3470" s="16"/>
    </row>
    <row r="3471" spans="1:5" x14ac:dyDescent="0.2">
      <c r="A3471" s="28"/>
      <c r="B3471" s="28"/>
      <c r="C3471" s="28"/>
      <c r="D3471" s="28"/>
      <c r="E3471" s="16"/>
    </row>
    <row r="3472" spans="1:5" x14ac:dyDescent="0.2">
      <c r="A3472" s="28"/>
      <c r="B3472" s="28"/>
      <c r="C3472" s="28"/>
      <c r="D3472" s="28"/>
      <c r="E3472" s="16"/>
    </row>
    <row r="3473" spans="1:5" x14ac:dyDescent="0.2">
      <c r="A3473" s="28"/>
      <c r="B3473" s="28"/>
      <c r="C3473" s="28"/>
      <c r="D3473" s="28"/>
      <c r="E3473" s="16"/>
    </row>
    <row r="3474" spans="1:5" x14ac:dyDescent="0.2">
      <c r="A3474" s="28"/>
      <c r="B3474" s="28"/>
      <c r="C3474" s="28"/>
      <c r="D3474" s="28"/>
      <c r="E3474" s="16"/>
    </row>
    <row r="3475" spans="1:5" x14ac:dyDescent="0.2">
      <c r="A3475" s="28"/>
      <c r="B3475" s="28"/>
      <c r="C3475" s="28"/>
      <c r="D3475" s="28"/>
      <c r="E3475" s="16"/>
    </row>
    <row r="3476" spans="1:5" x14ac:dyDescent="0.2">
      <c r="A3476" s="28"/>
      <c r="B3476" s="28"/>
      <c r="C3476" s="28"/>
      <c r="D3476" s="28"/>
      <c r="E3476" s="16"/>
    </row>
    <row r="3477" spans="1:5" x14ac:dyDescent="0.2">
      <c r="A3477" s="28"/>
      <c r="B3477" s="28"/>
      <c r="C3477" s="28"/>
      <c r="D3477" s="28"/>
      <c r="E3477" s="16"/>
    </row>
    <row r="3478" spans="1:5" x14ac:dyDescent="0.2">
      <c r="A3478" s="28"/>
      <c r="B3478" s="28"/>
      <c r="C3478" s="28"/>
      <c r="D3478" s="28"/>
      <c r="E3478" s="16"/>
    </row>
    <row r="3479" spans="1:5" x14ac:dyDescent="0.2">
      <c r="A3479" s="28"/>
      <c r="B3479" s="28"/>
      <c r="C3479" s="28"/>
      <c r="D3479" s="28"/>
      <c r="E3479" s="16"/>
    </row>
    <row r="3480" spans="1:5" x14ac:dyDescent="0.2">
      <c r="A3480" s="28"/>
      <c r="B3480" s="28"/>
      <c r="C3480" s="28"/>
      <c r="D3480" s="28"/>
      <c r="E3480" s="16"/>
    </row>
    <row r="3481" spans="1:5" x14ac:dyDescent="0.2">
      <c r="A3481" s="28"/>
      <c r="B3481" s="28"/>
      <c r="C3481" s="28"/>
      <c r="D3481" s="28"/>
      <c r="E3481" s="16"/>
    </row>
    <row r="3482" spans="1:5" x14ac:dyDescent="0.2">
      <c r="A3482" s="28"/>
      <c r="B3482" s="28"/>
      <c r="C3482" s="28"/>
      <c r="D3482" s="28"/>
      <c r="E3482" s="16"/>
    </row>
    <row r="3483" spans="1:5" x14ac:dyDescent="0.2">
      <c r="A3483" s="28"/>
      <c r="B3483" s="28"/>
      <c r="C3483" s="28"/>
      <c r="D3483" s="28"/>
      <c r="E3483" s="16"/>
    </row>
    <row r="3484" spans="1:5" x14ac:dyDescent="0.2">
      <c r="A3484" s="28"/>
      <c r="B3484" s="28"/>
      <c r="C3484" s="28"/>
      <c r="D3484" s="28"/>
      <c r="E3484" s="16"/>
    </row>
    <row r="3485" spans="1:5" x14ac:dyDescent="0.2">
      <c r="A3485" s="28"/>
      <c r="B3485" s="28"/>
      <c r="C3485" s="28"/>
      <c r="D3485" s="28"/>
      <c r="E3485" s="16"/>
    </row>
    <row r="3486" spans="1:5" x14ac:dyDescent="0.2">
      <c r="A3486" s="28"/>
      <c r="B3486" s="28"/>
      <c r="C3486" s="28"/>
      <c r="D3486" s="28"/>
      <c r="E3486" s="16"/>
    </row>
    <row r="3487" spans="1:5" x14ac:dyDescent="0.2">
      <c r="A3487" s="28"/>
      <c r="B3487" s="28"/>
      <c r="C3487" s="28"/>
      <c r="D3487" s="28"/>
      <c r="E3487" s="16"/>
    </row>
    <row r="3488" spans="1:5" x14ac:dyDescent="0.2">
      <c r="A3488" s="28"/>
      <c r="B3488" s="28"/>
      <c r="C3488" s="28"/>
      <c r="D3488" s="28"/>
      <c r="E3488" s="16"/>
    </row>
    <row r="3489" spans="1:5" x14ac:dyDescent="0.2">
      <c r="A3489" s="28"/>
      <c r="B3489" s="28"/>
      <c r="C3489" s="28"/>
      <c r="D3489" s="28"/>
      <c r="E3489" s="16"/>
    </row>
    <row r="3490" spans="1:5" x14ac:dyDescent="0.2">
      <c r="A3490" s="28"/>
      <c r="B3490" s="28"/>
      <c r="C3490" s="28"/>
      <c r="D3490" s="28"/>
      <c r="E3490" s="16"/>
    </row>
    <row r="3491" spans="1:5" x14ac:dyDescent="0.2">
      <c r="A3491" s="28"/>
      <c r="B3491" s="28"/>
      <c r="C3491" s="28"/>
      <c r="D3491" s="28"/>
      <c r="E3491" s="16"/>
    </row>
    <row r="3492" spans="1:5" x14ac:dyDescent="0.2">
      <c r="A3492" s="28"/>
      <c r="B3492" s="28"/>
      <c r="C3492" s="28"/>
      <c r="D3492" s="28"/>
      <c r="E3492" s="16"/>
    </row>
    <row r="3493" spans="1:5" x14ac:dyDescent="0.2">
      <c r="A3493" s="28"/>
      <c r="B3493" s="28"/>
      <c r="C3493" s="28"/>
      <c r="D3493" s="28"/>
      <c r="E3493" s="16"/>
    </row>
    <row r="3494" spans="1:5" x14ac:dyDescent="0.2">
      <c r="A3494" s="28"/>
      <c r="B3494" s="28"/>
      <c r="C3494" s="28"/>
      <c r="D3494" s="28"/>
      <c r="E3494" s="16"/>
    </row>
    <row r="3495" spans="1:5" x14ac:dyDescent="0.2">
      <c r="A3495" s="28"/>
      <c r="B3495" s="28"/>
      <c r="C3495" s="28"/>
      <c r="D3495" s="28"/>
      <c r="E3495" s="16"/>
    </row>
    <row r="3496" spans="1:5" x14ac:dyDescent="0.2">
      <c r="A3496" s="28"/>
      <c r="B3496" s="28"/>
      <c r="C3496" s="28"/>
      <c r="D3496" s="28"/>
      <c r="E3496" s="16"/>
    </row>
    <row r="3497" spans="1:5" x14ac:dyDescent="0.2">
      <c r="A3497" s="28"/>
      <c r="B3497" s="28"/>
      <c r="C3497" s="28"/>
      <c r="D3497" s="28"/>
      <c r="E3497" s="16"/>
    </row>
    <row r="3498" spans="1:5" x14ac:dyDescent="0.2">
      <c r="A3498" s="28"/>
      <c r="B3498" s="28"/>
      <c r="C3498" s="28"/>
      <c r="D3498" s="28"/>
      <c r="E3498" s="16"/>
    </row>
    <row r="3499" spans="1:5" x14ac:dyDescent="0.2">
      <c r="A3499" s="28"/>
      <c r="B3499" s="28"/>
      <c r="C3499" s="28"/>
      <c r="D3499" s="28"/>
      <c r="E3499" s="16"/>
    </row>
    <row r="3500" spans="1:5" x14ac:dyDescent="0.2">
      <c r="A3500" s="28"/>
      <c r="B3500" s="28"/>
      <c r="C3500" s="28"/>
      <c r="D3500" s="28"/>
      <c r="E3500" s="16"/>
    </row>
    <row r="3501" spans="1:5" x14ac:dyDescent="0.2">
      <c r="A3501" s="28"/>
      <c r="B3501" s="28"/>
      <c r="C3501" s="28"/>
      <c r="D3501" s="28"/>
      <c r="E3501" s="16"/>
    </row>
    <row r="3502" spans="1:5" x14ac:dyDescent="0.2">
      <c r="A3502" s="28"/>
      <c r="B3502" s="28"/>
      <c r="C3502" s="28"/>
      <c r="D3502" s="28"/>
      <c r="E3502" s="16"/>
    </row>
    <row r="3503" spans="1:5" x14ac:dyDescent="0.2">
      <c r="A3503" s="28"/>
      <c r="B3503" s="28"/>
      <c r="C3503" s="28"/>
      <c r="D3503" s="28"/>
      <c r="E3503" s="16"/>
    </row>
    <row r="3504" spans="1:5" x14ac:dyDescent="0.2">
      <c r="A3504" s="28"/>
      <c r="B3504" s="28"/>
      <c r="C3504" s="28"/>
      <c r="D3504" s="28"/>
      <c r="E3504" s="16"/>
    </row>
    <row r="3505" spans="1:5" x14ac:dyDescent="0.2">
      <c r="A3505" s="28"/>
      <c r="B3505" s="28"/>
      <c r="C3505" s="28"/>
      <c r="D3505" s="28"/>
      <c r="E3505" s="16"/>
    </row>
    <row r="3506" spans="1:5" x14ac:dyDescent="0.2">
      <c r="A3506" s="28"/>
      <c r="B3506" s="28"/>
      <c r="C3506" s="28"/>
      <c r="D3506" s="28"/>
      <c r="E3506" s="16"/>
    </row>
    <row r="3507" spans="1:5" x14ac:dyDescent="0.2">
      <c r="A3507" s="28"/>
      <c r="B3507" s="28"/>
      <c r="C3507" s="28"/>
      <c r="D3507" s="28"/>
      <c r="E3507" s="16"/>
    </row>
    <row r="3508" spans="1:5" x14ac:dyDescent="0.2">
      <c r="A3508" s="28"/>
      <c r="B3508" s="28"/>
      <c r="C3508" s="28"/>
      <c r="D3508" s="28"/>
      <c r="E3508" s="16"/>
    </row>
    <row r="3509" spans="1:5" x14ac:dyDescent="0.2">
      <c r="A3509" s="28"/>
      <c r="B3509" s="28"/>
      <c r="C3509" s="28"/>
      <c r="D3509" s="28"/>
      <c r="E3509" s="16"/>
    </row>
    <row r="3510" spans="1:5" x14ac:dyDescent="0.2">
      <c r="A3510" s="28"/>
      <c r="B3510" s="28"/>
      <c r="C3510" s="28"/>
      <c r="D3510" s="28"/>
      <c r="E3510" s="16"/>
    </row>
    <row r="3511" spans="1:5" x14ac:dyDescent="0.2">
      <c r="A3511" s="28"/>
      <c r="B3511" s="28"/>
      <c r="C3511" s="28"/>
      <c r="D3511" s="28"/>
      <c r="E3511" s="16"/>
    </row>
    <row r="3512" spans="1:5" x14ac:dyDescent="0.2">
      <c r="A3512" s="28"/>
      <c r="B3512" s="28"/>
      <c r="C3512" s="28"/>
      <c r="D3512" s="28"/>
      <c r="E3512" s="16"/>
    </row>
    <row r="3513" spans="1:5" x14ac:dyDescent="0.2">
      <c r="A3513" s="28"/>
      <c r="B3513" s="28"/>
      <c r="C3513" s="28"/>
      <c r="D3513" s="28"/>
      <c r="E3513" s="16"/>
    </row>
    <row r="3514" spans="1:5" x14ac:dyDescent="0.2">
      <c r="A3514" s="28"/>
      <c r="B3514" s="28"/>
      <c r="C3514" s="28"/>
      <c r="D3514" s="28"/>
      <c r="E3514" s="16"/>
    </row>
    <row r="3515" spans="1:5" x14ac:dyDescent="0.2">
      <c r="A3515" s="28"/>
      <c r="B3515" s="28"/>
      <c r="C3515" s="28"/>
      <c r="D3515" s="28"/>
      <c r="E3515" s="16"/>
    </row>
    <row r="3516" spans="1:5" x14ac:dyDescent="0.2">
      <c r="A3516" s="28"/>
      <c r="B3516" s="28"/>
      <c r="C3516" s="28"/>
      <c r="D3516" s="28"/>
      <c r="E3516" s="16"/>
    </row>
    <row r="3517" spans="1:5" x14ac:dyDescent="0.2">
      <c r="A3517" s="28"/>
      <c r="B3517" s="28"/>
      <c r="C3517" s="28"/>
      <c r="D3517" s="28"/>
      <c r="E3517" s="16"/>
    </row>
    <row r="3518" spans="1:5" x14ac:dyDescent="0.2">
      <c r="A3518" s="28"/>
      <c r="B3518" s="28"/>
      <c r="C3518" s="28"/>
      <c r="D3518" s="28"/>
      <c r="E3518" s="16"/>
    </row>
    <row r="3519" spans="1:5" x14ac:dyDescent="0.2">
      <c r="A3519" s="28"/>
      <c r="B3519" s="28"/>
      <c r="C3519" s="28"/>
      <c r="D3519" s="28"/>
      <c r="E3519" s="16"/>
    </row>
    <row r="3520" spans="1:5" x14ac:dyDescent="0.2">
      <c r="A3520" s="28"/>
      <c r="B3520" s="28"/>
      <c r="C3520" s="28"/>
      <c r="D3520" s="28"/>
      <c r="E3520" s="16"/>
    </row>
    <row r="3521" spans="1:5" x14ac:dyDescent="0.2">
      <c r="A3521" s="28"/>
      <c r="B3521" s="28"/>
      <c r="C3521" s="28"/>
      <c r="D3521" s="28"/>
      <c r="E3521" s="16"/>
    </row>
    <row r="3522" spans="1:5" x14ac:dyDescent="0.2">
      <c r="A3522" s="28"/>
      <c r="B3522" s="28"/>
      <c r="C3522" s="28"/>
      <c r="D3522" s="28"/>
      <c r="E3522" s="16"/>
    </row>
    <row r="3523" spans="1:5" x14ac:dyDescent="0.2">
      <c r="A3523" s="28"/>
      <c r="B3523" s="28"/>
      <c r="C3523" s="28"/>
      <c r="D3523" s="28"/>
      <c r="E3523" s="16"/>
    </row>
    <row r="3524" spans="1:5" x14ac:dyDescent="0.2">
      <c r="A3524" s="28"/>
      <c r="B3524" s="28"/>
      <c r="C3524" s="28"/>
      <c r="D3524" s="28"/>
      <c r="E3524" s="16"/>
    </row>
    <row r="3525" spans="1:5" x14ac:dyDescent="0.2">
      <c r="A3525" s="28"/>
      <c r="B3525" s="28"/>
      <c r="C3525" s="28"/>
      <c r="D3525" s="28"/>
      <c r="E3525" s="16"/>
    </row>
    <row r="3526" spans="1:5" x14ac:dyDescent="0.2">
      <c r="A3526" s="28"/>
      <c r="B3526" s="28"/>
      <c r="C3526" s="28"/>
      <c r="D3526" s="28"/>
      <c r="E3526" s="16"/>
    </row>
    <row r="3527" spans="1:5" x14ac:dyDescent="0.2">
      <c r="A3527" s="28"/>
      <c r="B3527" s="28"/>
      <c r="C3527" s="28"/>
      <c r="D3527" s="28"/>
      <c r="E3527" s="16"/>
    </row>
    <row r="3528" spans="1:5" x14ac:dyDescent="0.2">
      <c r="A3528" s="28"/>
      <c r="B3528" s="28"/>
      <c r="C3528" s="28"/>
      <c r="D3528" s="28"/>
      <c r="E3528" s="16"/>
    </row>
    <row r="3529" spans="1:5" x14ac:dyDescent="0.2">
      <c r="A3529" s="28"/>
      <c r="B3529" s="28"/>
      <c r="C3529" s="28"/>
      <c r="D3529" s="28"/>
      <c r="E3529" s="16"/>
    </row>
    <row r="3530" spans="1:5" x14ac:dyDescent="0.2">
      <c r="A3530" s="28"/>
      <c r="B3530" s="28"/>
      <c r="C3530" s="28"/>
      <c r="D3530" s="28"/>
      <c r="E3530" s="16"/>
    </row>
    <row r="3531" spans="1:5" x14ac:dyDescent="0.2">
      <c r="A3531" s="28"/>
      <c r="B3531" s="28"/>
      <c r="C3531" s="28"/>
      <c r="D3531" s="28"/>
      <c r="E3531" s="16"/>
    </row>
    <row r="3532" spans="1:5" x14ac:dyDescent="0.2">
      <c r="A3532" s="28"/>
      <c r="B3532" s="28"/>
      <c r="C3532" s="28"/>
      <c r="D3532" s="28"/>
      <c r="E3532" s="16"/>
    </row>
    <row r="3533" spans="1:5" x14ac:dyDescent="0.2">
      <c r="A3533" s="28"/>
      <c r="B3533" s="28"/>
      <c r="C3533" s="28"/>
      <c r="D3533" s="28"/>
      <c r="E3533" s="16"/>
    </row>
    <row r="3534" spans="1:5" x14ac:dyDescent="0.2">
      <c r="A3534" s="28"/>
      <c r="B3534" s="28"/>
      <c r="C3534" s="28"/>
      <c r="D3534" s="28"/>
      <c r="E3534" s="16"/>
    </row>
    <row r="3535" spans="1:5" x14ac:dyDescent="0.2">
      <c r="A3535" s="28"/>
      <c r="B3535" s="28"/>
      <c r="C3535" s="28"/>
      <c r="D3535" s="28"/>
      <c r="E3535" s="16"/>
    </row>
    <row r="3536" spans="1:5" x14ac:dyDescent="0.2">
      <c r="A3536" s="28"/>
      <c r="B3536" s="28"/>
      <c r="C3536" s="28"/>
      <c r="D3536" s="28"/>
      <c r="E3536" s="16"/>
    </row>
    <row r="3537" spans="1:5" x14ac:dyDescent="0.2">
      <c r="A3537" s="28"/>
      <c r="B3537" s="28"/>
      <c r="C3537" s="28"/>
      <c r="D3537" s="28"/>
      <c r="E3537" s="16"/>
    </row>
    <row r="3538" spans="1:5" x14ac:dyDescent="0.2">
      <c r="A3538" s="28"/>
      <c r="B3538" s="28"/>
      <c r="C3538" s="28"/>
      <c r="D3538" s="28"/>
      <c r="E3538" s="16"/>
    </row>
    <row r="3539" spans="1:5" x14ac:dyDescent="0.2">
      <c r="A3539" s="28"/>
      <c r="B3539" s="28"/>
      <c r="C3539" s="28"/>
      <c r="D3539" s="28"/>
      <c r="E3539" s="16"/>
    </row>
    <row r="3540" spans="1:5" x14ac:dyDescent="0.2">
      <c r="A3540" s="28"/>
      <c r="B3540" s="28"/>
      <c r="C3540" s="28"/>
      <c r="D3540" s="28"/>
      <c r="E3540" s="16"/>
    </row>
    <row r="3541" spans="1:5" x14ac:dyDescent="0.2">
      <c r="A3541" s="28"/>
      <c r="B3541" s="28"/>
      <c r="C3541" s="28"/>
      <c r="D3541" s="28"/>
      <c r="E3541" s="16"/>
    </row>
    <row r="3542" spans="1:5" x14ac:dyDescent="0.2">
      <c r="A3542" s="28"/>
      <c r="B3542" s="28"/>
      <c r="C3542" s="28"/>
      <c r="D3542" s="28"/>
      <c r="E3542" s="16"/>
    </row>
    <row r="3543" spans="1:5" x14ac:dyDescent="0.2">
      <c r="A3543" s="28"/>
      <c r="B3543" s="28"/>
      <c r="C3543" s="28"/>
      <c r="D3543" s="28"/>
      <c r="E3543" s="16"/>
    </row>
    <row r="3544" spans="1:5" x14ac:dyDescent="0.2">
      <c r="A3544" s="28"/>
      <c r="B3544" s="28"/>
      <c r="C3544" s="28"/>
      <c r="D3544" s="28"/>
      <c r="E3544" s="16"/>
    </row>
    <row r="3545" spans="1:5" x14ac:dyDescent="0.2">
      <c r="A3545" s="28"/>
      <c r="B3545" s="28"/>
      <c r="C3545" s="28"/>
      <c r="D3545" s="28"/>
      <c r="E3545" s="16"/>
    </row>
    <row r="3546" spans="1:5" x14ac:dyDescent="0.2">
      <c r="A3546" s="28"/>
      <c r="B3546" s="28"/>
      <c r="C3546" s="28"/>
      <c r="D3546" s="28"/>
      <c r="E3546" s="16"/>
    </row>
    <row r="3547" spans="1:5" x14ac:dyDescent="0.2">
      <c r="A3547" s="28"/>
      <c r="B3547" s="28"/>
      <c r="C3547" s="28"/>
      <c r="D3547" s="28"/>
      <c r="E3547" s="16"/>
    </row>
    <row r="3548" spans="1:5" x14ac:dyDescent="0.2">
      <c r="A3548" s="28"/>
      <c r="B3548" s="28"/>
      <c r="C3548" s="28"/>
      <c r="D3548" s="28"/>
      <c r="E3548" s="16"/>
    </row>
    <row r="3549" spans="1:5" x14ac:dyDescent="0.2">
      <c r="A3549" s="28"/>
      <c r="B3549" s="28"/>
      <c r="C3549" s="28"/>
      <c r="D3549" s="28"/>
      <c r="E3549" s="16"/>
    </row>
    <row r="3550" spans="1:5" x14ac:dyDescent="0.2">
      <c r="A3550" s="28"/>
      <c r="B3550" s="28"/>
      <c r="C3550" s="28"/>
      <c r="D3550" s="28"/>
      <c r="E3550" s="16"/>
    </row>
    <row r="3551" spans="1:5" x14ac:dyDescent="0.2">
      <c r="A3551" s="28"/>
      <c r="B3551" s="28"/>
      <c r="C3551" s="28"/>
      <c r="D3551" s="28"/>
      <c r="E3551" s="16"/>
    </row>
    <row r="3552" spans="1:5" x14ac:dyDescent="0.2">
      <c r="A3552" s="28"/>
      <c r="B3552" s="28"/>
      <c r="C3552" s="28"/>
      <c r="D3552" s="28"/>
      <c r="E3552" s="16"/>
    </row>
    <row r="3553" spans="1:5" x14ac:dyDescent="0.2">
      <c r="A3553" s="28"/>
      <c r="B3553" s="28"/>
      <c r="C3553" s="28"/>
      <c r="D3553" s="28"/>
      <c r="E3553" s="16"/>
    </row>
    <row r="3554" spans="1:5" x14ac:dyDescent="0.2">
      <c r="A3554" s="28"/>
      <c r="B3554" s="28"/>
      <c r="C3554" s="28"/>
      <c r="D3554" s="28"/>
      <c r="E3554" s="16"/>
    </row>
    <row r="3555" spans="1:5" x14ac:dyDescent="0.2">
      <c r="A3555" s="28"/>
      <c r="B3555" s="28"/>
      <c r="C3555" s="28"/>
      <c r="D3555" s="28"/>
      <c r="E3555" s="16"/>
    </row>
    <row r="3556" spans="1:5" x14ac:dyDescent="0.2">
      <c r="A3556" s="28"/>
      <c r="B3556" s="28"/>
      <c r="C3556" s="28"/>
      <c r="D3556" s="28"/>
      <c r="E3556" s="16"/>
    </row>
    <row r="3557" spans="1:5" x14ac:dyDescent="0.2">
      <c r="A3557" s="28"/>
      <c r="B3557" s="28"/>
      <c r="C3557" s="28"/>
      <c r="D3557" s="28"/>
      <c r="E3557" s="16"/>
    </row>
    <row r="3558" spans="1:5" x14ac:dyDescent="0.2">
      <c r="A3558" s="28"/>
      <c r="B3558" s="28"/>
      <c r="C3558" s="28"/>
      <c r="D3558" s="28"/>
      <c r="E3558" s="16"/>
    </row>
    <row r="3559" spans="1:5" x14ac:dyDescent="0.2">
      <c r="A3559" s="28"/>
      <c r="B3559" s="28"/>
      <c r="C3559" s="28"/>
      <c r="D3559" s="28"/>
      <c r="E3559" s="16"/>
    </row>
    <row r="3560" spans="1:5" x14ac:dyDescent="0.2">
      <c r="A3560" s="28"/>
      <c r="B3560" s="28"/>
      <c r="C3560" s="28"/>
      <c r="D3560" s="28"/>
      <c r="E3560" s="16"/>
    </row>
    <row r="3561" spans="1:5" x14ac:dyDescent="0.2">
      <c r="A3561" s="28"/>
      <c r="B3561" s="28"/>
      <c r="C3561" s="28"/>
      <c r="D3561" s="28"/>
      <c r="E3561" s="16"/>
    </row>
    <row r="3562" spans="1:5" x14ac:dyDescent="0.2">
      <c r="A3562" s="28"/>
      <c r="B3562" s="28"/>
      <c r="C3562" s="28"/>
      <c r="D3562" s="28"/>
      <c r="E3562" s="16"/>
    </row>
    <row r="3563" spans="1:5" x14ac:dyDescent="0.2">
      <c r="A3563" s="28"/>
      <c r="B3563" s="28"/>
      <c r="C3563" s="28"/>
      <c r="D3563" s="28"/>
      <c r="E3563" s="16"/>
    </row>
    <row r="3564" spans="1:5" x14ac:dyDescent="0.2">
      <c r="A3564" s="28"/>
      <c r="B3564" s="28"/>
      <c r="C3564" s="28"/>
      <c r="D3564" s="28"/>
      <c r="E3564" s="16"/>
    </row>
    <row r="3565" spans="1:5" x14ac:dyDescent="0.2">
      <c r="A3565" s="28"/>
      <c r="B3565" s="28"/>
      <c r="C3565" s="28"/>
      <c r="D3565" s="28"/>
      <c r="E3565" s="16"/>
    </row>
    <row r="3566" spans="1:5" x14ac:dyDescent="0.2">
      <c r="A3566" s="28"/>
      <c r="B3566" s="28"/>
      <c r="C3566" s="28"/>
      <c r="D3566" s="28"/>
      <c r="E3566" s="16"/>
    </row>
    <row r="3567" spans="1:5" x14ac:dyDescent="0.2">
      <c r="A3567" s="28"/>
      <c r="B3567" s="28"/>
      <c r="C3567" s="28"/>
      <c r="D3567" s="28"/>
      <c r="E3567" s="16"/>
    </row>
    <row r="3568" spans="1:5" x14ac:dyDescent="0.2">
      <c r="A3568" s="28"/>
      <c r="B3568" s="28"/>
      <c r="C3568" s="28"/>
      <c r="D3568" s="28"/>
      <c r="E3568" s="16"/>
    </row>
    <row r="3569" spans="1:5" x14ac:dyDescent="0.2">
      <c r="A3569" s="28"/>
      <c r="B3569" s="28"/>
      <c r="C3569" s="28"/>
      <c r="D3569" s="28"/>
      <c r="E3569" s="16"/>
    </row>
    <row r="3570" spans="1:5" x14ac:dyDescent="0.2">
      <c r="A3570" s="28"/>
      <c r="B3570" s="28"/>
      <c r="C3570" s="28"/>
      <c r="D3570" s="28"/>
      <c r="E3570" s="16"/>
    </row>
    <row r="3571" spans="1:5" x14ac:dyDescent="0.2">
      <c r="A3571" s="28"/>
      <c r="B3571" s="28"/>
      <c r="C3571" s="28"/>
      <c r="D3571" s="28"/>
      <c r="E3571" s="16"/>
    </row>
    <row r="3572" spans="1:5" x14ac:dyDescent="0.2">
      <c r="A3572" s="28"/>
      <c r="B3572" s="28"/>
      <c r="C3572" s="28"/>
      <c r="D3572" s="28"/>
      <c r="E3572" s="16"/>
    </row>
    <row r="3573" spans="1:5" x14ac:dyDescent="0.2">
      <c r="A3573" s="28"/>
      <c r="B3573" s="28"/>
      <c r="C3573" s="28"/>
      <c r="D3573" s="28"/>
      <c r="E3573" s="16"/>
    </row>
    <row r="3574" spans="1:5" x14ac:dyDescent="0.2">
      <c r="A3574" s="28"/>
      <c r="B3574" s="28"/>
      <c r="C3574" s="28"/>
      <c r="D3574" s="28"/>
      <c r="E3574" s="16"/>
    </row>
    <row r="3575" spans="1:5" x14ac:dyDescent="0.2">
      <c r="A3575" s="28"/>
      <c r="B3575" s="28"/>
      <c r="C3575" s="28"/>
      <c r="D3575" s="28"/>
      <c r="E3575" s="16"/>
    </row>
    <row r="3576" spans="1:5" x14ac:dyDescent="0.2">
      <c r="A3576" s="28"/>
      <c r="B3576" s="28"/>
      <c r="C3576" s="28"/>
      <c r="D3576" s="28"/>
      <c r="E3576" s="16"/>
    </row>
    <row r="3577" spans="1:5" x14ac:dyDescent="0.2">
      <c r="A3577" s="28"/>
      <c r="B3577" s="28"/>
      <c r="C3577" s="28"/>
      <c r="D3577" s="28"/>
      <c r="E3577" s="16"/>
    </row>
    <row r="3578" spans="1:5" x14ac:dyDescent="0.2">
      <c r="A3578" s="28"/>
      <c r="B3578" s="28"/>
      <c r="C3578" s="28"/>
      <c r="D3578" s="28"/>
      <c r="E3578" s="16"/>
    </row>
    <row r="3579" spans="1:5" x14ac:dyDescent="0.2">
      <c r="A3579" s="28"/>
      <c r="B3579" s="28"/>
      <c r="C3579" s="28"/>
      <c r="D3579" s="28"/>
      <c r="E3579" s="16"/>
    </row>
    <row r="3580" spans="1:5" x14ac:dyDescent="0.2">
      <c r="A3580" s="28"/>
      <c r="B3580" s="28"/>
      <c r="C3580" s="28"/>
      <c r="D3580" s="28"/>
      <c r="E3580" s="16"/>
    </row>
    <row r="3581" spans="1:5" x14ac:dyDescent="0.2">
      <c r="A3581" s="28"/>
      <c r="B3581" s="28"/>
      <c r="C3581" s="28"/>
      <c r="D3581" s="28"/>
      <c r="E3581" s="16"/>
    </row>
    <row r="3582" spans="1:5" x14ac:dyDescent="0.2">
      <c r="A3582" s="28"/>
      <c r="B3582" s="28"/>
      <c r="C3582" s="28"/>
      <c r="D3582" s="28"/>
      <c r="E3582" s="16"/>
    </row>
    <row r="3583" spans="1:5" x14ac:dyDescent="0.2">
      <c r="A3583" s="28"/>
      <c r="B3583" s="28"/>
      <c r="C3583" s="28"/>
      <c r="D3583" s="28"/>
      <c r="E3583" s="16"/>
    </row>
    <row r="3584" spans="1:5" x14ac:dyDescent="0.2">
      <c r="A3584" s="28"/>
      <c r="B3584" s="28"/>
      <c r="C3584" s="28"/>
      <c r="D3584" s="28"/>
      <c r="E3584" s="16"/>
    </row>
    <row r="3585" spans="1:5" x14ac:dyDescent="0.2">
      <c r="A3585" s="28"/>
      <c r="B3585" s="28"/>
      <c r="C3585" s="28"/>
      <c r="D3585" s="28"/>
      <c r="E3585" s="16"/>
    </row>
    <row r="3586" spans="1:5" x14ac:dyDescent="0.2">
      <c r="A3586" s="28"/>
      <c r="B3586" s="28"/>
      <c r="C3586" s="28"/>
      <c r="D3586" s="28"/>
      <c r="E3586" s="16"/>
    </row>
    <row r="3587" spans="1:5" x14ac:dyDescent="0.2">
      <c r="A3587" s="28"/>
      <c r="B3587" s="28"/>
      <c r="C3587" s="28"/>
      <c r="D3587" s="28"/>
      <c r="E3587" s="16"/>
    </row>
    <row r="3588" spans="1:5" x14ac:dyDescent="0.2">
      <c r="A3588" s="28"/>
      <c r="B3588" s="28"/>
      <c r="C3588" s="28"/>
      <c r="D3588" s="28"/>
      <c r="E3588" s="16"/>
    </row>
    <row r="3589" spans="1:5" x14ac:dyDescent="0.2">
      <c r="A3589" s="28"/>
      <c r="B3589" s="28"/>
      <c r="C3589" s="28"/>
      <c r="D3589" s="28"/>
      <c r="E3589" s="16"/>
    </row>
    <row r="3590" spans="1:5" x14ac:dyDescent="0.2">
      <c r="A3590" s="28"/>
      <c r="B3590" s="28"/>
      <c r="C3590" s="28"/>
      <c r="D3590" s="28"/>
      <c r="E3590" s="16"/>
    </row>
    <row r="3591" spans="1:5" x14ac:dyDescent="0.2">
      <c r="A3591" s="28"/>
      <c r="B3591" s="28"/>
      <c r="C3591" s="28"/>
      <c r="D3591" s="28"/>
      <c r="E3591" s="16"/>
    </row>
    <row r="3592" spans="1:5" x14ac:dyDescent="0.2">
      <c r="A3592" s="28"/>
      <c r="B3592" s="28"/>
      <c r="C3592" s="28"/>
      <c r="D3592" s="28"/>
      <c r="E3592" s="16"/>
    </row>
    <row r="3593" spans="1:5" x14ac:dyDescent="0.2">
      <c r="A3593" s="28"/>
      <c r="B3593" s="28"/>
      <c r="C3593" s="28"/>
      <c r="D3593" s="28"/>
      <c r="E3593" s="16"/>
    </row>
    <row r="3594" spans="1:5" x14ac:dyDescent="0.2">
      <c r="A3594" s="28"/>
      <c r="B3594" s="28"/>
      <c r="C3594" s="28"/>
      <c r="D3594" s="28"/>
      <c r="E3594" s="16"/>
    </row>
    <row r="3595" spans="1:5" x14ac:dyDescent="0.2">
      <c r="A3595" s="28"/>
      <c r="B3595" s="28"/>
      <c r="C3595" s="28"/>
      <c r="D3595" s="28"/>
      <c r="E3595" s="16"/>
    </row>
    <row r="3596" spans="1:5" x14ac:dyDescent="0.2">
      <c r="A3596" s="28"/>
      <c r="B3596" s="28"/>
      <c r="C3596" s="28"/>
      <c r="D3596" s="28"/>
      <c r="E3596" s="16"/>
    </row>
    <row r="3597" spans="1:5" x14ac:dyDescent="0.2">
      <c r="A3597" s="28"/>
      <c r="B3597" s="28"/>
      <c r="C3597" s="28"/>
      <c r="D3597" s="28"/>
      <c r="E3597" s="16"/>
    </row>
    <row r="3598" spans="1:5" x14ac:dyDescent="0.2">
      <c r="A3598" s="28"/>
      <c r="B3598" s="28"/>
      <c r="C3598" s="28"/>
      <c r="D3598" s="28"/>
      <c r="E3598" s="16"/>
    </row>
    <row r="3599" spans="1:5" x14ac:dyDescent="0.2">
      <c r="A3599" s="28"/>
      <c r="B3599" s="28"/>
      <c r="C3599" s="28"/>
      <c r="D3599" s="28"/>
      <c r="E3599" s="16"/>
    </row>
    <row r="3600" spans="1:5" x14ac:dyDescent="0.2">
      <c r="A3600" s="28"/>
      <c r="B3600" s="28"/>
      <c r="C3600" s="28"/>
      <c r="D3600" s="28"/>
      <c r="E3600" s="16"/>
    </row>
    <row r="3601" spans="1:5" x14ac:dyDescent="0.2">
      <c r="A3601" s="28"/>
      <c r="B3601" s="28"/>
      <c r="C3601" s="28"/>
      <c r="D3601" s="28"/>
      <c r="E3601" s="16"/>
    </row>
    <row r="3602" spans="1:5" x14ac:dyDescent="0.2">
      <c r="A3602" s="28"/>
      <c r="B3602" s="28"/>
      <c r="C3602" s="28"/>
      <c r="D3602" s="28"/>
      <c r="E3602" s="16"/>
    </row>
    <row r="3603" spans="1:5" x14ac:dyDescent="0.2">
      <c r="A3603" s="28"/>
      <c r="B3603" s="28"/>
      <c r="C3603" s="28"/>
      <c r="D3603" s="28"/>
      <c r="E3603" s="16"/>
    </row>
    <row r="3604" spans="1:5" x14ac:dyDescent="0.2">
      <c r="A3604" s="28"/>
      <c r="B3604" s="28"/>
      <c r="C3604" s="28"/>
      <c r="D3604" s="28"/>
      <c r="E3604" s="16"/>
    </row>
    <row r="3605" spans="1:5" x14ac:dyDescent="0.2">
      <c r="A3605" s="28"/>
      <c r="B3605" s="28"/>
      <c r="C3605" s="28"/>
      <c r="D3605" s="28"/>
      <c r="E3605" s="16"/>
    </row>
    <row r="3606" spans="1:5" x14ac:dyDescent="0.2">
      <c r="A3606" s="28"/>
      <c r="B3606" s="28"/>
      <c r="C3606" s="28"/>
      <c r="D3606" s="28"/>
      <c r="E3606" s="16"/>
    </row>
    <row r="3607" spans="1:5" x14ac:dyDescent="0.2">
      <c r="A3607" s="28"/>
      <c r="B3607" s="28"/>
      <c r="C3607" s="28"/>
      <c r="D3607" s="28"/>
      <c r="E3607" s="16"/>
    </row>
    <row r="3608" spans="1:5" x14ac:dyDescent="0.2">
      <c r="A3608" s="28"/>
      <c r="B3608" s="28"/>
      <c r="C3608" s="28"/>
      <c r="D3608" s="28"/>
      <c r="E3608" s="16"/>
    </row>
    <row r="3609" spans="1:5" x14ac:dyDescent="0.2">
      <c r="A3609" s="28"/>
      <c r="B3609" s="28"/>
      <c r="C3609" s="28"/>
      <c r="D3609" s="28"/>
      <c r="E3609" s="16"/>
    </row>
    <row r="3610" spans="1:5" x14ac:dyDescent="0.2">
      <c r="A3610" s="28"/>
      <c r="B3610" s="28"/>
      <c r="C3610" s="28"/>
      <c r="D3610" s="28"/>
      <c r="E3610" s="16"/>
    </row>
    <row r="3611" spans="1:5" x14ac:dyDescent="0.2">
      <c r="A3611" s="28"/>
      <c r="B3611" s="28"/>
      <c r="C3611" s="28"/>
      <c r="D3611" s="28"/>
      <c r="E3611" s="16"/>
    </row>
    <row r="3612" spans="1:5" x14ac:dyDescent="0.2">
      <c r="A3612" s="28"/>
      <c r="B3612" s="28"/>
      <c r="C3612" s="28"/>
      <c r="D3612" s="28"/>
      <c r="E3612" s="16"/>
    </row>
    <row r="3613" spans="1:5" x14ac:dyDescent="0.2">
      <c r="A3613" s="28"/>
      <c r="B3613" s="28"/>
      <c r="C3613" s="28"/>
      <c r="D3613" s="28"/>
      <c r="E3613" s="16"/>
    </row>
    <row r="3614" spans="1:5" x14ac:dyDescent="0.2">
      <c r="A3614" s="28"/>
      <c r="B3614" s="28"/>
      <c r="C3614" s="28"/>
      <c r="D3614" s="28"/>
      <c r="E3614" s="16"/>
    </row>
    <row r="3615" spans="1:5" x14ac:dyDescent="0.2">
      <c r="A3615" s="28"/>
      <c r="B3615" s="28"/>
      <c r="C3615" s="28"/>
      <c r="D3615" s="28"/>
      <c r="E3615" s="16"/>
    </row>
    <row r="3616" spans="1:5" x14ac:dyDescent="0.2">
      <c r="A3616" s="28"/>
      <c r="B3616" s="28"/>
      <c r="C3616" s="28"/>
      <c r="D3616" s="28"/>
      <c r="E3616" s="16"/>
    </row>
    <row r="3617" spans="1:5" x14ac:dyDescent="0.2">
      <c r="A3617" s="28"/>
      <c r="B3617" s="28"/>
      <c r="C3617" s="28"/>
      <c r="D3617" s="28"/>
      <c r="E3617" s="16"/>
    </row>
    <row r="3618" spans="1:5" x14ac:dyDescent="0.2">
      <c r="A3618" s="28"/>
      <c r="B3618" s="28"/>
      <c r="C3618" s="28"/>
      <c r="D3618" s="28"/>
      <c r="E3618" s="16"/>
    </row>
    <row r="3619" spans="1:5" x14ac:dyDescent="0.2">
      <c r="A3619" s="28"/>
      <c r="B3619" s="28"/>
      <c r="C3619" s="28"/>
      <c r="D3619" s="28"/>
      <c r="E3619" s="16"/>
    </row>
    <row r="3620" spans="1:5" x14ac:dyDescent="0.2">
      <c r="A3620" s="28"/>
      <c r="B3620" s="28"/>
      <c r="C3620" s="28"/>
      <c r="D3620" s="28"/>
      <c r="E3620" s="16"/>
    </row>
    <row r="3621" spans="1:5" x14ac:dyDescent="0.2">
      <c r="A3621" s="28"/>
      <c r="B3621" s="28"/>
      <c r="C3621" s="28"/>
      <c r="D3621" s="28"/>
      <c r="E3621" s="16"/>
    </row>
    <row r="3622" spans="1:5" x14ac:dyDescent="0.2">
      <c r="A3622" s="28"/>
      <c r="B3622" s="28"/>
      <c r="C3622" s="28"/>
      <c r="D3622" s="28"/>
      <c r="E3622" s="16"/>
    </row>
    <row r="3623" spans="1:5" x14ac:dyDescent="0.2">
      <c r="A3623" s="28"/>
      <c r="B3623" s="28"/>
      <c r="C3623" s="28"/>
      <c r="D3623" s="28"/>
      <c r="E3623" s="16"/>
    </row>
    <row r="3624" spans="1:5" x14ac:dyDescent="0.2">
      <c r="A3624" s="28"/>
      <c r="B3624" s="28"/>
      <c r="C3624" s="28"/>
      <c r="D3624" s="28"/>
      <c r="E3624" s="16"/>
    </row>
    <row r="3625" spans="1:5" x14ac:dyDescent="0.2">
      <c r="A3625" s="28"/>
      <c r="B3625" s="28"/>
      <c r="C3625" s="28"/>
      <c r="D3625" s="28"/>
      <c r="E3625" s="16"/>
    </row>
    <row r="3626" spans="1:5" x14ac:dyDescent="0.2">
      <c r="A3626" s="28"/>
      <c r="B3626" s="28"/>
      <c r="C3626" s="28"/>
      <c r="D3626" s="28"/>
      <c r="E3626" s="16"/>
    </row>
    <row r="3627" spans="1:5" x14ac:dyDescent="0.2">
      <c r="A3627" s="28"/>
      <c r="B3627" s="28"/>
      <c r="C3627" s="28"/>
      <c r="D3627" s="28"/>
      <c r="E3627" s="16"/>
    </row>
    <row r="3628" spans="1:5" x14ac:dyDescent="0.2">
      <c r="A3628" s="28"/>
      <c r="B3628" s="28"/>
      <c r="C3628" s="28"/>
      <c r="D3628" s="28"/>
      <c r="E3628" s="16"/>
    </row>
    <row r="3629" spans="1:5" x14ac:dyDescent="0.2">
      <c r="A3629" s="28"/>
      <c r="B3629" s="28"/>
      <c r="C3629" s="28"/>
      <c r="D3629" s="28"/>
      <c r="E3629" s="16"/>
    </row>
    <row r="3630" spans="1:5" x14ac:dyDescent="0.2">
      <c r="A3630" s="28"/>
      <c r="B3630" s="28"/>
      <c r="C3630" s="28"/>
      <c r="D3630" s="28"/>
      <c r="E3630" s="16"/>
    </row>
    <row r="3631" spans="1:5" x14ac:dyDescent="0.2">
      <c r="A3631" s="28"/>
      <c r="B3631" s="28"/>
      <c r="C3631" s="28"/>
      <c r="D3631" s="28"/>
      <c r="E3631" s="16"/>
    </row>
    <row r="3632" spans="1:5" x14ac:dyDescent="0.2">
      <c r="A3632" s="28"/>
      <c r="B3632" s="28"/>
      <c r="C3632" s="28"/>
      <c r="D3632" s="28"/>
      <c r="E3632" s="16"/>
    </row>
    <row r="3633" spans="1:5" x14ac:dyDescent="0.2">
      <c r="A3633" s="28"/>
      <c r="B3633" s="28"/>
      <c r="C3633" s="28"/>
      <c r="D3633" s="28"/>
      <c r="E3633" s="16"/>
    </row>
    <row r="3634" spans="1:5" x14ac:dyDescent="0.2">
      <c r="A3634" s="28"/>
      <c r="B3634" s="28"/>
      <c r="C3634" s="28"/>
      <c r="D3634" s="28"/>
      <c r="E3634" s="16"/>
    </row>
    <row r="3635" spans="1:5" x14ac:dyDescent="0.2">
      <c r="A3635" s="28"/>
      <c r="B3635" s="28"/>
      <c r="C3635" s="28"/>
      <c r="D3635" s="28"/>
      <c r="E3635" s="16"/>
    </row>
    <row r="3636" spans="1:5" x14ac:dyDescent="0.2">
      <c r="A3636" s="28"/>
      <c r="B3636" s="28"/>
      <c r="C3636" s="28"/>
      <c r="D3636" s="28"/>
      <c r="E3636" s="16"/>
    </row>
    <row r="3637" spans="1:5" x14ac:dyDescent="0.2">
      <c r="A3637" s="28"/>
      <c r="B3637" s="28"/>
      <c r="C3637" s="28"/>
      <c r="D3637" s="28"/>
      <c r="E3637" s="16"/>
    </row>
    <row r="3638" spans="1:5" x14ac:dyDescent="0.2">
      <c r="A3638" s="28"/>
      <c r="B3638" s="28"/>
      <c r="C3638" s="28"/>
      <c r="D3638" s="28"/>
      <c r="E3638" s="16"/>
    </row>
    <row r="3639" spans="1:5" x14ac:dyDescent="0.2">
      <c r="A3639" s="28"/>
      <c r="B3639" s="28"/>
      <c r="C3639" s="28"/>
      <c r="D3639" s="28"/>
      <c r="E3639" s="16"/>
    </row>
    <row r="3640" spans="1:5" x14ac:dyDescent="0.2">
      <c r="A3640" s="28"/>
      <c r="B3640" s="28"/>
      <c r="C3640" s="28"/>
      <c r="D3640" s="28"/>
      <c r="E3640" s="16"/>
    </row>
    <row r="3641" spans="1:5" x14ac:dyDescent="0.2">
      <c r="A3641" s="28"/>
      <c r="B3641" s="28"/>
      <c r="C3641" s="28"/>
      <c r="D3641" s="28"/>
      <c r="E3641" s="16"/>
    </row>
    <row r="3642" spans="1:5" x14ac:dyDescent="0.2">
      <c r="A3642" s="28"/>
      <c r="B3642" s="28"/>
      <c r="C3642" s="28"/>
      <c r="D3642" s="28"/>
      <c r="E3642" s="16"/>
    </row>
    <row r="3643" spans="1:5" x14ac:dyDescent="0.2">
      <c r="A3643" s="28"/>
      <c r="B3643" s="28"/>
      <c r="C3643" s="28"/>
      <c r="D3643" s="28"/>
      <c r="E3643" s="16"/>
    </row>
    <row r="3644" spans="1:5" x14ac:dyDescent="0.2">
      <c r="A3644" s="28"/>
      <c r="B3644" s="28"/>
      <c r="C3644" s="28"/>
      <c r="D3644" s="28"/>
      <c r="E3644" s="16"/>
    </row>
    <row r="3645" spans="1:5" x14ac:dyDescent="0.2">
      <c r="A3645" s="28"/>
      <c r="B3645" s="28"/>
      <c r="C3645" s="28"/>
      <c r="D3645" s="28"/>
      <c r="E3645" s="16"/>
    </row>
    <row r="3646" spans="1:5" x14ac:dyDescent="0.2">
      <c r="A3646" s="28"/>
      <c r="B3646" s="28"/>
      <c r="C3646" s="28"/>
      <c r="D3646" s="28"/>
      <c r="E3646" s="16"/>
    </row>
    <row r="3647" spans="1:5" x14ac:dyDescent="0.2">
      <c r="A3647" s="28"/>
      <c r="B3647" s="28"/>
      <c r="C3647" s="28"/>
      <c r="D3647" s="28"/>
      <c r="E3647" s="16"/>
    </row>
    <row r="3648" spans="1:5" x14ac:dyDescent="0.2">
      <c r="A3648" s="28"/>
      <c r="B3648" s="28"/>
      <c r="C3648" s="28"/>
      <c r="D3648" s="28"/>
      <c r="E3648" s="16"/>
    </row>
    <row r="3649" spans="1:5" x14ac:dyDescent="0.2">
      <c r="A3649" s="28"/>
      <c r="B3649" s="28"/>
      <c r="C3649" s="28"/>
      <c r="D3649" s="28"/>
      <c r="E3649" s="16"/>
    </row>
    <row r="3650" spans="1:5" x14ac:dyDescent="0.2">
      <c r="A3650" s="28"/>
      <c r="B3650" s="28"/>
      <c r="C3650" s="28"/>
      <c r="D3650" s="28"/>
      <c r="E3650" s="16"/>
    </row>
    <row r="3651" spans="1:5" x14ac:dyDescent="0.2">
      <c r="A3651" s="28"/>
      <c r="B3651" s="28"/>
      <c r="C3651" s="28"/>
      <c r="D3651" s="28"/>
      <c r="E3651" s="16"/>
    </row>
    <row r="3652" spans="1:5" x14ac:dyDescent="0.2">
      <c r="A3652" s="28"/>
      <c r="B3652" s="28"/>
      <c r="C3652" s="28"/>
      <c r="D3652" s="28"/>
      <c r="E3652" s="16"/>
    </row>
    <row r="3653" spans="1:5" x14ac:dyDescent="0.2">
      <c r="A3653" s="28"/>
      <c r="B3653" s="28"/>
      <c r="C3653" s="28"/>
      <c r="D3653" s="28"/>
      <c r="E3653" s="16"/>
    </row>
    <row r="3654" spans="1:5" x14ac:dyDescent="0.2">
      <c r="A3654" s="28"/>
      <c r="B3654" s="28"/>
      <c r="C3654" s="28"/>
      <c r="D3654" s="28"/>
      <c r="E3654" s="16"/>
    </row>
    <row r="3655" spans="1:5" x14ac:dyDescent="0.2">
      <c r="A3655" s="28"/>
      <c r="B3655" s="28"/>
      <c r="C3655" s="28"/>
      <c r="D3655" s="28"/>
      <c r="E3655" s="16"/>
    </row>
    <row r="3656" spans="1:5" x14ac:dyDescent="0.2">
      <c r="A3656" s="28"/>
      <c r="B3656" s="28"/>
      <c r="C3656" s="28"/>
      <c r="D3656" s="28"/>
      <c r="E3656" s="16"/>
    </row>
    <row r="3657" spans="1:5" x14ac:dyDescent="0.2">
      <c r="A3657" s="28"/>
      <c r="B3657" s="28"/>
      <c r="C3657" s="28"/>
      <c r="D3657" s="28"/>
      <c r="E3657" s="16"/>
    </row>
    <row r="3658" spans="1:5" x14ac:dyDescent="0.2">
      <c r="A3658" s="28"/>
      <c r="B3658" s="28"/>
      <c r="C3658" s="28"/>
      <c r="D3658" s="28"/>
      <c r="E3658" s="16"/>
    </row>
    <row r="3659" spans="1:5" x14ac:dyDescent="0.2">
      <c r="A3659" s="28"/>
      <c r="B3659" s="28"/>
      <c r="C3659" s="28"/>
      <c r="D3659" s="28"/>
      <c r="E3659" s="16"/>
    </row>
    <row r="3660" spans="1:5" x14ac:dyDescent="0.2">
      <c r="A3660" s="28"/>
      <c r="B3660" s="28"/>
      <c r="C3660" s="28"/>
      <c r="D3660" s="28"/>
      <c r="E3660" s="16"/>
    </row>
    <row r="3661" spans="1:5" x14ac:dyDescent="0.2">
      <c r="A3661" s="28"/>
      <c r="B3661" s="28"/>
      <c r="C3661" s="28"/>
      <c r="D3661" s="28"/>
      <c r="E3661" s="16"/>
    </row>
    <row r="3662" spans="1:5" x14ac:dyDescent="0.2">
      <c r="A3662" s="28"/>
      <c r="B3662" s="28"/>
      <c r="C3662" s="28"/>
      <c r="D3662" s="28"/>
      <c r="E3662" s="16"/>
    </row>
    <row r="3663" spans="1:5" x14ac:dyDescent="0.2">
      <c r="A3663" s="28"/>
      <c r="B3663" s="28"/>
      <c r="C3663" s="28"/>
      <c r="D3663" s="28"/>
      <c r="E3663" s="16"/>
    </row>
    <row r="3664" spans="1:5" x14ac:dyDescent="0.2">
      <c r="A3664" s="28"/>
      <c r="B3664" s="28"/>
      <c r="C3664" s="28"/>
      <c r="D3664" s="28"/>
      <c r="E3664" s="16"/>
    </row>
    <row r="3665" spans="1:5" x14ac:dyDescent="0.2">
      <c r="A3665" s="28"/>
      <c r="B3665" s="28"/>
      <c r="C3665" s="28"/>
      <c r="D3665" s="28"/>
      <c r="E3665" s="16"/>
    </row>
    <row r="3666" spans="1:5" x14ac:dyDescent="0.2">
      <c r="A3666" s="28"/>
      <c r="B3666" s="28"/>
      <c r="C3666" s="28"/>
      <c r="D3666" s="28"/>
      <c r="E3666" s="16"/>
    </row>
    <row r="3667" spans="1:5" x14ac:dyDescent="0.2">
      <c r="A3667" s="28"/>
      <c r="B3667" s="28"/>
      <c r="C3667" s="28"/>
      <c r="D3667" s="28"/>
      <c r="E3667" s="16"/>
    </row>
    <row r="3668" spans="1:5" x14ac:dyDescent="0.2">
      <c r="A3668" s="28"/>
      <c r="B3668" s="28"/>
      <c r="C3668" s="28"/>
      <c r="D3668" s="28"/>
      <c r="E3668" s="16"/>
    </row>
    <row r="3669" spans="1:5" x14ac:dyDescent="0.2">
      <c r="A3669" s="28"/>
      <c r="B3669" s="28"/>
      <c r="C3669" s="28"/>
      <c r="D3669" s="28"/>
      <c r="E3669" s="16"/>
    </row>
    <row r="3670" spans="1:5" x14ac:dyDescent="0.2">
      <c r="A3670" s="28"/>
      <c r="B3670" s="28"/>
      <c r="C3670" s="28"/>
      <c r="D3670" s="28"/>
      <c r="E3670" s="16"/>
    </row>
    <row r="3671" spans="1:5" x14ac:dyDescent="0.2">
      <c r="A3671" s="28"/>
      <c r="B3671" s="28"/>
      <c r="C3671" s="28"/>
      <c r="D3671" s="28"/>
      <c r="E3671" s="16"/>
    </row>
    <row r="3672" spans="1:5" x14ac:dyDescent="0.2">
      <c r="A3672" s="28"/>
      <c r="B3672" s="28"/>
      <c r="C3672" s="28"/>
      <c r="D3672" s="28"/>
      <c r="E3672" s="16"/>
    </row>
    <row r="3673" spans="1:5" x14ac:dyDescent="0.2">
      <c r="A3673" s="28"/>
      <c r="B3673" s="28"/>
      <c r="C3673" s="28"/>
      <c r="D3673" s="28"/>
      <c r="E3673" s="16"/>
    </row>
    <row r="3674" spans="1:5" x14ac:dyDescent="0.2">
      <c r="A3674" s="28"/>
      <c r="B3674" s="28"/>
      <c r="C3674" s="28"/>
      <c r="D3674" s="28"/>
      <c r="E3674" s="16"/>
    </row>
    <row r="3675" spans="1:5" x14ac:dyDescent="0.2">
      <c r="A3675" s="28"/>
      <c r="B3675" s="28"/>
      <c r="C3675" s="28"/>
      <c r="D3675" s="28"/>
      <c r="E3675" s="16"/>
    </row>
    <row r="3676" spans="1:5" x14ac:dyDescent="0.2">
      <c r="A3676" s="28"/>
      <c r="B3676" s="28"/>
      <c r="C3676" s="28"/>
      <c r="D3676" s="28"/>
      <c r="E3676" s="16"/>
    </row>
    <row r="3677" spans="1:5" x14ac:dyDescent="0.2">
      <c r="A3677" s="28"/>
      <c r="B3677" s="28"/>
      <c r="C3677" s="28"/>
      <c r="D3677" s="28"/>
      <c r="E3677" s="16"/>
    </row>
    <row r="3678" spans="1:5" x14ac:dyDescent="0.2">
      <c r="A3678" s="28"/>
      <c r="B3678" s="28"/>
      <c r="C3678" s="28"/>
      <c r="D3678" s="28"/>
      <c r="E3678" s="16"/>
    </row>
    <row r="3679" spans="1:5" x14ac:dyDescent="0.2">
      <c r="A3679" s="28"/>
      <c r="B3679" s="28"/>
      <c r="C3679" s="28"/>
      <c r="D3679" s="28"/>
      <c r="E3679" s="16"/>
    </row>
    <row r="3680" spans="1:5" x14ac:dyDescent="0.2">
      <c r="A3680" s="28"/>
      <c r="B3680" s="28"/>
      <c r="C3680" s="28"/>
      <c r="D3680" s="28"/>
      <c r="E3680" s="16"/>
    </row>
    <row r="3681" spans="1:5" x14ac:dyDescent="0.2">
      <c r="A3681" s="28"/>
      <c r="B3681" s="28"/>
      <c r="C3681" s="28"/>
      <c r="D3681" s="28"/>
      <c r="E3681" s="16"/>
    </row>
    <row r="3682" spans="1:5" x14ac:dyDescent="0.2">
      <c r="A3682" s="28"/>
      <c r="B3682" s="28"/>
      <c r="C3682" s="28"/>
      <c r="D3682" s="28"/>
      <c r="E3682" s="16"/>
    </row>
    <row r="3683" spans="1:5" x14ac:dyDescent="0.2">
      <c r="A3683" s="28"/>
      <c r="B3683" s="28"/>
      <c r="C3683" s="28"/>
      <c r="D3683" s="28"/>
      <c r="E3683" s="16"/>
    </row>
    <row r="3684" spans="1:5" x14ac:dyDescent="0.2">
      <c r="A3684" s="28"/>
      <c r="B3684" s="28"/>
      <c r="C3684" s="28"/>
      <c r="D3684" s="28"/>
      <c r="E3684" s="16"/>
    </row>
    <row r="3685" spans="1:5" x14ac:dyDescent="0.2">
      <c r="A3685" s="28"/>
      <c r="B3685" s="28"/>
      <c r="C3685" s="28"/>
      <c r="D3685" s="28"/>
      <c r="E3685" s="16"/>
    </row>
    <row r="3686" spans="1:5" x14ac:dyDescent="0.2">
      <c r="A3686" s="28"/>
      <c r="B3686" s="28"/>
      <c r="C3686" s="28"/>
      <c r="D3686" s="28"/>
      <c r="E3686" s="16"/>
    </row>
    <row r="3687" spans="1:5" x14ac:dyDescent="0.2">
      <c r="A3687" s="28"/>
      <c r="B3687" s="28"/>
      <c r="C3687" s="28"/>
      <c r="D3687" s="28"/>
      <c r="E3687" s="16"/>
    </row>
    <row r="3688" spans="1:5" x14ac:dyDescent="0.2">
      <c r="A3688" s="28"/>
      <c r="B3688" s="28"/>
      <c r="C3688" s="28"/>
      <c r="D3688" s="28"/>
      <c r="E3688" s="16"/>
    </row>
    <row r="3689" spans="1:5" x14ac:dyDescent="0.2">
      <c r="A3689" s="28"/>
      <c r="B3689" s="28"/>
      <c r="C3689" s="28"/>
      <c r="D3689" s="28"/>
      <c r="E3689" s="16"/>
    </row>
    <row r="3690" spans="1:5" x14ac:dyDescent="0.2">
      <c r="A3690" s="28"/>
      <c r="B3690" s="28"/>
      <c r="C3690" s="28"/>
      <c r="D3690" s="28"/>
      <c r="E3690" s="16"/>
    </row>
    <row r="3691" spans="1:5" x14ac:dyDescent="0.2">
      <c r="A3691" s="28"/>
      <c r="B3691" s="28"/>
      <c r="C3691" s="28"/>
      <c r="D3691" s="28"/>
      <c r="E3691" s="16"/>
    </row>
    <row r="3692" spans="1:5" x14ac:dyDescent="0.2">
      <c r="A3692" s="28"/>
      <c r="B3692" s="28"/>
      <c r="C3692" s="28"/>
      <c r="D3692" s="28"/>
      <c r="E3692" s="16"/>
    </row>
    <row r="3693" spans="1:5" x14ac:dyDescent="0.2">
      <c r="A3693" s="28"/>
      <c r="B3693" s="28"/>
      <c r="C3693" s="28"/>
      <c r="D3693" s="28"/>
      <c r="E3693" s="16"/>
    </row>
    <row r="3694" spans="1:5" x14ac:dyDescent="0.2">
      <c r="A3694" s="28"/>
      <c r="B3694" s="28"/>
      <c r="C3694" s="28"/>
      <c r="D3694" s="28"/>
      <c r="E3694" s="16"/>
    </row>
    <row r="3695" spans="1:5" x14ac:dyDescent="0.2">
      <c r="A3695" s="28"/>
      <c r="B3695" s="28"/>
      <c r="C3695" s="28"/>
      <c r="D3695" s="28"/>
      <c r="E3695" s="16"/>
    </row>
    <row r="3696" spans="1:5" x14ac:dyDescent="0.2">
      <c r="A3696" s="28"/>
      <c r="B3696" s="28"/>
      <c r="C3696" s="28"/>
      <c r="D3696" s="28"/>
      <c r="E3696" s="16"/>
    </row>
    <row r="3697" spans="1:5" x14ac:dyDescent="0.2">
      <c r="A3697" s="28"/>
      <c r="B3697" s="28"/>
      <c r="C3697" s="28"/>
      <c r="D3697" s="28"/>
      <c r="E3697" s="16"/>
    </row>
    <row r="3698" spans="1:5" x14ac:dyDescent="0.2">
      <c r="A3698" s="28"/>
      <c r="B3698" s="28"/>
      <c r="C3698" s="28"/>
      <c r="D3698" s="28"/>
      <c r="E3698" s="16"/>
    </row>
    <row r="3699" spans="1:5" x14ac:dyDescent="0.2">
      <c r="A3699" s="28"/>
      <c r="B3699" s="28"/>
      <c r="C3699" s="28"/>
      <c r="D3699" s="28"/>
      <c r="E3699" s="16"/>
    </row>
    <row r="3700" spans="1:5" x14ac:dyDescent="0.2">
      <c r="A3700" s="28"/>
      <c r="B3700" s="28"/>
      <c r="C3700" s="28"/>
      <c r="D3700" s="28"/>
      <c r="E3700" s="16"/>
    </row>
    <row r="3701" spans="1:5" x14ac:dyDescent="0.2">
      <c r="A3701" s="28"/>
      <c r="B3701" s="28"/>
      <c r="C3701" s="28"/>
      <c r="D3701" s="28"/>
      <c r="E3701" s="16"/>
    </row>
    <row r="3702" spans="1:5" x14ac:dyDescent="0.2">
      <c r="A3702" s="28"/>
      <c r="B3702" s="28"/>
      <c r="C3702" s="28"/>
      <c r="D3702" s="28"/>
      <c r="E3702" s="16"/>
    </row>
    <row r="3703" spans="1:5" x14ac:dyDescent="0.2">
      <c r="A3703" s="28"/>
      <c r="B3703" s="28"/>
      <c r="C3703" s="28"/>
      <c r="D3703" s="28"/>
      <c r="E3703" s="16"/>
    </row>
    <row r="3704" spans="1:5" x14ac:dyDescent="0.2">
      <c r="A3704" s="28"/>
      <c r="B3704" s="28"/>
      <c r="C3704" s="28"/>
      <c r="D3704" s="28"/>
      <c r="E3704" s="16"/>
    </row>
    <row r="3705" spans="1:5" x14ac:dyDescent="0.2">
      <c r="A3705" s="28"/>
      <c r="B3705" s="28"/>
      <c r="C3705" s="28"/>
      <c r="D3705" s="28"/>
      <c r="E3705" s="16"/>
    </row>
    <row r="3706" spans="1:5" x14ac:dyDescent="0.2">
      <c r="A3706" s="28"/>
      <c r="B3706" s="28"/>
      <c r="C3706" s="28"/>
      <c r="D3706" s="28"/>
      <c r="E3706" s="16"/>
    </row>
    <row r="3707" spans="1:5" x14ac:dyDescent="0.2">
      <c r="A3707" s="28"/>
      <c r="B3707" s="28"/>
      <c r="C3707" s="28"/>
      <c r="D3707" s="28"/>
      <c r="E3707" s="16"/>
    </row>
    <row r="3708" spans="1:5" x14ac:dyDescent="0.2">
      <c r="A3708" s="28"/>
      <c r="B3708" s="28"/>
      <c r="C3708" s="28"/>
      <c r="D3708" s="28"/>
      <c r="E3708" s="16"/>
    </row>
    <row r="3709" spans="1:5" x14ac:dyDescent="0.2">
      <c r="A3709" s="28"/>
      <c r="B3709" s="28"/>
      <c r="C3709" s="28"/>
      <c r="D3709" s="28"/>
      <c r="E3709" s="16"/>
    </row>
    <row r="3710" spans="1:5" x14ac:dyDescent="0.2">
      <c r="A3710" s="28"/>
      <c r="B3710" s="28"/>
      <c r="C3710" s="28"/>
      <c r="D3710" s="28"/>
      <c r="E3710" s="16"/>
    </row>
    <row r="3711" spans="1:5" x14ac:dyDescent="0.2">
      <c r="A3711" s="28"/>
      <c r="B3711" s="28"/>
      <c r="C3711" s="28"/>
      <c r="D3711" s="28"/>
      <c r="E3711" s="16"/>
    </row>
    <row r="3712" spans="1:5" x14ac:dyDescent="0.2">
      <c r="A3712" s="28"/>
      <c r="B3712" s="28"/>
      <c r="C3712" s="28"/>
      <c r="D3712" s="28"/>
      <c r="E3712" s="16"/>
    </row>
    <row r="3713" spans="1:5" x14ac:dyDescent="0.2">
      <c r="A3713" s="28"/>
      <c r="B3713" s="28"/>
      <c r="C3713" s="28"/>
      <c r="D3713" s="28"/>
      <c r="E3713" s="16"/>
    </row>
    <row r="3714" spans="1:5" x14ac:dyDescent="0.2">
      <c r="A3714" s="28"/>
      <c r="B3714" s="28"/>
      <c r="C3714" s="28"/>
      <c r="D3714" s="28"/>
      <c r="E3714" s="16"/>
    </row>
    <row r="3715" spans="1:5" x14ac:dyDescent="0.2">
      <c r="A3715" s="28"/>
      <c r="B3715" s="28"/>
      <c r="C3715" s="28"/>
      <c r="D3715" s="28"/>
      <c r="E3715" s="16"/>
    </row>
    <row r="3716" spans="1:5" x14ac:dyDescent="0.2">
      <c r="A3716" s="28"/>
      <c r="B3716" s="28"/>
      <c r="C3716" s="28"/>
      <c r="D3716" s="28"/>
      <c r="E3716" s="16"/>
    </row>
    <row r="3717" spans="1:5" x14ac:dyDescent="0.2">
      <c r="A3717" s="28"/>
      <c r="B3717" s="28"/>
      <c r="C3717" s="28"/>
      <c r="D3717" s="28"/>
      <c r="E3717" s="16"/>
    </row>
    <row r="3718" spans="1:5" x14ac:dyDescent="0.2">
      <c r="A3718" s="28"/>
      <c r="B3718" s="28"/>
      <c r="C3718" s="28"/>
      <c r="D3718" s="28"/>
      <c r="E3718" s="16"/>
    </row>
    <row r="3719" spans="1:5" x14ac:dyDescent="0.2">
      <c r="A3719" s="28"/>
      <c r="B3719" s="28"/>
      <c r="C3719" s="28"/>
      <c r="D3719" s="28"/>
      <c r="E3719" s="16"/>
    </row>
    <row r="3720" spans="1:5" x14ac:dyDescent="0.2">
      <c r="A3720" s="28"/>
      <c r="B3720" s="28"/>
      <c r="C3720" s="28"/>
      <c r="D3720" s="28"/>
      <c r="E3720" s="16"/>
    </row>
    <row r="3721" spans="1:5" x14ac:dyDescent="0.2">
      <c r="A3721" s="28"/>
      <c r="B3721" s="28"/>
      <c r="C3721" s="28"/>
      <c r="D3721" s="28"/>
      <c r="E3721" s="16"/>
    </row>
    <row r="3722" spans="1:5" x14ac:dyDescent="0.2">
      <c r="A3722" s="28"/>
      <c r="B3722" s="28"/>
      <c r="C3722" s="28"/>
      <c r="D3722" s="28"/>
      <c r="E3722" s="16"/>
    </row>
    <row r="3723" spans="1:5" x14ac:dyDescent="0.2">
      <c r="A3723" s="28"/>
      <c r="B3723" s="28"/>
      <c r="C3723" s="28"/>
      <c r="D3723" s="28"/>
      <c r="E3723" s="16"/>
    </row>
    <row r="3724" spans="1:5" x14ac:dyDescent="0.2">
      <c r="A3724" s="28"/>
      <c r="B3724" s="28"/>
      <c r="C3724" s="28"/>
      <c r="D3724" s="28"/>
      <c r="E3724" s="16"/>
    </row>
    <row r="3725" spans="1:5" x14ac:dyDescent="0.2">
      <c r="A3725" s="28"/>
      <c r="B3725" s="28"/>
      <c r="C3725" s="28"/>
      <c r="D3725" s="28"/>
      <c r="E3725" s="16"/>
    </row>
    <row r="3726" spans="1:5" x14ac:dyDescent="0.2">
      <c r="A3726" s="28"/>
      <c r="B3726" s="28"/>
      <c r="C3726" s="28"/>
      <c r="D3726" s="28"/>
      <c r="E3726" s="16"/>
    </row>
    <row r="3727" spans="1:5" x14ac:dyDescent="0.2">
      <c r="A3727" s="28"/>
      <c r="B3727" s="28"/>
      <c r="C3727" s="28"/>
      <c r="D3727" s="28"/>
      <c r="E3727" s="16"/>
    </row>
    <row r="3728" spans="1:5" x14ac:dyDescent="0.2">
      <c r="A3728" s="28"/>
      <c r="B3728" s="28"/>
      <c r="C3728" s="28"/>
      <c r="D3728" s="28"/>
      <c r="E3728" s="16"/>
    </row>
    <row r="3729" spans="1:5" x14ac:dyDescent="0.2">
      <c r="A3729" s="28"/>
      <c r="B3729" s="28"/>
      <c r="C3729" s="28"/>
      <c r="D3729" s="28"/>
      <c r="E3729" s="16"/>
    </row>
    <row r="3730" spans="1:5" x14ac:dyDescent="0.2">
      <c r="A3730" s="28"/>
      <c r="B3730" s="28"/>
      <c r="C3730" s="28"/>
      <c r="D3730" s="28"/>
      <c r="E3730" s="16"/>
    </row>
    <row r="3731" spans="1:5" x14ac:dyDescent="0.2">
      <c r="A3731" s="28"/>
      <c r="B3731" s="28"/>
      <c r="C3731" s="28"/>
      <c r="D3731" s="28"/>
      <c r="E3731" s="16"/>
    </row>
    <row r="3732" spans="1:5" x14ac:dyDescent="0.2">
      <c r="A3732" s="28"/>
      <c r="B3732" s="28"/>
      <c r="C3732" s="28"/>
      <c r="D3732" s="28"/>
      <c r="E3732" s="16"/>
    </row>
    <row r="3733" spans="1:5" x14ac:dyDescent="0.2">
      <c r="A3733" s="28"/>
      <c r="B3733" s="28"/>
      <c r="C3733" s="28"/>
      <c r="D3733" s="28"/>
      <c r="E3733" s="16"/>
    </row>
    <row r="3734" spans="1:5" x14ac:dyDescent="0.2">
      <c r="A3734" s="28"/>
      <c r="B3734" s="28"/>
      <c r="C3734" s="28"/>
      <c r="D3734" s="28"/>
      <c r="E3734" s="16"/>
    </row>
    <row r="3735" spans="1:5" x14ac:dyDescent="0.2">
      <c r="A3735" s="28"/>
      <c r="B3735" s="28"/>
      <c r="C3735" s="28"/>
      <c r="D3735" s="28"/>
      <c r="E3735" s="16"/>
    </row>
    <row r="3736" spans="1:5" x14ac:dyDescent="0.2">
      <c r="A3736" s="28"/>
      <c r="B3736" s="28"/>
      <c r="C3736" s="28"/>
      <c r="D3736" s="28"/>
      <c r="E3736" s="16"/>
    </row>
    <row r="3737" spans="1:5" x14ac:dyDescent="0.2">
      <c r="A3737" s="28"/>
      <c r="B3737" s="28"/>
      <c r="C3737" s="28"/>
      <c r="D3737" s="28"/>
      <c r="E3737" s="16"/>
    </row>
    <row r="3738" spans="1:5" x14ac:dyDescent="0.2">
      <c r="A3738" s="28"/>
      <c r="B3738" s="28"/>
      <c r="C3738" s="28"/>
      <c r="D3738" s="28"/>
      <c r="E3738" s="16"/>
    </row>
    <row r="3739" spans="1:5" x14ac:dyDescent="0.2">
      <c r="A3739" s="28"/>
      <c r="B3739" s="28"/>
      <c r="C3739" s="28"/>
      <c r="D3739" s="28"/>
      <c r="E3739" s="16"/>
    </row>
    <row r="3740" spans="1:5" x14ac:dyDescent="0.2">
      <c r="A3740" s="28"/>
      <c r="B3740" s="28"/>
      <c r="C3740" s="28"/>
      <c r="D3740" s="28"/>
      <c r="E3740" s="16"/>
    </row>
    <row r="3741" spans="1:5" x14ac:dyDescent="0.2">
      <c r="A3741" s="28"/>
      <c r="B3741" s="28"/>
      <c r="C3741" s="28"/>
      <c r="D3741" s="28"/>
      <c r="E3741" s="16"/>
    </row>
    <row r="3742" spans="1:5" x14ac:dyDescent="0.2">
      <c r="A3742" s="28"/>
      <c r="B3742" s="28"/>
      <c r="C3742" s="28"/>
      <c r="D3742" s="28"/>
      <c r="E3742" s="16"/>
    </row>
    <row r="3743" spans="1:5" x14ac:dyDescent="0.2">
      <c r="A3743" s="28"/>
      <c r="B3743" s="28"/>
      <c r="C3743" s="28"/>
      <c r="D3743" s="28"/>
      <c r="E3743" s="16"/>
    </row>
    <row r="3744" spans="1:5" x14ac:dyDescent="0.2">
      <c r="A3744" s="28"/>
      <c r="B3744" s="28"/>
      <c r="C3744" s="28"/>
      <c r="D3744" s="28"/>
      <c r="E3744" s="16"/>
    </row>
    <row r="3745" spans="1:5" x14ac:dyDescent="0.2">
      <c r="A3745" s="28"/>
      <c r="B3745" s="28"/>
      <c r="C3745" s="28"/>
      <c r="D3745" s="28"/>
      <c r="E3745" s="16"/>
    </row>
    <row r="3746" spans="1:5" x14ac:dyDescent="0.2">
      <c r="A3746" s="28"/>
      <c r="B3746" s="28"/>
      <c r="C3746" s="28"/>
      <c r="D3746" s="28"/>
      <c r="E3746" s="16"/>
    </row>
    <row r="3747" spans="1:5" x14ac:dyDescent="0.2">
      <c r="A3747" s="28"/>
      <c r="B3747" s="28"/>
      <c r="C3747" s="28"/>
      <c r="D3747" s="28"/>
      <c r="E3747" s="16"/>
    </row>
    <row r="3748" spans="1:5" x14ac:dyDescent="0.2">
      <c r="A3748" s="28"/>
      <c r="B3748" s="28"/>
      <c r="C3748" s="28"/>
      <c r="D3748" s="28"/>
      <c r="E3748" s="16"/>
    </row>
    <row r="3749" spans="1:5" x14ac:dyDescent="0.2">
      <c r="A3749" s="28"/>
      <c r="B3749" s="28"/>
      <c r="C3749" s="28"/>
      <c r="D3749" s="28"/>
      <c r="E3749" s="16"/>
    </row>
    <row r="3750" spans="1:5" x14ac:dyDescent="0.2">
      <c r="A3750" s="28"/>
      <c r="B3750" s="28"/>
      <c r="C3750" s="28"/>
      <c r="D3750" s="28"/>
      <c r="E3750" s="16"/>
    </row>
    <row r="3751" spans="1:5" x14ac:dyDescent="0.2">
      <c r="A3751" s="28"/>
      <c r="B3751" s="28"/>
      <c r="C3751" s="28"/>
      <c r="D3751" s="28"/>
      <c r="E3751" s="16"/>
    </row>
    <row r="3752" spans="1:5" x14ac:dyDescent="0.2">
      <c r="A3752" s="28"/>
      <c r="B3752" s="28"/>
      <c r="C3752" s="28"/>
      <c r="D3752" s="28"/>
      <c r="E3752" s="16"/>
    </row>
    <row r="3753" spans="1:5" x14ac:dyDescent="0.2">
      <c r="A3753" s="28"/>
      <c r="B3753" s="28"/>
      <c r="C3753" s="28"/>
      <c r="D3753" s="28"/>
      <c r="E3753" s="16"/>
    </row>
    <row r="3754" spans="1:5" x14ac:dyDescent="0.2">
      <c r="A3754" s="28"/>
      <c r="B3754" s="28"/>
      <c r="C3754" s="28"/>
      <c r="D3754" s="28"/>
      <c r="E3754" s="16"/>
    </row>
    <row r="3755" spans="1:5" x14ac:dyDescent="0.2">
      <c r="A3755" s="28"/>
      <c r="B3755" s="28"/>
      <c r="C3755" s="28"/>
      <c r="D3755" s="28"/>
      <c r="E3755" s="16"/>
    </row>
    <row r="3756" spans="1:5" x14ac:dyDescent="0.2">
      <c r="A3756" s="28"/>
      <c r="B3756" s="28"/>
      <c r="C3756" s="28"/>
      <c r="D3756" s="28"/>
      <c r="E3756" s="16"/>
    </row>
    <row r="3757" spans="1:5" x14ac:dyDescent="0.2">
      <c r="A3757" s="28"/>
      <c r="B3757" s="28"/>
      <c r="C3757" s="28"/>
      <c r="D3757" s="28"/>
      <c r="E3757" s="16"/>
    </row>
    <row r="3758" spans="1:5" x14ac:dyDescent="0.2">
      <c r="A3758" s="28"/>
      <c r="B3758" s="28"/>
      <c r="C3758" s="28"/>
      <c r="D3758" s="28"/>
      <c r="E3758" s="16"/>
    </row>
    <row r="3759" spans="1:5" x14ac:dyDescent="0.2">
      <c r="A3759" s="28"/>
      <c r="B3759" s="28"/>
      <c r="C3759" s="28"/>
      <c r="D3759" s="28"/>
      <c r="E3759" s="16"/>
    </row>
    <row r="3760" spans="1:5" x14ac:dyDescent="0.2">
      <c r="A3760" s="28"/>
      <c r="B3760" s="28"/>
      <c r="C3760" s="28"/>
      <c r="D3760" s="28"/>
      <c r="E3760" s="16"/>
    </row>
    <row r="3761" spans="1:5" x14ac:dyDescent="0.2">
      <c r="A3761" s="28"/>
      <c r="B3761" s="28"/>
      <c r="C3761" s="28"/>
      <c r="D3761" s="28"/>
      <c r="E3761" s="16"/>
    </row>
    <row r="3762" spans="1:5" x14ac:dyDescent="0.2">
      <c r="A3762" s="28"/>
      <c r="B3762" s="28"/>
      <c r="C3762" s="28"/>
      <c r="D3762" s="28"/>
      <c r="E3762" s="16"/>
    </row>
    <row r="3763" spans="1:5" x14ac:dyDescent="0.2">
      <c r="A3763" s="28"/>
      <c r="B3763" s="28"/>
      <c r="C3763" s="28"/>
      <c r="D3763" s="28"/>
      <c r="E3763" s="16"/>
    </row>
    <row r="3764" spans="1:5" x14ac:dyDescent="0.2">
      <c r="A3764" s="28"/>
      <c r="B3764" s="28"/>
      <c r="C3764" s="28"/>
      <c r="D3764" s="28"/>
      <c r="E3764" s="16"/>
    </row>
    <row r="3765" spans="1:5" x14ac:dyDescent="0.2">
      <c r="A3765" s="28"/>
      <c r="B3765" s="28"/>
      <c r="C3765" s="28"/>
      <c r="D3765" s="28"/>
      <c r="E3765" s="16"/>
    </row>
    <row r="3766" spans="1:5" x14ac:dyDescent="0.2">
      <c r="A3766" s="28"/>
      <c r="B3766" s="28"/>
      <c r="C3766" s="28"/>
      <c r="D3766" s="28"/>
      <c r="E3766" s="16"/>
    </row>
    <row r="3767" spans="1:5" x14ac:dyDescent="0.2">
      <c r="A3767" s="28"/>
      <c r="B3767" s="28"/>
      <c r="C3767" s="28"/>
      <c r="D3767" s="28"/>
      <c r="E3767" s="16"/>
    </row>
    <row r="3768" spans="1:5" x14ac:dyDescent="0.2">
      <c r="A3768" s="28"/>
      <c r="B3768" s="28"/>
      <c r="C3768" s="28"/>
      <c r="D3768" s="28"/>
      <c r="E3768" s="16"/>
    </row>
    <row r="3769" spans="1:5" x14ac:dyDescent="0.2">
      <c r="A3769" s="28"/>
      <c r="B3769" s="28"/>
      <c r="C3769" s="28"/>
      <c r="D3769" s="28"/>
      <c r="E3769" s="16"/>
    </row>
    <row r="3770" spans="1:5" x14ac:dyDescent="0.2">
      <c r="A3770" s="28"/>
      <c r="B3770" s="28"/>
      <c r="C3770" s="28"/>
      <c r="D3770" s="28"/>
      <c r="E3770" s="16"/>
    </row>
    <row r="3771" spans="1:5" x14ac:dyDescent="0.2">
      <c r="A3771" s="28"/>
      <c r="B3771" s="28"/>
      <c r="C3771" s="28"/>
      <c r="D3771" s="28"/>
      <c r="E3771" s="16"/>
    </row>
    <row r="3772" spans="1:5" x14ac:dyDescent="0.2">
      <c r="A3772" s="28"/>
      <c r="B3772" s="28"/>
      <c r="C3772" s="28"/>
      <c r="D3772" s="28"/>
      <c r="E3772" s="16"/>
    </row>
    <row r="3773" spans="1:5" x14ac:dyDescent="0.2">
      <c r="A3773" s="28"/>
      <c r="B3773" s="28"/>
      <c r="C3773" s="28"/>
      <c r="D3773" s="28"/>
      <c r="E3773" s="16"/>
    </row>
    <row r="3774" spans="1:5" x14ac:dyDescent="0.2">
      <c r="A3774" s="28"/>
      <c r="B3774" s="28"/>
      <c r="C3774" s="28"/>
      <c r="D3774" s="28"/>
      <c r="E3774" s="16"/>
    </row>
    <row r="3775" spans="1:5" x14ac:dyDescent="0.2">
      <c r="A3775" s="28"/>
      <c r="B3775" s="28"/>
      <c r="C3775" s="28"/>
      <c r="D3775" s="28"/>
      <c r="E3775" s="16"/>
    </row>
    <row r="3776" spans="1:5" x14ac:dyDescent="0.2">
      <c r="A3776" s="28"/>
      <c r="B3776" s="28"/>
      <c r="C3776" s="28"/>
      <c r="D3776" s="28"/>
      <c r="E3776" s="16"/>
    </row>
    <row r="3777" spans="1:5" x14ac:dyDescent="0.2">
      <c r="A3777" s="28"/>
      <c r="B3777" s="28"/>
      <c r="C3777" s="28"/>
      <c r="D3777" s="28"/>
      <c r="E3777" s="16"/>
    </row>
    <row r="3778" spans="1:5" x14ac:dyDescent="0.2">
      <c r="A3778" s="28"/>
      <c r="B3778" s="28"/>
      <c r="C3778" s="28"/>
      <c r="D3778" s="28"/>
      <c r="E3778" s="16"/>
    </row>
    <row r="3779" spans="1:5" x14ac:dyDescent="0.2">
      <c r="A3779" s="28"/>
      <c r="B3779" s="28"/>
      <c r="C3779" s="28"/>
      <c r="D3779" s="28"/>
      <c r="E3779" s="16"/>
    </row>
    <row r="3780" spans="1:5" x14ac:dyDescent="0.2">
      <c r="A3780" s="28"/>
      <c r="B3780" s="28"/>
      <c r="C3780" s="28"/>
      <c r="D3780" s="28"/>
      <c r="E3780" s="16"/>
    </row>
    <row r="3781" spans="1:5" x14ac:dyDescent="0.2">
      <c r="A3781" s="28"/>
      <c r="B3781" s="28"/>
      <c r="C3781" s="28"/>
      <c r="D3781" s="28"/>
      <c r="E3781" s="16"/>
    </row>
    <row r="3782" spans="1:5" x14ac:dyDescent="0.2">
      <c r="A3782" s="28"/>
      <c r="B3782" s="28"/>
      <c r="C3782" s="28"/>
      <c r="D3782" s="28"/>
      <c r="E3782" s="16"/>
    </row>
    <row r="3783" spans="1:5" x14ac:dyDescent="0.2">
      <c r="A3783" s="28"/>
      <c r="B3783" s="28"/>
      <c r="C3783" s="28"/>
      <c r="D3783" s="28"/>
      <c r="E3783" s="16"/>
    </row>
    <row r="3784" spans="1:5" x14ac:dyDescent="0.2">
      <c r="A3784" s="28"/>
      <c r="B3784" s="28"/>
      <c r="C3784" s="28"/>
      <c r="D3784" s="28"/>
      <c r="E3784" s="16"/>
    </row>
    <row r="3785" spans="1:5" x14ac:dyDescent="0.2">
      <c r="A3785" s="28"/>
      <c r="B3785" s="28"/>
      <c r="C3785" s="28"/>
      <c r="D3785" s="28"/>
      <c r="E3785" s="16"/>
    </row>
    <row r="3786" spans="1:5" x14ac:dyDescent="0.2">
      <c r="A3786" s="28"/>
      <c r="B3786" s="28"/>
      <c r="C3786" s="28"/>
      <c r="D3786" s="28"/>
      <c r="E3786" s="16"/>
    </row>
    <row r="3787" spans="1:5" x14ac:dyDescent="0.2">
      <c r="A3787" s="28"/>
      <c r="B3787" s="28"/>
      <c r="C3787" s="28"/>
      <c r="D3787" s="28"/>
      <c r="E3787" s="16"/>
    </row>
    <row r="3788" spans="1:5" x14ac:dyDescent="0.2">
      <c r="A3788" s="28"/>
      <c r="B3788" s="28"/>
      <c r="C3788" s="28"/>
      <c r="D3788" s="28"/>
      <c r="E3788" s="16"/>
    </row>
    <row r="3789" spans="1:5" x14ac:dyDescent="0.2">
      <c r="A3789" s="28"/>
      <c r="B3789" s="28"/>
      <c r="C3789" s="28"/>
      <c r="D3789" s="28"/>
      <c r="E3789" s="16"/>
    </row>
    <row r="3790" spans="1:5" x14ac:dyDescent="0.2">
      <c r="A3790" s="28"/>
      <c r="B3790" s="28"/>
      <c r="C3790" s="28"/>
      <c r="D3790" s="28"/>
      <c r="E3790" s="16"/>
    </row>
    <row r="3791" spans="1:5" x14ac:dyDescent="0.2">
      <c r="A3791" s="28"/>
      <c r="B3791" s="28"/>
      <c r="C3791" s="28"/>
      <c r="D3791" s="28"/>
      <c r="E3791" s="16"/>
    </row>
    <row r="3792" spans="1:5" x14ac:dyDescent="0.2">
      <c r="A3792" s="28"/>
      <c r="B3792" s="28"/>
      <c r="C3792" s="28"/>
      <c r="D3792" s="28"/>
      <c r="E3792" s="16"/>
    </row>
    <row r="3793" spans="1:5" x14ac:dyDescent="0.2">
      <c r="A3793" s="28"/>
      <c r="B3793" s="28"/>
      <c r="C3793" s="28"/>
      <c r="D3793" s="28"/>
      <c r="E3793" s="16"/>
    </row>
    <row r="3794" spans="1:5" x14ac:dyDescent="0.2">
      <c r="A3794" s="28"/>
      <c r="B3794" s="28"/>
      <c r="C3794" s="28"/>
      <c r="D3794" s="28"/>
      <c r="E3794" s="16"/>
    </row>
    <row r="3795" spans="1:5" x14ac:dyDescent="0.2">
      <c r="A3795" s="28"/>
      <c r="B3795" s="28"/>
      <c r="C3795" s="28"/>
      <c r="D3795" s="28"/>
      <c r="E3795" s="16"/>
    </row>
    <row r="3796" spans="1:5" x14ac:dyDescent="0.2">
      <c r="A3796" s="28"/>
      <c r="B3796" s="28"/>
      <c r="C3796" s="28"/>
      <c r="D3796" s="28"/>
      <c r="E3796" s="16"/>
    </row>
    <row r="3797" spans="1:5" x14ac:dyDescent="0.2">
      <c r="A3797" s="28"/>
      <c r="B3797" s="28"/>
      <c r="C3797" s="28"/>
      <c r="D3797" s="28"/>
      <c r="E3797" s="16"/>
    </row>
    <row r="3798" spans="1:5" x14ac:dyDescent="0.2">
      <c r="A3798" s="28"/>
      <c r="B3798" s="28"/>
      <c r="C3798" s="28"/>
      <c r="D3798" s="28"/>
      <c r="E3798" s="16"/>
    </row>
    <row r="3799" spans="1:5" x14ac:dyDescent="0.2">
      <c r="A3799" s="28"/>
      <c r="B3799" s="28"/>
      <c r="C3799" s="28"/>
      <c r="D3799" s="28"/>
      <c r="E3799" s="16"/>
    </row>
    <row r="3800" spans="1:5" x14ac:dyDescent="0.2">
      <c r="A3800" s="28"/>
      <c r="B3800" s="28"/>
      <c r="C3800" s="28"/>
      <c r="D3800" s="28"/>
      <c r="E3800" s="16"/>
    </row>
    <row r="3801" spans="1:5" x14ac:dyDescent="0.2">
      <c r="A3801" s="28"/>
      <c r="B3801" s="28"/>
      <c r="C3801" s="28"/>
      <c r="D3801" s="28"/>
      <c r="E3801" s="16"/>
    </row>
    <row r="3802" spans="1:5" x14ac:dyDescent="0.2">
      <c r="A3802" s="28"/>
      <c r="B3802" s="28"/>
      <c r="C3802" s="28"/>
      <c r="D3802" s="28"/>
      <c r="E3802" s="16"/>
    </row>
    <row r="3803" spans="1:5" x14ac:dyDescent="0.2">
      <c r="A3803" s="28"/>
      <c r="B3803" s="28"/>
      <c r="C3803" s="28"/>
      <c r="D3803" s="28"/>
      <c r="E3803" s="16"/>
    </row>
    <row r="3804" spans="1:5" x14ac:dyDescent="0.2">
      <c r="A3804" s="28"/>
      <c r="B3804" s="28"/>
      <c r="C3804" s="28"/>
      <c r="D3804" s="28"/>
      <c r="E3804" s="16"/>
    </row>
    <row r="3805" spans="1:5" x14ac:dyDescent="0.2">
      <c r="A3805" s="28"/>
      <c r="B3805" s="28"/>
      <c r="C3805" s="28"/>
      <c r="D3805" s="28"/>
      <c r="E3805" s="16"/>
    </row>
    <row r="3806" spans="1:5" x14ac:dyDescent="0.2">
      <c r="A3806" s="28"/>
      <c r="B3806" s="28"/>
      <c r="C3806" s="28"/>
      <c r="D3806" s="28"/>
      <c r="E3806" s="16"/>
    </row>
    <row r="3807" spans="1:5" x14ac:dyDescent="0.2">
      <c r="A3807" s="28"/>
      <c r="B3807" s="28"/>
      <c r="C3807" s="28"/>
      <c r="D3807" s="28"/>
      <c r="E3807" s="16"/>
    </row>
    <row r="3808" spans="1:5" x14ac:dyDescent="0.2">
      <c r="A3808" s="28"/>
      <c r="B3808" s="28"/>
      <c r="C3808" s="28"/>
      <c r="D3808" s="28"/>
      <c r="E3808" s="16"/>
    </row>
    <row r="3809" spans="1:5" x14ac:dyDescent="0.2">
      <c r="A3809" s="28"/>
      <c r="B3809" s="28"/>
      <c r="C3809" s="28"/>
      <c r="D3809" s="28"/>
      <c r="E3809" s="16"/>
    </row>
    <row r="3810" spans="1:5" x14ac:dyDescent="0.2">
      <c r="A3810" s="28"/>
      <c r="B3810" s="28"/>
      <c r="C3810" s="28"/>
      <c r="D3810" s="28"/>
      <c r="E3810" s="16"/>
    </row>
    <row r="3811" spans="1:5" x14ac:dyDescent="0.2">
      <c r="A3811" s="28"/>
      <c r="B3811" s="28"/>
      <c r="C3811" s="28"/>
      <c r="D3811" s="28"/>
      <c r="E3811" s="16"/>
    </row>
    <row r="3812" spans="1:5" x14ac:dyDescent="0.2">
      <c r="A3812" s="28"/>
      <c r="B3812" s="28"/>
      <c r="C3812" s="28"/>
      <c r="D3812" s="28"/>
      <c r="E3812" s="16"/>
    </row>
    <row r="3813" spans="1:5" x14ac:dyDescent="0.2">
      <c r="A3813" s="28"/>
      <c r="B3813" s="28"/>
      <c r="C3813" s="28"/>
      <c r="D3813" s="28"/>
      <c r="E3813" s="16"/>
    </row>
    <row r="3814" spans="1:5" x14ac:dyDescent="0.2">
      <c r="A3814" s="28"/>
      <c r="B3814" s="28"/>
      <c r="C3814" s="28"/>
      <c r="D3814" s="28"/>
      <c r="E3814" s="16"/>
    </row>
    <row r="3815" spans="1:5" x14ac:dyDescent="0.2">
      <c r="A3815" s="28"/>
      <c r="B3815" s="28"/>
      <c r="C3815" s="28"/>
      <c r="D3815" s="28"/>
      <c r="E3815" s="16"/>
    </row>
    <row r="3816" spans="1:5" x14ac:dyDescent="0.2">
      <c r="A3816" s="28"/>
      <c r="B3816" s="28"/>
      <c r="C3816" s="28"/>
      <c r="D3816" s="28"/>
      <c r="E3816" s="16"/>
    </row>
    <row r="3817" spans="1:5" x14ac:dyDescent="0.2">
      <c r="A3817" s="28"/>
      <c r="B3817" s="28"/>
      <c r="C3817" s="28"/>
      <c r="D3817" s="28"/>
      <c r="E3817" s="16"/>
    </row>
    <row r="3818" spans="1:5" x14ac:dyDescent="0.2">
      <c r="A3818" s="28"/>
      <c r="B3818" s="28"/>
      <c r="C3818" s="28"/>
      <c r="D3818" s="28"/>
      <c r="E3818" s="16"/>
    </row>
    <row r="3819" spans="1:5" x14ac:dyDescent="0.2">
      <c r="A3819" s="28"/>
      <c r="B3819" s="28"/>
      <c r="C3819" s="28"/>
      <c r="D3819" s="28"/>
      <c r="E3819" s="16"/>
    </row>
    <row r="3820" spans="1:5" x14ac:dyDescent="0.2">
      <c r="A3820" s="28"/>
      <c r="B3820" s="28"/>
      <c r="C3820" s="28"/>
      <c r="D3820" s="28"/>
      <c r="E3820" s="16"/>
    </row>
    <row r="3821" spans="1:5" x14ac:dyDescent="0.2">
      <c r="A3821" s="28"/>
      <c r="B3821" s="28"/>
      <c r="C3821" s="28"/>
      <c r="D3821" s="28"/>
      <c r="E3821" s="16"/>
    </row>
    <row r="3822" spans="1:5" x14ac:dyDescent="0.2">
      <c r="A3822" s="28"/>
      <c r="B3822" s="28"/>
      <c r="C3822" s="28"/>
      <c r="D3822" s="28"/>
      <c r="E3822" s="16"/>
    </row>
    <row r="3823" spans="1:5" x14ac:dyDescent="0.2">
      <c r="A3823" s="28"/>
      <c r="B3823" s="28"/>
      <c r="C3823" s="28"/>
      <c r="D3823" s="28"/>
      <c r="E3823" s="16"/>
    </row>
    <row r="3824" spans="1:5" x14ac:dyDescent="0.2">
      <c r="A3824" s="28"/>
      <c r="B3824" s="28"/>
      <c r="C3824" s="28"/>
      <c r="D3824" s="28"/>
      <c r="E3824" s="16"/>
    </row>
    <row r="3825" spans="1:5" x14ac:dyDescent="0.2">
      <c r="A3825" s="28"/>
      <c r="B3825" s="28"/>
      <c r="C3825" s="28"/>
      <c r="D3825" s="28"/>
      <c r="E3825" s="16"/>
    </row>
    <row r="3826" spans="1:5" x14ac:dyDescent="0.2">
      <c r="A3826" s="28"/>
      <c r="B3826" s="28"/>
      <c r="C3826" s="28"/>
      <c r="D3826" s="28"/>
      <c r="E3826" s="16"/>
    </row>
    <row r="3827" spans="1:5" x14ac:dyDescent="0.2">
      <c r="A3827" s="28"/>
      <c r="B3827" s="28"/>
      <c r="C3827" s="28"/>
      <c r="D3827" s="28"/>
      <c r="E3827" s="16"/>
    </row>
    <row r="3828" spans="1:5" x14ac:dyDescent="0.2">
      <c r="A3828" s="28"/>
      <c r="B3828" s="28"/>
      <c r="C3828" s="28"/>
      <c r="D3828" s="28"/>
      <c r="E3828" s="16"/>
    </row>
    <row r="3829" spans="1:5" x14ac:dyDescent="0.2">
      <c r="A3829" s="28"/>
      <c r="B3829" s="28"/>
      <c r="C3829" s="28"/>
      <c r="D3829" s="28"/>
      <c r="E3829" s="16"/>
    </row>
    <row r="3830" spans="1:5" x14ac:dyDescent="0.2">
      <c r="A3830" s="28"/>
      <c r="B3830" s="28"/>
      <c r="C3830" s="28"/>
      <c r="D3830" s="28"/>
      <c r="E3830" s="16"/>
    </row>
    <row r="3831" spans="1:5" x14ac:dyDescent="0.2">
      <c r="A3831" s="28"/>
      <c r="B3831" s="28"/>
      <c r="C3831" s="28"/>
      <c r="D3831" s="28"/>
      <c r="E3831" s="16"/>
    </row>
    <row r="3832" spans="1:5" x14ac:dyDescent="0.2">
      <c r="A3832" s="28"/>
      <c r="B3832" s="28"/>
      <c r="C3832" s="28"/>
      <c r="D3832" s="28"/>
      <c r="E3832" s="16"/>
    </row>
    <row r="3833" spans="1:5" x14ac:dyDescent="0.2">
      <c r="A3833" s="28"/>
      <c r="B3833" s="28"/>
      <c r="C3833" s="28"/>
      <c r="D3833" s="28"/>
      <c r="E3833" s="16"/>
    </row>
    <row r="3834" spans="1:5" x14ac:dyDescent="0.2">
      <c r="A3834" s="28"/>
      <c r="B3834" s="28"/>
      <c r="C3834" s="28"/>
      <c r="D3834" s="28"/>
      <c r="E3834" s="16"/>
    </row>
    <row r="3835" spans="1:5" x14ac:dyDescent="0.2">
      <c r="A3835" s="28"/>
      <c r="B3835" s="28"/>
      <c r="C3835" s="28"/>
      <c r="D3835" s="28"/>
      <c r="E3835" s="16"/>
    </row>
    <row r="3836" spans="1:5" x14ac:dyDescent="0.2">
      <c r="A3836" s="28"/>
      <c r="B3836" s="28"/>
      <c r="C3836" s="28"/>
      <c r="D3836" s="28"/>
      <c r="E3836" s="16"/>
    </row>
    <row r="3837" spans="1:5" x14ac:dyDescent="0.2">
      <c r="A3837" s="28"/>
      <c r="B3837" s="28"/>
      <c r="C3837" s="28"/>
      <c r="D3837" s="28"/>
      <c r="E3837" s="16"/>
    </row>
    <row r="3838" spans="1:5" x14ac:dyDescent="0.2">
      <c r="A3838" s="28"/>
      <c r="B3838" s="28"/>
      <c r="C3838" s="28"/>
      <c r="D3838" s="28"/>
      <c r="E3838" s="16"/>
    </row>
    <row r="3839" spans="1:5" x14ac:dyDescent="0.2">
      <c r="A3839" s="28"/>
      <c r="B3839" s="28"/>
      <c r="C3839" s="28"/>
      <c r="D3839" s="28"/>
      <c r="E3839" s="16"/>
    </row>
    <row r="3840" spans="1:5" x14ac:dyDescent="0.2">
      <c r="A3840" s="28"/>
      <c r="B3840" s="28"/>
      <c r="C3840" s="28"/>
      <c r="D3840" s="28"/>
      <c r="E3840" s="16"/>
    </row>
    <row r="3841" spans="1:5" x14ac:dyDescent="0.2">
      <c r="A3841" s="28"/>
      <c r="B3841" s="28"/>
      <c r="C3841" s="28"/>
      <c r="D3841" s="28"/>
      <c r="E3841" s="16"/>
    </row>
    <row r="3842" spans="1:5" x14ac:dyDescent="0.2">
      <c r="A3842" s="28"/>
      <c r="B3842" s="28"/>
      <c r="C3842" s="28"/>
      <c r="D3842" s="28"/>
      <c r="E3842" s="16"/>
    </row>
    <row r="3843" spans="1:5" x14ac:dyDescent="0.2">
      <c r="A3843" s="28"/>
      <c r="B3843" s="28"/>
      <c r="C3843" s="28"/>
      <c r="D3843" s="28"/>
      <c r="E3843" s="16"/>
    </row>
    <row r="3844" spans="1:5" x14ac:dyDescent="0.2">
      <c r="A3844" s="28"/>
      <c r="B3844" s="28"/>
      <c r="C3844" s="28"/>
      <c r="D3844" s="28"/>
      <c r="E3844" s="16"/>
    </row>
    <row r="3845" spans="1:5" x14ac:dyDescent="0.2">
      <c r="A3845" s="28"/>
      <c r="B3845" s="28"/>
      <c r="C3845" s="28"/>
      <c r="D3845" s="28"/>
      <c r="E3845" s="16"/>
    </row>
    <row r="3846" spans="1:5" x14ac:dyDescent="0.2">
      <c r="A3846" s="28"/>
      <c r="B3846" s="28"/>
      <c r="C3846" s="28"/>
      <c r="D3846" s="28"/>
      <c r="E3846" s="16"/>
    </row>
    <row r="3847" spans="1:5" x14ac:dyDescent="0.2">
      <c r="A3847" s="28"/>
      <c r="B3847" s="28"/>
      <c r="C3847" s="28"/>
      <c r="D3847" s="28"/>
      <c r="E3847" s="16"/>
    </row>
    <row r="3848" spans="1:5" x14ac:dyDescent="0.2">
      <c r="A3848" s="28"/>
      <c r="B3848" s="28"/>
      <c r="C3848" s="28"/>
      <c r="D3848" s="28"/>
      <c r="E3848" s="16"/>
    </row>
    <row r="3849" spans="1:5" x14ac:dyDescent="0.2">
      <c r="A3849" s="28"/>
      <c r="B3849" s="28"/>
      <c r="C3849" s="28"/>
      <c r="D3849" s="28"/>
      <c r="E3849" s="16"/>
    </row>
    <row r="3850" spans="1:5" x14ac:dyDescent="0.2">
      <c r="A3850" s="28"/>
      <c r="B3850" s="28"/>
      <c r="C3850" s="28"/>
      <c r="D3850" s="28"/>
      <c r="E3850" s="16"/>
    </row>
    <row r="3851" spans="1:5" x14ac:dyDescent="0.2">
      <c r="A3851" s="28"/>
      <c r="B3851" s="28"/>
      <c r="C3851" s="28"/>
      <c r="D3851" s="28"/>
      <c r="E3851" s="16"/>
    </row>
    <row r="3852" spans="1:5" x14ac:dyDescent="0.2">
      <c r="A3852" s="28"/>
      <c r="B3852" s="28"/>
      <c r="C3852" s="28"/>
      <c r="D3852" s="28"/>
      <c r="E3852" s="16"/>
    </row>
    <row r="3853" spans="1:5" x14ac:dyDescent="0.2">
      <c r="A3853" s="28"/>
      <c r="B3853" s="28"/>
      <c r="C3853" s="28"/>
      <c r="D3853" s="28"/>
      <c r="E3853" s="16"/>
    </row>
    <row r="3854" spans="1:5" x14ac:dyDescent="0.2">
      <c r="A3854" s="28"/>
      <c r="B3854" s="28"/>
      <c r="C3854" s="28"/>
      <c r="D3854" s="28"/>
      <c r="E3854" s="16"/>
    </row>
    <row r="3855" spans="1:5" x14ac:dyDescent="0.2">
      <c r="A3855" s="28"/>
      <c r="B3855" s="28"/>
      <c r="C3855" s="28"/>
      <c r="D3855" s="28"/>
      <c r="E3855" s="16"/>
    </row>
    <row r="3856" spans="1:5" x14ac:dyDescent="0.2">
      <c r="A3856" s="28"/>
      <c r="B3856" s="28"/>
      <c r="C3856" s="28"/>
      <c r="D3856" s="28"/>
      <c r="E3856" s="16"/>
    </row>
    <row r="3857" spans="1:5" x14ac:dyDescent="0.2">
      <c r="A3857" s="28"/>
      <c r="B3857" s="28"/>
      <c r="C3857" s="28"/>
      <c r="D3857" s="28"/>
      <c r="E3857" s="16"/>
    </row>
    <row r="3858" spans="1:5" x14ac:dyDescent="0.2">
      <c r="A3858" s="28"/>
      <c r="B3858" s="28"/>
      <c r="C3858" s="28"/>
      <c r="D3858" s="28"/>
      <c r="E3858" s="16"/>
    </row>
    <row r="3859" spans="1:5" x14ac:dyDescent="0.2">
      <c r="A3859" s="28"/>
      <c r="B3859" s="28"/>
      <c r="C3859" s="28"/>
      <c r="D3859" s="28"/>
      <c r="E3859" s="16"/>
    </row>
    <row r="3860" spans="1:5" x14ac:dyDescent="0.2">
      <c r="A3860" s="28"/>
      <c r="B3860" s="28"/>
      <c r="C3860" s="28"/>
      <c r="D3860" s="28"/>
      <c r="E3860" s="16"/>
    </row>
    <row r="3861" spans="1:5" x14ac:dyDescent="0.2">
      <c r="A3861" s="28"/>
      <c r="B3861" s="28"/>
      <c r="C3861" s="28"/>
      <c r="D3861" s="28"/>
      <c r="E3861" s="16"/>
    </row>
    <row r="3862" spans="1:5" x14ac:dyDescent="0.2">
      <c r="A3862" s="28"/>
      <c r="B3862" s="28"/>
      <c r="C3862" s="28"/>
      <c r="D3862" s="28"/>
      <c r="E3862" s="16"/>
    </row>
    <row r="3863" spans="1:5" x14ac:dyDescent="0.2">
      <c r="A3863" s="28"/>
      <c r="B3863" s="28"/>
      <c r="C3863" s="28"/>
      <c r="D3863" s="28"/>
      <c r="E3863" s="16"/>
    </row>
    <row r="3864" spans="1:5" x14ac:dyDescent="0.2">
      <c r="A3864" s="28"/>
      <c r="B3864" s="28"/>
      <c r="C3864" s="28"/>
      <c r="D3864" s="28"/>
      <c r="E3864" s="16"/>
    </row>
    <row r="3865" spans="1:5" x14ac:dyDescent="0.2">
      <c r="A3865" s="28"/>
      <c r="B3865" s="28"/>
      <c r="C3865" s="28"/>
      <c r="D3865" s="28"/>
      <c r="E3865" s="16"/>
    </row>
    <row r="3866" spans="1:5" x14ac:dyDescent="0.2">
      <c r="A3866" s="28"/>
      <c r="B3866" s="28"/>
      <c r="C3866" s="28"/>
      <c r="D3866" s="28"/>
      <c r="E3866" s="16"/>
    </row>
    <row r="3867" spans="1:5" x14ac:dyDescent="0.2">
      <c r="A3867" s="28"/>
      <c r="B3867" s="28"/>
      <c r="C3867" s="28"/>
      <c r="D3867" s="28"/>
      <c r="E3867" s="16"/>
    </row>
    <row r="3868" spans="1:5" x14ac:dyDescent="0.2">
      <c r="A3868" s="28"/>
      <c r="B3868" s="28"/>
      <c r="C3868" s="28"/>
      <c r="D3868" s="28"/>
      <c r="E3868" s="16"/>
    </row>
    <row r="3869" spans="1:5" x14ac:dyDescent="0.2">
      <c r="A3869" s="28"/>
      <c r="B3869" s="28"/>
      <c r="C3869" s="28"/>
      <c r="D3869" s="28"/>
      <c r="E3869" s="16"/>
    </row>
    <row r="3870" spans="1:5" x14ac:dyDescent="0.2">
      <c r="A3870" s="28"/>
      <c r="B3870" s="28"/>
      <c r="C3870" s="28"/>
      <c r="D3870" s="28"/>
      <c r="E3870" s="16"/>
    </row>
    <row r="3871" spans="1:5" x14ac:dyDescent="0.2">
      <c r="A3871" s="28"/>
      <c r="B3871" s="28"/>
      <c r="C3871" s="28"/>
      <c r="D3871" s="28"/>
      <c r="E3871" s="16"/>
    </row>
    <row r="3872" spans="1:5" x14ac:dyDescent="0.2">
      <c r="A3872" s="28"/>
      <c r="B3872" s="28"/>
      <c r="C3872" s="28"/>
      <c r="D3872" s="28"/>
      <c r="E3872" s="16"/>
    </row>
    <row r="3873" spans="1:5" x14ac:dyDescent="0.2">
      <c r="A3873" s="28"/>
      <c r="B3873" s="28"/>
      <c r="C3873" s="28"/>
      <c r="D3873" s="28"/>
      <c r="E3873" s="16"/>
    </row>
    <row r="3874" spans="1:5" x14ac:dyDescent="0.2">
      <c r="A3874" s="28"/>
      <c r="B3874" s="28"/>
      <c r="C3874" s="28"/>
      <c r="D3874" s="28"/>
      <c r="E3874" s="16"/>
    </row>
    <row r="3875" spans="1:5" x14ac:dyDescent="0.2">
      <c r="A3875" s="28"/>
      <c r="B3875" s="28"/>
      <c r="C3875" s="28"/>
      <c r="D3875" s="28"/>
      <c r="E3875" s="16"/>
    </row>
    <row r="3876" spans="1:5" x14ac:dyDescent="0.2">
      <c r="A3876" s="28"/>
      <c r="B3876" s="28"/>
      <c r="C3876" s="28"/>
      <c r="D3876" s="28"/>
      <c r="E3876" s="16"/>
    </row>
    <row r="3877" spans="1:5" x14ac:dyDescent="0.2">
      <c r="A3877" s="28"/>
      <c r="B3877" s="28"/>
      <c r="C3877" s="28"/>
      <c r="D3877" s="28"/>
      <c r="E3877" s="16"/>
    </row>
    <row r="3878" spans="1:5" x14ac:dyDescent="0.2">
      <c r="A3878" s="28"/>
      <c r="B3878" s="28"/>
      <c r="C3878" s="28"/>
      <c r="D3878" s="28"/>
      <c r="E3878" s="16"/>
    </row>
    <row r="3879" spans="1:5" x14ac:dyDescent="0.2">
      <c r="A3879" s="28"/>
      <c r="B3879" s="28"/>
      <c r="C3879" s="28"/>
      <c r="D3879" s="28"/>
      <c r="E3879" s="16"/>
    </row>
    <row r="3880" spans="1:5" x14ac:dyDescent="0.2">
      <c r="A3880" s="28"/>
      <c r="B3880" s="28"/>
      <c r="C3880" s="28"/>
      <c r="D3880" s="28"/>
      <c r="E3880" s="16"/>
    </row>
    <row r="3881" spans="1:5" x14ac:dyDescent="0.2">
      <c r="A3881" s="28"/>
      <c r="B3881" s="28"/>
      <c r="C3881" s="28"/>
      <c r="D3881" s="28"/>
      <c r="E3881" s="16"/>
    </row>
    <row r="3882" spans="1:5" x14ac:dyDescent="0.2">
      <c r="A3882" s="28"/>
      <c r="B3882" s="28"/>
      <c r="C3882" s="28"/>
      <c r="D3882" s="28"/>
      <c r="E3882" s="16"/>
    </row>
    <row r="3883" spans="1:5" x14ac:dyDescent="0.2">
      <c r="A3883" s="28"/>
      <c r="B3883" s="28"/>
      <c r="C3883" s="28"/>
      <c r="D3883" s="28"/>
      <c r="E3883" s="16"/>
    </row>
    <row r="3884" spans="1:5" x14ac:dyDescent="0.2">
      <c r="A3884" s="28"/>
      <c r="B3884" s="28"/>
      <c r="C3884" s="28"/>
      <c r="D3884" s="28"/>
      <c r="E3884" s="16"/>
    </row>
    <row r="3885" spans="1:5" x14ac:dyDescent="0.2">
      <c r="A3885" s="28"/>
      <c r="B3885" s="28"/>
      <c r="C3885" s="28"/>
      <c r="D3885" s="28"/>
      <c r="E3885" s="16"/>
    </row>
    <row r="3886" spans="1:5" x14ac:dyDescent="0.2">
      <c r="A3886" s="28"/>
      <c r="B3886" s="28"/>
      <c r="C3886" s="28"/>
      <c r="D3886" s="28"/>
      <c r="E3886" s="16"/>
    </row>
    <row r="3887" spans="1:5" x14ac:dyDescent="0.2">
      <c r="A3887" s="28"/>
      <c r="B3887" s="28"/>
      <c r="C3887" s="28"/>
      <c r="D3887" s="28"/>
      <c r="E3887" s="16"/>
    </row>
    <row r="3888" spans="1:5" x14ac:dyDescent="0.2">
      <c r="A3888" s="28"/>
      <c r="B3888" s="28"/>
      <c r="C3888" s="28"/>
      <c r="D3888" s="28"/>
      <c r="E3888" s="16"/>
    </row>
    <row r="3889" spans="1:5" x14ac:dyDescent="0.2">
      <c r="A3889" s="28"/>
      <c r="B3889" s="28"/>
      <c r="C3889" s="28"/>
      <c r="D3889" s="28"/>
      <c r="E3889" s="16"/>
    </row>
    <row r="3890" spans="1:5" x14ac:dyDescent="0.2">
      <c r="A3890" s="28"/>
      <c r="B3890" s="28"/>
      <c r="C3890" s="28"/>
      <c r="D3890" s="28"/>
      <c r="E3890" s="16"/>
    </row>
    <row r="3891" spans="1:5" x14ac:dyDescent="0.2">
      <c r="A3891" s="28"/>
      <c r="B3891" s="28"/>
      <c r="C3891" s="28"/>
      <c r="D3891" s="28"/>
      <c r="E3891" s="16"/>
    </row>
    <row r="3892" spans="1:5" x14ac:dyDescent="0.2">
      <c r="A3892" s="28"/>
      <c r="B3892" s="28"/>
      <c r="C3892" s="28"/>
      <c r="D3892" s="28"/>
      <c r="E3892" s="16"/>
    </row>
    <row r="3893" spans="1:5" x14ac:dyDescent="0.2">
      <c r="A3893" s="28"/>
      <c r="B3893" s="28"/>
      <c r="C3893" s="28"/>
      <c r="D3893" s="28"/>
      <c r="E3893" s="16"/>
    </row>
    <row r="3894" spans="1:5" x14ac:dyDescent="0.2">
      <c r="A3894" s="28"/>
      <c r="B3894" s="28"/>
      <c r="C3894" s="28"/>
      <c r="D3894" s="28"/>
      <c r="E3894" s="16"/>
    </row>
    <row r="3895" spans="1:5" x14ac:dyDescent="0.2">
      <c r="A3895" s="28"/>
      <c r="B3895" s="28"/>
      <c r="C3895" s="28"/>
      <c r="D3895" s="28"/>
      <c r="E3895" s="16"/>
    </row>
    <row r="3896" spans="1:5" x14ac:dyDescent="0.2">
      <c r="A3896" s="28"/>
      <c r="B3896" s="28"/>
      <c r="C3896" s="28"/>
      <c r="D3896" s="28"/>
      <c r="E3896" s="16"/>
    </row>
    <row r="3897" spans="1:5" x14ac:dyDescent="0.2">
      <c r="A3897" s="28"/>
      <c r="B3897" s="28"/>
      <c r="C3897" s="28"/>
      <c r="D3897" s="28"/>
      <c r="E3897" s="16"/>
    </row>
    <row r="3898" spans="1:5" x14ac:dyDescent="0.2">
      <c r="A3898" s="28"/>
      <c r="B3898" s="28"/>
      <c r="C3898" s="28"/>
      <c r="D3898" s="28"/>
      <c r="E3898" s="16"/>
    </row>
    <row r="3899" spans="1:5" x14ac:dyDescent="0.2">
      <c r="A3899" s="28"/>
      <c r="B3899" s="28"/>
      <c r="C3899" s="28"/>
      <c r="D3899" s="28"/>
      <c r="E3899" s="16"/>
    </row>
    <row r="3900" spans="1:5" x14ac:dyDescent="0.2">
      <c r="A3900" s="28"/>
      <c r="B3900" s="28"/>
      <c r="C3900" s="28"/>
      <c r="D3900" s="28"/>
      <c r="E3900" s="16"/>
    </row>
    <row r="3901" spans="1:5" x14ac:dyDescent="0.2">
      <c r="A3901" s="28"/>
      <c r="B3901" s="28"/>
      <c r="C3901" s="28"/>
      <c r="D3901" s="28"/>
      <c r="E3901" s="16"/>
    </row>
  </sheetData>
  <autoFilter ref="A13:I164" xr:uid="{00000000-0001-0000-0200-000000000000}">
    <filterColumn colId="3">
      <filters>
        <filter val="Question"/>
      </filters>
    </filterColumn>
  </autoFilter>
  <conditionalFormatting sqref="A1168:E3901 F1168:F1270 A11 C11:H11 A2:G2 H346:I1168 J13 K10:K12 C3:E3 A7:G7 A4:E6 A10:H10 A8:E9 H9 A12:I13 A346:I1000 A14:H1000">
    <cfRule type="expression" dxfId="49" priority="51">
      <formula>IF($E2="q",1,0)</formula>
    </cfRule>
  </conditionalFormatting>
  <conditionalFormatting sqref="A11 A2:E2 C11:H11 H346:I1168 J13 K10:K12 C3:E3 A7:G7 A4:E6 A10:H10 A8:E9 H9 A12:I13 A346:I1000 A14:H1000">
    <cfRule type="expression" dxfId="48" priority="50">
      <formula>IF($E2="q",1,0)</formula>
    </cfRule>
  </conditionalFormatting>
  <conditionalFormatting sqref="A15:G1167">
    <cfRule type="expression" dxfId="47" priority="49">
      <formula>IF($E15="q",1,0)</formula>
    </cfRule>
  </conditionalFormatting>
  <conditionalFormatting sqref="A15:G1167">
    <cfRule type="expression" dxfId="46" priority="48">
      <formula>IF($E15="q",1,0)</formula>
    </cfRule>
  </conditionalFormatting>
  <conditionalFormatting sqref="J1177:J1182 J1184:J1189 J1191:J1196 J1198:J1203 J1205:J1210 J1212:J1217 J1219:J1224 J1226:J1231 J1233:J1238 J1240:J1245 J1247:J1252 J1254:J1259 J1261:J1266 J1268:J1273">
    <cfRule type="expression" dxfId="45" priority="45">
      <formula>IF($E1177="q",1,0)</formula>
    </cfRule>
  </conditionalFormatting>
  <conditionalFormatting sqref="J1177:J1182 J1184:J1189 J1191:J1196 J1198:J1203 J1205:J1210 J1212:J1217 J1219:J1224 J1226:J1231 J1233:J1238 J1240:J1245 J1247:J1252 J1254:J1259 J1261:J1266 J1268:J1273">
    <cfRule type="expression" dxfId="44" priority="44">
      <formula>IF($E1177="q",1,0)</formula>
    </cfRule>
  </conditionalFormatting>
  <conditionalFormatting sqref="J1176:J1274 J14:K1175">
    <cfRule type="expression" dxfId="43" priority="47">
      <formula>IF($E14="q",1,0)</formula>
    </cfRule>
  </conditionalFormatting>
  <conditionalFormatting sqref="J1176:J1274 J14:K1175">
    <cfRule type="expression" dxfId="42" priority="46">
      <formula>IF($E14="q",1,0)</formula>
    </cfRule>
  </conditionalFormatting>
  <conditionalFormatting sqref="H346:I1168 H14:H345">
    <cfRule type="expression" dxfId="41" priority="41">
      <formula>$H14="not applicable"</formula>
    </cfRule>
    <cfRule type="expression" dxfId="40" priority="42">
      <formula>$H14="Major non-conformity"</formula>
    </cfRule>
    <cfRule type="expression" dxfId="39" priority="43">
      <formula>$H14="OK"</formula>
    </cfRule>
  </conditionalFormatting>
  <conditionalFormatting sqref="K13">
    <cfRule type="expression" dxfId="38" priority="38">
      <formula>IF($E13="q",1,0)</formula>
    </cfRule>
  </conditionalFormatting>
  <conditionalFormatting sqref="K13">
    <cfRule type="expression" dxfId="37" priority="37">
      <formula>IF($E13="q",1,0)</formula>
    </cfRule>
  </conditionalFormatting>
  <conditionalFormatting sqref="B1:E1 J6:K7 J8:J11 G1:I1 F3:G3">
    <cfRule type="expression" dxfId="36" priority="78">
      <formula>IF($E2="q",1,0)</formula>
    </cfRule>
  </conditionalFormatting>
  <conditionalFormatting sqref="K8:K9 H8">
    <cfRule type="expression" dxfId="35" priority="79">
      <formula>IF(#REF!="q",1,0)</formula>
    </cfRule>
  </conditionalFormatting>
  <conditionalFormatting sqref="B1:E1 J6:K7 J8:J11 G1:I1 F3:G3">
    <cfRule type="expression" dxfId="34" priority="89">
      <formula>IF($E2="q",1,0)</formula>
    </cfRule>
  </conditionalFormatting>
  <conditionalFormatting sqref="K8:K9 H8">
    <cfRule type="expression" dxfId="33" priority="90">
      <formula>IF(#REF!="q",1,0)</formula>
    </cfRule>
  </conditionalFormatting>
  <conditionalFormatting sqref="B11">
    <cfRule type="expression" dxfId="32" priority="94">
      <formula>IF(#REF!="q",1,0)</formula>
    </cfRule>
  </conditionalFormatting>
  <conditionalFormatting sqref="B11">
    <cfRule type="expression" dxfId="31" priority="95">
      <formula>IF(#REF!="q",1,0)</formula>
    </cfRule>
  </conditionalFormatting>
  <conditionalFormatting sqref="H5">
    <cfRule type="expression" dxfId="30" priority="36">
      <formula>IF($E6="q",1,0)</formula>
    </cfRule>
  </conditionalFormatting>
  <conditionalFormatting sqref="H5">
    <cfRule type="expression" dxfId="29" priority="35">
      <formula>IF($E6="q",1,0)</formula>
    </cfRule>
  </conditionalFormatting>
  <conditionalFormatting sqref="H7">
    <cfRule type="expression" dxfId="28" priority="34">
      <formula>IF($E8="q",1,0)</formula>
    </cfRule>
  </conditionalFormatting>
  <conditionalFormatting sqref="H7">
    <cfRule type="expression" dxfId="27" priority="33">
      <formula>IF($E8="q",1,0)</formula>
    </cfRule>
  </conditionalFormatting>
  <conditionalFormatting sqref="H346:I1168 H14:H345">
    <cfRule type="expression" dxfId="26" priority="31">
      <formula>$H14="OK with hints"</formula>
    </cfRule>
    <cfRule type="expression" dxfId="25" priority="32">
      <formula>$H14="Minor non-conformity"</formula>
    </cfRule>
  </conditionalFormatting>
  <conditionalFormatting sqref="K1">
    <cfRule type="expression" dxfId="24" priority="25">
      <formula>IF($E2="q",1,0)</formula>
    </cfRule>
  </conditionalFormatting>
  <conditionalFormatting sqref="K1">
    <cfRule type="expression" dxfId="23" priority="26">
      <formula>IF($E2="q",1,0)</formula>
    </cfRule>
  </conditionalFormatting>
  <conditionalFormatting sqref="J12">
    <cfRule type="expression" dxfId="22" priority="23">
      <formula>IF($E13="q",1,0)</formula>
    </cfRule>
  </conditionalFormatting>
  <conditionalFormatting sqref="J12">
    <cfRule type="expression" dxfId="21" priority="24">
      <formula>IF($E13="q",1,0)</formula>
    </cfRule>
  </conditionalFormatting>
  <conditionalFormatting sqref="F5:G6">
    <cfRule type="expression" dxfId="20" priority="22">
      <formula>IF($E8="q",1,0)</formula>
    </cfRule>
  </conditionalFormatting>
  <conditionalFormatting sqref="F5:G6">
    <cfRule type="expression" dxfId="19" priority="21">
      <formula>IF($E8="q",1,0)</formula>
    </cfRule>
  </conditionalFormatting>
  <conditionalFormatting sqref="I9:I11">
    <cfRule type="expression" dxfId="18" priority="16">
      <formula>IF($E9="q",1,0)</formula>
    </cfRule>
  </conditionalFormatting>
  <conditionalFormatting sqref="I9:I11">
    <cfRule type="expression" dxfId="17" priority="15">
      <formula>IF($E9="q",1,0)</formula>
    </cfRule>
  </conditionalFormatting>
  <conditionalFormatting sqref="I6:I7">
    <cfRule type="expression" dxfId="16" priority="17">
      <formula>IF($E7="q",1,0)</formula>
    </cfRule>
  </conditionalFormatting>
  <conditionalFormatting sqref="I8">
    <cfRule type="expression" dxfId="15" priority="18">
      <formula>IF(#REF!="q",1,0)</formula>
    </cfRule>
  </conditionalFormatting>
  <conditionalFormatting sqref="I6:I7">
    <cfRule type="expression" dxfId="14" priority="19">
      <formula>IF($E7="q",1,0)</formula>
    </cfRule>
  </conditionalFormatting>
  <conditionalFormatting sqref="I8">
    <cfRule type="expression" dxfId="13" priority="20">
      <formula>IF(#REF!="q",1,0)</formula>
    </cfRule>
  </conditionalFormatting>
  <conditionalFormatting sqref="A3:B3">
    <cfRule type="expression" dxfId="12" priority="14">
      <formula>IF($E3="q",1,0)</formula>
    </cfRule>
  </conditionalFormatting>
  <conditionalFormatting sqref="A3:B3">
    <cfRule type="expression" dxfId="11" priority="13">
      <formula>IF($E3="q",1,0)</formula>
    </cfRule>
  </conditionalFormatting>
  <conditionalFormatting sqref="J1">
    <cfRule type="expression" dxfId="10" priority="12">
      <formula>IF($E1="q",1,0)</formula>
    </cfRule>
  </conditionalFormatting>
  <conditionalFormatting sqref="J1">
    <cfRule type="expression" dxfId="9" priority="11">
      <formula>IF($E1="q",1,0)</formula>
    </cfRule>
  </conditionalFormatting>
  <conditionalFormatting sqref="F4:G4">
    <cfRule type="expression" dxfId="8" priority="115">
      <formula>IF($E6="q",1,0)</formula>
    </cfRule>
  </conditionalFormatting>
  <conditionalFormatting sqref="F4:G4">
    <cfRule type="expression" dxfId="7" priority="117">
      <formula>IF($E6="q",1,0)</formula>
    </cfRule>
  </conditionalFormatting>
  <conditionalFormatting sqref="F8:F9">
    <cfRule type="expression" dxfId="6" priority="6">
      <formula>IF($E8="q",1,0)</formula>
    </cfRule>
  </conditionalFormatting>
  <conditionalFormatting sqref="F8:F9">
    <cfRule type="expression" dxfId="5" priority="5">
      <formula>IF($E8="q",1,0)</formula>
    </cfRule>
  </conditionalFormatting>
  <conditionalFormatting sqref="G8:G9">
    <cfRule type="expression" dxfId="4" priority="4">
      <formula>IF($E8="q",1,0)</formula>
    </cfRule>
  </conditionalFormatting>
  <conditionalFormatting sqref="G8:G9">
    <cfRule type="expression" dxfId="3" priority="3">
      <formula>IF($E8="q",1,0)</formula>
    </cfRule>
  </conditionalFormatting>
  <conditionalFormatting sqref="I14:I345">
    <cfRule type="expression" dxfId="2" priority="2">
      <formula>IF($E14="q",1,0)</formula>
    </cfRule>
  </conditionalFormatting>
  <conditionalFormatting sqref="I14:I345">
    <cfRule type="expression" dxfId="1" priority="1">
      <formula>IF($E14="q",1,0)</formula>
    </cfRule>
  </conditionalFormatting>
  <hyperlinks>
    <hyperlink ref="A1" r:id="rId1" display="Scoping (click here for further information an FAQ)" xr:uid="{00000000-0004-0000-0200-000000000000}"/>
    <hyperlink ref="F1" r:id="rId2" xr:uid="{00000000-0004-0000-0200-000001000000}"/>
  </hyperlinks>
  <pageMargins left="0.25" right="0.25" top="0.75" bottom="0.75" header="0.3" footer="0.3"/>
  <pageSetup paperSize="9" scale="60" fitToHeight="0" orientation="landscape"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Filter!$AD$1:$AD$6</xm:f>
          </x14:formula1>
          <xm:sqref>H14:H1168 I370:I1168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tabColor theme="0"/>
    <pageSetUpPr fitToPage="1"/>
  </sheetPr>
  <dimension ref="A1:AV811"/>
  <sheetViews>
    <sheetView topLeftCell="G1" zoomScaleNormal="100" workbookViewId="0">
      <pane ySplit="1" topLeftCell="A127" activePane="bottomLeft" state="frozen"/>
      <selection pane="bottomLeft" activeCell="G1" sqref="G1"/>
    </sheetView>
  </sheetViews>
  <sheetFormatPr baseColWidth="10" defaultColWidth="9.28515625" defaultRowHeight="12.75" x14ac:dyDescent="0.25"/>
  <cols>
    <col min="1" max="1" width="16.5703125" style="89" customWidth="1"/>
    <col min="2" max="2" width="11.5703125" style="89" customWidth="1"/>
    <col min="3" max="3" width="33.5703125" style="89" customWidth="1"/>
    <col min="4" max="4" width="9.42578125" style="89" customWidth="1"/>
    <col min="5" max="5" width="9" style="89" customWidth="1"/>
    <col min="6" max="6" width="95.5703125" style="89" customWidth="1"/>
    <col min="7" max="7" width="60.42578125" style="89" customWidth="1"/>
    <col min="8" max="10" width="9" style="89" customWidth="1"/>
    <col min="11" max="16" width="6.5703125" style="89" customWidth="1"/>
    <col min="17" max="17" width="8.5703125" style="89" customWidth="1"/>
    <col min="18" max="18" width="14" style="89" customWidth="1"/>
    <col min="19" max="20" width="6.5703125" style="89" customWidth="1"/>
    <col min="21" max="23" width="8.28515625" style="89" customWidth="1"/>
    <col min="24" max="24" width="14" style="89" customWidth="1"/>
    <col min="25" max="25" width="25.5703125" style="89" customWidth="1"/>
    <col min="26" max="26" width="9" style="89" customWidth="1"/>
    <col min="27" max="27" width="25.28515625" style="89" customWidth="1"/>
    <col min="28" max="33" width="9.28515625" style="89"/>
    <col min="34" max="35" width="95.5703125" style="89" customWidth="1"/>
    <col min="36" max="16384" width="9.28515625" style="89"/>
  </cols>
  <sheetData>
    <row r="1" spans="1:48" s="88" customFormat="1" ht="51" x14ac:dyDescent="0.25">
      <c r="A1" s="18" t="s">
        <v>325</v>
      </c>
      <c r="B1" s="18" t="s">
        <v>326</v>
      </c>
      <c r="C1" s="18" t="s">
        <v>611</v>
      </c>
      <c r="D1" s="19">
        <v>2</v>
      </c>
      <c r="E1" s="19">
        <v>3</v>
      </c>
      <c r="F1" s="18" t="s">
        <v>324</v>
      </c>
      <c r="G1" s="18" t="s">
        <v>323</v>
      </c>
      <c r="H1" s="18" t="s">
        <v>328</v>
      </c>
      <c r="I1" s="18" t="s">
        <v>327</v>
      </c>
      <c r="J1" s="18" t="s">
        <v>307</v>
      </c>
      <c r="K1" s="18" t="s">
        <v>0</v>
      </c>
      <c r="L1" s="18" t="s">
        <v>1</v>
      </c>
      <c r="M1" s="18" t="s">
        <v>2</v>
      </c>
      <c r="N1" s="18" t="s">
        <v>3</v>
      </c>
      <c r="O1" s="18" t="s">
        <v>4</v>
      </c>
      <c r="P1" s="18" t="s">
        <v>5</v>
      </c>
      <c r="Q1" s="18" t="s">
        <v>7</v>
      </c>
      <c r="R1" s="18" t="s">
        <v>6</v>
      </c>
      <c r="S1" s="18" t="s">
        <v>303</v>
      </c>
      <c r="T1" s="18" t="s">
        <v>657</v>
      </c>
      <c r="U1" s="18" t="s">
        <v>329</v>
      </c>
      <c r="V1" s="18" t="s">
        <v>18</v>
      </c>
      <c r="W1" s="18" t="s">
        <v>302</v>
      </c>
      <c r="X1" s="18" t="s">
        <v>877</v>
      </c>
      <c r="Y1" s="31"/>
      <c r="Z1" s="31"/>
      <c r="AA1" s="31"/>
      <c r="AB1" s="31"/>
      <c r="AC1" s="31"/>
      <c r="AD1" s="31"/>
      <c r="AE1" s="31"/>
      <c r="AF1" s="31"/>
      <c r="AG1" s="31"/>
      <c r="AH1" s="32">
        <v>5</v>
      </c>
      <c r="AI1" s="32">
        <v>4</v>
      </c>
      <c r="AJ1" s="32"/>
      <c r="AK1" s="32"/>
      <c r="AL1" s="32"/>
      <c r="AM1" s="32"/>
      <c r="AN1" s="32"/>
      <c r="AO1" s="32"/>
      <c r="AP1" s="32"/>
      <c r="AQ1" s="32"/>
      <c r="AR1" s="32"/>
      <c r="AS1" s="32"/>
      <c r="AT1" s="32"/>
      <c r="AU1" s="32"/>
      <c r="AV1" s="32"/>
    </row>
    <row r="2" spans="1:48" ht="38.25" x14ac:dyDescent="0.25">
      <c r="A2" s="89" t="s">
        <v>868</v>
      </c>
      <c r="B2" s="89" t="s">
        <v>16</v>
      </c>
      <c r="C2" s="89" t="str">
        <f>CONCATENATE(B2," ",TEXT(ROW(B2),"000"))</f>
        <v>A.06.3.1 002</v>
      </c>
      <c r="D2" s="90" t="s">
        <v>612</v>
      </c>
      <c r="E2" s="89" t="s">
        <v>309</v>
      </c>
      <c r="F2" s="91" t="s">
        <v>21</v>
      </c>
      <c r="G2" s="20" t="s">
        <v>1466</v>
      </c>
      <c r="H2" s="91"/>
      <c r="I2" s="91"/>
      <c r="K2" s="89" t="s">
        <v>17</v>
      </c>
      <c r="L2" s="89" t="s">
        <v>17</v>
      </c>
      <c r="M2" s="89" t="s">
        <v>17</v>
      </c>
      <c r="N2" s="89" t="s">
        <v>17</v>
      </c>
      <c r="O2" s="89" t="s">
        <v>305</v>
      </c>
      <c r="P2" s="89" t="s">
        <v>305</v>
      </c>
      <c r="Q2" s="89" t="s">
        <v>10</v>
      </c>
      <c r="R2" s="89" t="s">
        <v>10</v>
      </c>
      <c r="S2" s="89" t="s">
        <v>876</v>
      </c>
      <c r="T2" s="89" t="s">
        <v>10</v>
      </c>
      <c r="V2" s="89" t="s">
        <v>17</v>
      </c>
      <c r="W2" s="89" t="s">
        <v>305</v>
      </c>
      <c r="X2" s="89" t="s">
        <v>10</v>
      </c>
      <c r="Y2" s="92" t="str">
        <f>CONCATENATE(A2," ",B2," ",D2)</f>
        <v>CD 02900 (C/ISP) A.06.3.1 Question</v>
      </c>
      <c r="AH2" s="89" t="str">
        <f>IFERROR(VLOOKUP($Y2,#REF!,AH$1,FALSE),"")</f>
        <v/>
      </c>
      <c r="AI2" s="89" t="str">
        <f>IFERROR(VLOOKUP($Y2,#REF!,AI$1,FALSE),"")</f>
        <v/>
      </c>
    </row>
    <row r="3" spans="1:48" ht="76.5" x14ac:dyDescent="0.25">
      <c r="A3" s="89" t="s">
        <v>868</v>
      </c>
      <c r="B3" s="89" t="s">
        <v>16</v>
      </c>
      <c r="C3" s="89" t="str">
        <f t="shared" ref="C3:C66" si="0">CONCATENATE(B3," ",TEXT(ROW(B3),"000"))</f>
        <v>A.06.3.1 003</v>
      </c>
      <c r="D3" s="93" t="s">
        <v>601</v>
      </c>
      <c r="E3" s="89" t="s">
        <v>8</v>
      </c>
      <c r="F3" s="91" t="s">
        <v>1462</v>
      </c>
      <c r="G3" s="91" t="s">
        <v>422</v>
      </c>
      <c r="H3" s="91"/>
      <c r="I3" s="91"/>
      <c r="K3" s="89" t="s">
        <v>17</v>
      </c>
      <c r="L3" s="89" t="s">
        <v>17</v>
      </c>
      <c r="M3" s="89" t="s">
        <v>17</v>
      </c>
      <c r="N3" s="89" t="s">
        <v>17</v>
      </c>
      <c r="O3" s="89" t="s">
        <v>305</v>
      </c>
      <c r="P3" s="89" t="s">
        <v>305</v>
      </c>
      <c r="Q3" s="89" t="s">
        <v>10</v>
      </c>
      <c r="R3" s="89" t="s">
        <v>10</v>
      </c>
      <c r="S3" s="89" t="s">
        <v>876</v>
      </c>
      <c r="T3" s="89" t="s">
        <v>10</v>
      </c>
      <c r="V3" s="89" t="s">
        <v>17</v>
      </c>
      <c r="W3" s="89" t="s">
        <v>305</v>
      </c>
      <c r="X3" s="89" t="s">
        <v>10</v>
      </c>
      <c r="Y3" s="92" t="str">
        <f t="shared" ref="Y3:Y7" si="1">CONCATENATE(A3," ",B3," ",D3)</f>
        <v>CD 02900 (C/ISP) A.06.3.1 (01)</v>
      </c>
      <c r="AH3" s="89" t="str">
        <f>IFERROR(VLOOKUP($Y3,#REF!,AH$1,FALSE),"")</f>
        <v/>
      </c>
      <c r="AI3" s="89" t="str">
        <f>IFERROR(VLOOKUP($Y3,#REF!,AI$1,FALSE),"")</f>
        <v/>
      </c>
    </row>
    <row r="4" spans="1:48" ht="38.25" x14ac:dyDescent="0.25">
      <c r="A4" s="89" t="s">
        <v>868</v>
      </c>
      <c r="B4" s="89" t="s">
        <v>16</v>
      </c>
      <c r="C4" s="89" t="str">
        <f t="shared" si="0"/>
        <v>A.06.3.1 004</v>
      </c>
      <c r="D4" s="93" t="s">
        <v>602</v>
      </c>
      <c r="E4" s="89" t="s">
        <v>8</v>
      </c>
      <c r="F4" s="91" t="s">
        <v>424</v>
      </c>
      <c r="G4" s="91" t="s">
        <v>423</v>
      </c>
      <c r="H4" s="91"/>
      <c r="I4" s="91"/>
      <c r="K4" s="89" t="s">
        <v>17</v>
      </c>
      <c r="L4" s="89" t="s">
        <v>17</v>
      </c>
      <c r="M4" s="89" t="s">
        <v>17</v>
      </c>
      <c r="N4" s="89" t="s">
        <v>17</v>
      </c>
      <c r="O4" s="89" t="s">
        <v>305</v>
      </c>
      <c r="P4" s="89" t="s">
        <v>305</v>
      </c>
      <c r="Q4" s="89" t="s">
        <v>10</v>
      </c>
      <c r="R4" s="89" t="s">
        <v>10</v>
      </c>
      <c r="S4" s="89" t="s">
        <v>876</v>
      </c>
      <c r="T4" s="89" t="s">
        <v>10</v>
      </c>
      <c r="V4" s="89" t="s">
        <v>17</v>
      </c>
      <c r="W4" s="89" t="s">
        <v>305</v>
      </c>
      <c r="X4" s="89" t="s">
        <v>10</v>
      </c>
      <c r="Y4" s="92" t="str">
        <f t="shared" si="1"/>
        <v>CD 02900 (C/ISP) A.06.3.1 (02)</v>
      </c>
      <c r="AH4" s="89" t="str">
        <f>IFERROR(VLOOKUP($Y4,#REF!,AH$1,FALSE),"")</f>
        <v/>
      </c>
      <c r="AI4" s="89" t="str">
        <f>IFERROR(VLOOKUP($Y4,#REF!,AI$1,FALSE),"")</f>
        <v/>
      </c>
    </row>
    <row r="5" spans="1:48" ht="25.5" x14ac:dyDescent="0.25">
      <c r="A5" s="89" t="s">
        <v>868</v>
      </c>
      <c r="B5" s="89" t="s">
        <v>16</v>
      </c>
      <c r="C5" s="89" t="str">
        <f t="shared" si="0"/>
        <v>A.06.3.1 005</v>
      </c>
      <c r="D5" s="90" t="s">
        <v>603</v>
      </c>
      <c r="E5" s="89" t="s">
        <v>8</v>
      </c>
      <c r="F5" s="91" t="s">
        <v>19</v>
      </c>
      <c r="G5" s="91"/>
      <c r="H5" s="91"/>
      <c r="I5" s="91"/>
      <c r="K5" s="89" t="s">
        <v>17</v>
      </c>
      <c r="L5" s="89" t="s">
        <v>17</v>
      </c>
      <c r="M5" s="89" t="s">
        <v>17</v>
      </c>
      <c r="N5" s="89" t="s">
        <v>17</v>
      </c>
      <c r="O5" s="89" t="s">
        <v>305</v>
      </c>
      <c r="P5" s="89" t="s">
        <v>305</v>
      </c>
      <c r="Q5" s="89" t="s">
        <v>10</v>
      </c>
      <c r="R5" s="89" t="s">
        <v>10</v>
      </c>
      <c r="S5" s="89" t="s">
        <v>876</v>
      </c>
      <c r="T5" s="89" t="s">
        <v>10</v>
      </c>
      <c r="V5" s="89" t="s">
        <v>10</v>
      </c>
      <c r="W5" s="89" t="s">
        <v>305</v>
      </c>
      <c r="X5" s="89" t="s">
        <v>10</v>
      </c>
      <c r="Y5" s="92" t="str">
        <f t="shared" si="1"/>
        <v>CD 02900 (C/ISP) A.06.3.1 (03)</v>
      </c>
      <c r="AH5" s="89" t="str">
        <f>IFERROR(VLOOKUP($Y5,#REF!,AH$1,FALSE),"")</f>
        <v/>
      </c>
      <c r="AI5" s="89" t="str">
        <f>IFERROR(VLOOKUP($Y5,#REF!,AI$1,FALSE),"")</f>
        <v/>
      </c>
    </row>
    <row r="6" spans="1:48" ht="38.25" x14ac:dyDescent="0.25">
      <c r="A6" s="89" t="s">
        <v>868</v>
      </c>
      <c r="B6" s="89" t="s">
        <v>16</v>
      </c>
      <c r="C6" s="89" t="str">
        <f t="shared" si="0"/>
        <v>A.06.3.1 006</v>
      </c>
      <c r="D6" s="90" t="s">
        <v>604</v>
      </c>
      <c r="E6" s="89" t="s">
        <v>8</v>
      </c>
      <c r="F6" s="91" t="s">
        <v>426</v>
      </c>
      <c r="G6" s="91" t="s">
        <v>425</v>
      </c>
      <c r="H6" s="91"/>
      <c r="I6" s="91"/>
      <c r="K6" s="89" t="s">
        <v>17</v>
      </c>
      <c r="L6" s="89" t="s">
        <v>17</v>
      </c>
      <c r="M6" s="89" t="s">
        <v>17</v>
      </c>
      <c r="N6" s="89" t="s">
        <v>17</v>
      </c>
      <c r="O6" s="89" t="s">
        <v>305</v>
      </c>
      <c r="P6" s="89" t="s">
        <v>305</v>
      </c>
      <c r="Q6" s="89" t="s">
        <v>10</v>
      </c>
      <c r="R6" s="89" t="s">
        <v>10</v>
      </c>
      <c r="S6" s="89" t="s">
        <v>876</v>
      </c>
      <c r="T6" s="89" t="s">
        <v>10</v>
      </c>
      <c r="V6" s="89" t="s">
        <v>17</v>
      </c>
      <c r="W6" s="89" t="s">
        <v>305</v>
      </c>
      <c r="X6" s="89" t="s">
        <v>10</v>
      </c>
      <c r="Y6" s="92" t="str">
        <f t="shared" si="1"/>
        <v>CD 02900 (C/ISP) A.06.3.1 (04)</v>
      </c>
      <c r="AH6" s="89" t="str">
        <f>IFERROR(VLOOKUP($Y6,#REF!,AH$1,FALSE),"")</f>
        <v/>
      </c>
      <c r="AI6" s="89" t="str">
        <f>IFERROR(VLOOKUP($Y6,#REF!,AI$1,FALSE),"")</f>
        <v/>
      </c>
    </row>
    <row r="7" spans="1:48" ht="51" x14ac:dyDescent="0.25">
      <c r="A7" s="89" t="s">
        <v>868</v>
      </c>
      <c r="B7" s="89" t="s">
        <v>16</v>
      </c>
      <c r="C7" s="89" t="str">
        <f t="shared" si="0"/>
        <v>A.06.3.1 007</v>
      </c>
      <c r="D7" s="90" t="s">
        <v>605</v>
      </c>
      <c r="E7" s="89" t="s">
        <v>13</v>
      </c>
      <c r="F7" s="91" t="s">
        <v>20</v>
      </c>
      <c r="G7" s="91"/>
      <c r="H7" s="91"/>
      <c r="I7" s="91"/>
      <c r="K7" s="89" t="s">
        <v>17</v>
      </c>
      <c r="L7" s="89" t="s">
        <v>17</v>
      </c>
      <c r="M7" s="89" t="s">
        <v>17</v>
      </c>
      <c r="N7" s="89" t="s">
        <v>17</v>
      </c>
      <c r="O7" s="89" t="s">
        <v>305</v>
      </c>
      <c r="P7" s="89" t="s">
        <v>305</v>
      </c>
      <c r="Q7" s="89" t="s">
        <v>10</v>
      </c>
      <c r="R7" s="89" t="s">
        <v>10</v>
      </c>
      <c r="S7" s="89" t="s">
        <v>876</v>
      </c>
      <c r="T7" s="89" t="s">
        <v>10</v>
      </c>
      <c r="V7" s="89" t="s">
        <v>10</v>
      </c>
      <c r="W7" s="89" t="s">
        <v>305</v>
      </c>
      <c r="X7" s="89" t="s">
        <v>10</v>
      </c>
      <c r="Y7" s="92" t="str">
        <f t="shared" si="1"/>
        <v>CD 02900 (C/ISP) A.06.3.1 (05)</v>
      </c>
      <c r="AH7" s="89" t="str">
        <f>IFERROR(VLOOKUP($Y7,#REF!,AH$1,FALSE),"")</f>
        <v/>
      </c>
      <c r="AI7" s="89" t="str">
        <f>IFERROR(VLOOKUP($Y7,#REF!,AI$1,FALSE),"")</f>
        <v/>
      </c>
    </row>
    <row r="8" spans="1:48" ht="38.25" x14ac:dyDescent="0.25">
      <c r="A8" s="89" t="s">
        <v>868</v>
      </c>
      <c r="B8" s="89" t="s">
        <v>22</v>
      </c>
      <c r="C8" s="89" t="str">
        <f t="shared" si="0"/>
        <v>A.07.2.2 008</v>
      </c>
      <c r="D8" s="90" t="s">
        <v>612</v>
      </c>
      <c r="E8" s="89" t="s">
        <v>309</v>
      </c>
      <c r="F8" s="91" t="s">
        <v>36</v>
      </c>
      <c r="G8" s="20" t="s">
        <v>620</v>
      </c>
      <c r="H8" s="91"/>
      <c r="I8" s="91"/>
      <c r="K8" s="89" t="s">
        <v>17</v>
      </c>
      <c r="L8" s="89" t="s">
        <v>17</v>
      </c>
      <c r="M8" s="89" t="s">
        <v>17</v>
      </c>
      <c r="N8" s="89" t="s">
        <v>17</v>
      </c>
      <c r="O8" s="89" t="s">
        <v>305</v>
      </c>
      <c r="P8" s="89" t="s">
        <v>305</v>
      </c>
      <c r="Q8" s="89" t="s">
        <v>17</v>
      </c>
      <c r="R8" s="89" t="s">
        <v>17</v>
      </c>
      <c r="S8" s="89" t="s">
        <v>17</v>
      </c>
      <c r="T8" s="89" t="s">
        <v>17</v>
      </c>
      <c r="U8" s="89" t="s">
        <v>17</v>
      </c>
      <c r="W8" s="89" t="s">
        <v>305</v>
      </c>
      <c r="X8" s="89" t="s">
        <v>17</v>
      </c>
      <c r="Y8" s="92"/>
      <c r="AH8" s="89" t="str">
        <f>IFERROR(VLOOKUP($Y8,#REF!,AH$1,FALSE),"")</f>
        <v/>
      </c>
      <c r="AI8" s="89" t="str">
        <f>IFERROR(VLOOKUP($Y8,#REF!,AI$1,FALSE),"")</f>
        <v/>
      </c>
    </row>
    <row r="9" spans="1:48" ht="25.5" x14ac:dyDescent="0.25">
      <c r="A9" s="89" t="s">
        <v>868</v>
      </c>
      <c r="B9" s="89" t="s">
        <v>22</v>
      </c>
      <c r="C9" s="89" t="str">
        <f t="shared" si="0"/>
        <v>A.07.2.2 009</v>
      </c>
      <c r="D9" s="90" t="s">
        <v>9</v>
      </c>
      <c r="E9" s="89" t="s">
        <v>8</v>
      </c>
      <c r="F9" s="91" t="s">
        <v>23</v>
      </c>
      <c r="G9" s="91"/>
      <c r="H9" s="91"/>
      <c r="I9" s="91"/>
      <c r="K9" s="89" t="s">
        <v>17</v>
      </c>
      <c r="L9" s="89" t="s">
        <v>17</v>
      </c>
      <c r="M9" s="89" t="s">
        <v>17</v>
      </c>
      <c r="N9" s="89" t="s">
        <v>17</v>
      </c>
      <c r="O9" s="89" t="s">
        <v>305</v>
      </c>
      <c r="P9" s="89" t="s">
        <v>305</v>
      </c>
      <c r="Q9" s="89" t="s">
        <v>17</v>
      </c>
      <c r="R9" s="89" t="s">
        <v>17</v>
      </c>
      <c r="S9" s="89" t="s">
        <v>17</v>
      </c>
      <c r="T9" s="89" t="s">
        <v>17</v>
      </c>
      <c r="U9" s="89" t="s">
        <v>17</v>
      </c>
      <c r="V9" s="89" t="s">
        <v>10</v>
      </c>
      <c r="W9" s="89" t="s">
        <v>305</v>
      </c>
      <c r="X9" s="89" t="s">
        <v>17</v>
      </c>
      <c r="Y9" s="92"/>
      <c r="AH9" s="89" t="str">
        <f>IFERROR(VLOOKUP($Y9,#REF!,AH$1,FALSE),"")</f>
        <v/>
      </c>
      <c r="AI9" s="89" t="str">
        <f>IFERROR(VLOOKUP($Y9,#REF!,AI$1,FALSE),"")</f>
        <v/>
      </c>
    </row>
    <row r="10" spans="1:48" ht="38.25" x14ac:dyDescent="0.25">
      <c r="A10" s="89" t="s">
        <v>868</v>
      </c>
      <c r="B10" s="89" t="s">
        <v>22</v>
      </c>
      <c r="C10" s="89" t="str">
        <f t="shared" si="0"/>
        <v>A.07.2.2 010</v>
      </c>
      <c r="D10" s="90" t="s">
        <v>11</v>
      </c>
      <c r="E10" s="89" t="s">
        <v>8</v>
      </c>
      <c r="F10" s="91" t="s">
        <v>24</v>
      </c>
      <c r="G10" s="91"/>
      <c r="H10" s="91"/>
      <c r="I10" s="91"/>
      <c r="K10" s="89" t="s">
        <v>17</v>
      </c>
      <c r="L10" s="89" t="s">
        <v>17</v>
      </c>
      <c r="M10" s="89" t="s">
        <v>17</v>
      </c>
      <c r="N10" s="89" t="s">
        <v>17</v>
      </c>
      <c r="O10" s="89" t="s">
        <v>305</v>
      </c>
      <c r="P10" s="89" t="s">
        <v>305</v>
      </c>
      <c r="Q10" s="89" t="s">
        <v>17</v>
      </c>
      <c r="R10" s="89" t="s">
        <v>17</v>
      </c>
      <c r="S10" s="89" t="s">
        <v>17</v>
      </c>
      <c r="T10" s="89" t="s">
        <v>17</v>
      </c>
      <c r="U10" s="89" t="s">
        <v>17</v>
      </c>
      <c r="V10" s="89" t="s">
        <v>10</v>
      </c>
      <c r="W10" s="89" t="s">
        <v>305</v>
      </c>
      <c r="X10" s="89" t="s">
        <v>17</v>
      </c>
      <c r="Y10" s="92"/>
      <c r="AH10" s="89" t="str">
        <f>IFERROR(VLOOKUP($Y10,#REF!,AH$1,FALSE),"")</f>
        <v/>
      </c>
      <c r="AI10" s="89" t="str">
        <f>IFERROR(VLOOKUP($Y10,#REF!,AI$1,FALSE),"")</f>
        <v/>
      </c>
    </row>
    <row r="11" spans="1:48" ht="38.25" x14ac:dyDescent="0.25">
      <c r="A11" s="89" t="s">
        <v>868</v>
      </c>
      <c r="B11" s="89" t="s">
        <v>22</v>
      </c>
      <c r="C11" s="89" t="str">
        <f t="shared" si="0"/>
        <v>A.07.2.2 011</v>
      </c>
      <c r="D11" s="90" t="s">
        <v>12</v>
      </c>
      <c r="E11" s="89" t="s">
        <v>8</v>
      </c>
      <c r="F11" s="91" t="s">
        <v>25</v>
      </c>
      <c r="G11" s="91"/>
      <c r="H11" s="91"/>
      <c r="I11" s="91"/>
      <c r="K11" s="89" t="s">
        <v>17</v>
      </c>
      <c r="L11" s="89" t="s">
        <v>17</v>
      </c>
      <c r="M11" s="89" t="s">
        <v>17</v>
      </c>
      <c r="N11" s="89" t="s">
        <v>17</v>
      </c>
      <c r="O11" s="89" t="s">
        <v>305</v>
      </c>
      <c r="P11" s="89" t="s">
        <v>305</v>
      </c>
      <c r="Q11" s="89" t="s">
        <v>17</v>
      </c>
      <c r="R11" s="89" t="s">
        <v>17</v>
      </c>
      <c r="S11" s="89" t="s">
        <v>17</v>
      </c>
      <c r="T11" s="89" t="s">
        <v>17</v>
      </c>
      <c r="U11" s="89" t="s">
        <v>17</v>
      </c>
      <c r="V11" s="89" t="s">
        <v>10</v>
      </c>
      <c r="W11" s="89" t="s">
        <v>305</v>
      </c>
      <c r="X11" s="89" t="s">
        <v>17</v>
      </c>
      <c r="Y11" s="92"/>
      <c r="AH11" s="89" t="str">
        <f>IFERROR(VLOOKUP($Y11,#REF!,AH$1,FALSE),"")</f>
        <v/>
      </c>
      <c r="AI11" s="89" t="str">
        <f>IFERROR(VLOOKUP($Y11,#REF!,AI$1,FALSE),"")</f>
        <v/>
      </c>
    </row>
    <row r="12" spans="1:48" ht="38.25" x14ac:dyDescent="0.25">
      <c r="A12" s="89" t="s">
        <v>868</v>
      </c>
      <c r="B12" s="89" t="s">
        <v>22</v>
      </c>
      <c r="C12" s="89" t="str">
        <f t="shared" si="0"/>
        <v>A.07.2.2 012</v>
      </c>
      <c r="D12" s="90" t="s">
        <v>14</v>
      </c>
      <c r="E12" s="89" t="s">
        <v>8</v>
      </c>
      <c r="F12" s="91" t="s">
        <v>26</v>
      </c>
      <c r="G12" s="91"/>
      <c r="H12" s="91"/>
      <c r="I12" s="91"/>
      <c r="K12" s="89" t="s">
        <v>17</v>
      </c>
      <c r="L12" s="89" t="s">
        <v>17</v>
      </c>
      <c r="M12" s="89" t="s">
        <v>17</v>
      </c>
      <c r="N12" s="89" t="s">
        <v>17</v>
      </c>
      <c r="O12" s="89" t="s">
        <v>305</v>
      </c>
      <c r="P12" s="89" t="s">
        <v>305</v>
      </c>
      <c r="Q12" s="89" t="s">
        <v>17</v>
      </c>
      <c r="R12" s="89" t="s">
        <v>17</v>
      </c>
      <c r="S12" s="89" t="s">
        <v>17</v>
      </c>
      <c r="T12" s="89" t="s">
        <v>17</v>
      </c>
      <c r="U12" s="89" t="s">
        <v>17</v>
      </c>
      <c r="V12" s="89" t="s">
        <v>10</v>
      </c>
      <c r="W12" s="89" t="s">
        <v>305</v>
      </c>
      <c r="X12" s="89" t="s">
        <v>17</v>
      </c>
      <c r="Y12" s="92"/>
      <c r="AH12" s="89" t="str">
        <f>IFERROR(VLOOKUP($Y12,#REF!,AH$1,FALSE),"")</f>
        <v/>
      </c>
      <c r="AI12" s="89" t="str">
        <f>IFERROR(VLOOKUP($Y12,#REF!,AI$1,FALSE),"")</f>
        <v/>
      </c>
    </row>
    <row r="13" spans="1:48" x14ac:dyDescent="0.25">
      <c r="A13" s="89" t="s">
        <v>868</v>
      </c>
      <c r="B13" s="89" t="s">
        <v>22</v>
      </c>
      <c r="C13" s="89" t="str">
        <f t="shared" si="0"/>
        <v>A.07.2.2 013</v>
      </c>
      <c r="D13" s="90" t="s">
        <v>15</v>
      </c>
      <c r="E13" s="89" t="s">
        <v>8</v>
      </c>
      <c r="F13" s="91" t="s">
        <v>27</v>
      </c>
      <c r="G13" s="91"/>
      <c r="H13" s="91"/>
      <c r="I13" s="91"/>
      <c r="K13" s="89" t="s">
        <v>17</v>
      </c>
      <c r="L13" s="89" t="s">
        <v>17</v>
      </c>
      <c r="M13" s="89" t="s">
        <v>17</v>
      </c>
      <c r="N13" s="89" t="s">
        <v>17</v>
      </c>
      <c r="O13" s="89" t="s">
        <v>305</v>
      </c>
      <c r="P13" s="89" t="s">
        <v>305</v>
      </c>
      <c r="Q13" s="89" t="s">
        <v>17</v>
      </c>
      <c r="R13" s="89" t="s">
        <v>17</v>
      </c>
      <c r="S13" s="89" t="s">
        <v>17</v>
      </c>
      <c r="T13" s="89" t="s">
        <v>17</v>
      </c>
      <c r="U13" s="89" t="s">
        <v>17</v>
      </c>
      <c r="V13" s="89" t="s">
        <v>10</v>
      </c>
      <c r="W13" s="89" t="s">
        <v>305</v>
      </c>
      <c r="X13" s="89" t="s">
        <v>17</v>
      </c>
      <c r="Y13" s="92"/>
      <c r="AH13" s="89" t="str">
        <f>IFERROR(VLOOKUP($Y13,#REF!,AH$1,FALSE),"")</f>
        <v/>
      </c>
      <c r="AI13" s="89" t="str">
        <f>IFERROR(VLOOKUP($Y13,#REF!,AI$1,FALSE),"")</f>
        <v/>
      </c>
    </row>
    <row r="14" spans="1:48" ht="38.25" x14ac:dyDescent="0.25">
      <c r="A14" s="89" t="s">
        <v>868</v>
      </c>
      <c r="B14" s="89" t="s">
        <v>22</v>
      </c>
      <c r="C14" s="89" t="str">
        <f t="shared" si="0"/>
        <v>A.07.2.2 014</v>
      </c>
      <c r="D14" s="90" t="s">
        <v>28</v>
      </c>
      <c r="E14" s="89" t="s">
        <v>8</v>
      </c>
      <c r="F14" s="91" t="s">
        <v>29</v>
      </c>
      <c r="G14" s="91"/>
      <c r="H14" s="91"/>
      <c r="I14" s="91"/>
      <c r="K14" s="89" t="s">
        <v>17</v>
      </c>
      <c r="L14" s="89" t="s">
        <v>17</v>
      </c>
      <c r="M14" s="89" t="s">
        <v>17</v>
      </c>
      <c r="N14" s="89" t="s">
        <v>17</v>
      </c>
      <c r="O14" s="89" t="s">
        <v>305</v>
      </c>
      <c r="P14" s="89" t="s">
        <v>305</v>
      </c>
      <c r="Q14" s="89" t="s">
        <v>17</v>
      </c>
      <c r="R14" s="89" t="s">
        <v>17</v>
      </c>
      <c r="S14" s="89" t="s">
        <v>17</v>
      </c>
      <c r="T14" s="89" t="s">
        <v>17</v>
      </c>
      <c r="U14" s="89" t="s">
        <v>17</v>
      </c>
      <c r="V14" s="89" t="s">
        <v>10</v>
      </c>
      <c r="W14" s="89" t="s">
        <v>305</v>
      </c>
      <c r="X14" s="89" t="s">
        <v>17</v>
      </c>
      <c r="Y14" s="92"/>
      <c r="AH14" s="89" t="str">
        <f>IFERROR(VLOOKUP($Y14,#REF!,AH$1,FALSE),"")</f>
        <v/>
      </c>
      <c r="AI14" s="89" t="str">
        <f>IFERROR(VLOOKUP($Y14,#REF!,AI$1,FALSE),"")</f>
        <v/>
      </c>
    </row>
    <row r="15" spans="1:48" ht="25.5" x14ac:dyDescent="0.25">
      <c r="A15" s="89" t="s">
        <v>868</v>
      </c>
      <c r="B15" s="89" t="s">
        <v>22</v>
      </c>
      <c r="C15" s="89" t="str">
        <f t="shared" si="0"/>
        <v>A.07.2.2 015</v>
      </c>
      <c r="D15" s="90" t="s">
        <v>32</v>
      </c>
      <c r="E15" s="89" t="s">
        <v>13</v>
      </c>
      <c r="F15" s="91" t="s">
        <v>33</v>
      </c>
      <c r="G15" s="91"/>
      <c r="H15" s="91"/>
      <c r="I15" s="91"/>
      <c r="K15" s="89" t="s">
        <v>17</v>
      </c>
      <c r="L15" s="89" t="s">
        <v>17</v>
      </c>
      <c r="M15" s="89" t="s">
        <v>17</v>
      </c>
      <c r="N15" s="89" t="s">
        <v>17</v>
      </c>
      <c r="O15" s="89" t="s">
        <v>305</v>
      </c>
      <c r="P15" s="89" t="s">
        <v>305</v>
      </c>
      <c r="Q15" s="89" t="s">
        <v>17</v>
      </c>
      <c r="R15" s="89" t="s">
        <v>17</v>
      </c>
      <c r="S15" s="89" t="s">
        <v>17</v>
      </c>
      <c r="T15" s="89" t="s">
        <v>17</v>
      </c>
      <c r="U15" s="89" t="s">
        <v>17</v>
      </c>
      <c r="V15" s="89" t="s">
        <v>10</v>
      </c>
      <c r="W15" s="89" t="s">
        <v>305</v>
      </c>
      <c r="X15" s="89" t="s">
        <v>17</v>
      </c>
      <c r="Y15" s="92"/>
      <c r="AH15" s="89" t="str">
        <f>IFERROR(VLOOKUP($Y15,#REF!,AH$1,FALSE),"")</f>
        <v/>
      </c>
      <c r="AI15" s="89" t="str">
        <f>IFERROR(VLOOKUP($Y15,#REF!,AI$1,FALSE),"")</f>
        <v/>
      </c>
    </row>
    <row r="16" spans="1:48" ht="25.5" x14ac:dyDescent="0.25">
      <c r="A16" s="89" t="s">
        <v>868</v>
      </c>
      <c r="B16" s="89" t="s">
        <v>22</v>
      </c>
      <c r="C16" s="89" t="str">
        <f t="shared" si="0"/>
        <v>A.07.2.2 016</v>
      </c>
      <c r="D16" s="90" t="s">
        <v>30</v>
      </c>
      <c r="E16" s="89" t="s">
        <v>8</v>
      </c>
      <c r="F16" s="91" t="s">
        <v>31</v>
      </c>
      <c r="G16" s="91"/>
      <c r="H16" s="91"/>
      <c r="I16" s="91"/>
      <c r="K16" s="89" t="s">
        <v>17</v>
      </c>
      <c r="L16" s="89" t="s">
        <v>17</v>
      </c>
      <c r="M16" s="89" t="s">
        <v>17</v>
      </c>
      <c r="N16" s="89" t="s">
        <v>17</v>
      </c>
      <c r="O16" s="89" t="s">
        <v>305</v>
      </c>
      <c r="P16" s="89" t="s">
        <v>305</v>
      </c>
      <c r="Q16" s="89" t="s">
        <v>17</v>
      </c>
      <c r="R16" s="89" t="s">
        <v>17</v>
      </c>
      <c r="S16" s="89" t="s">
        <v>17</v>
      </c>
      <c r="T16" s="89" t="s">
        <v>17</v>
      </c>
      <c r="U16" s="89" t="s">
        <v>17</v>
      </c>
      <c r="V16" s="89" t="s">
        <v>10</v>
      </c>
      <c r="W16" s="89" t="s">
        <v>305</v>
      </c>
      <c r="X16" s="89" t="s">
        <v>17</v>
      </c>
      <c r="Y16" s="92"/>
      <c r="AH16" s="89" t="str">
        <f>IFERROR(VLOOKUP($Y16,#REF!,AH$1,FALSE),"")</f>
        <v/>
      </c>
      <c r="AI16" s="89" t="str">
        <f>IFERROR(VLOOKUP($Y16,#REF!,AI$1,FALSE),"")</f>
        <v/>
      </c>
    </row>
    <row r="17" spans="1:35" ht="38.25" x14ac:dyDescent="0.25">
      <c r="A17" s="89" t="s">
        <v>868</v>
      </c>
      <c r="B17" s="89" t="s">
        <v>22</v>
      </c>
      <c r="C17" s="89" t="str">
        <f t="shared" si="0"/>
        <v>A.07.2.2 017</v>
      </c>
      <c r="D17" s="90" t="s">
        <v>34</v>
      </c>
      <c r="E17" s="89" t="s">
        <v>13</v>
      </c>
      <c r="F17" s="91" t="s">
        <v>35</v>
      </c>
      <c r="G17" s="91"/>
      <c r="H17" s="91"/>
      <c r="I17" s="91"/>
      <c r="K17" s="89" t="s">
        <v>17</v>
      </c>
      <c r="L17" s="89" t="s">
        <v>17</v>
      </c>
      <c r="M17" s="89" t="s">
        <v>17</v>
      </c>
      <c r="N17" s="89" t="s">
        <v>17</v>
      </c>
      <c r="O17" s="89" t="s">
        <v>305</v>
      </c>
      <c r="P17" s="89" t="s">
        <v>305</v>
      </c>
      <c r="Q17" s="89" t="s">
        <v>17</v>
      </c>
      <c r="R17" s="89" t="s">
        <v>17</v>
      </c>
      <c r="S17" s="89" t="s">
        <v>17</v>
      </c>
      <c r="T17" s="89" t="s">
        <v>17</v>
      </c>
      <c r="U17" s="89" t="s">
        <v>17</v>
      </c>
      <c r="V17" s="89" t="s">
        <v>10</v>
      </c>
      <c r="W17" s="89" t="s">
        <v>305</v>
      </c>
      <c r="X17" s="89" t="s">
        <v>17</v>
      </c>
      <c r="Y17" s="92"/>
      <c r="AH17" s="89" t="str">
        <f>IFERROR(VLOOKUP($Y17,#REF!,AH$1,FALSE),"")</f>
        <v/>
      </c>
      <c r="AI17" s="89" t="str">
        <f>IFERROR(VLOOKUP($Y17,#REF!,AI$1,FALSE),"")</f>
        <v/>
      </c>
    </row>
    <row r="18" spans="1:35" ht="25.5" x14ac:dyDescent="0.25">
      <c r="A18" s="89" t="s">
        <v>868</v>
      </c>
      <c r="B18" s="89" t="s">
        <v>37</v>
      </c>
      <c r="C18" s="89" t="str">
        <f t="shared" si="0"/>
        <v>A.08.1.1 018</v>
      </c>
      <c r="D18" s="90" t="s">
        <v>612</v>
      </c>
      <c r="E18" s="89" t="s">
        <v>309</v>
      </c>
      <c r="F18" s="91" t="s">
        <v>41</v>
      </c>
      <c r="G18" s="20" t="s">
        <v>621</v>
      </c>
      <c r="H18" s="91"/>
      <c r="I18" s="91"/>
      <c r="K18" s="89" t="s">
        <v>17</v>
      </c>
      <c r="L18" s="89" t="s">
        <v>17</v>
      </c>
      <c r="M18" s="89" t="s">
        <v>17</v>
      </c>
      <c r="N18" s="89" t="s">
        <v>17</v>
      </c>
      <c r="O18" s="89" t="s">
        <v>305</v>
      </c>
      <c r="P18" s="89" t="s">
        <v>305</v>
      </c>
      <c r="Q18" s="89" t="s">
        <v>17</v>
      </c>
      <c r="R18" s="89" t="s">
        <v>17</v>
      </c>
      <c r="S18" s="89" t="s">
        <v>17</v>
      </c>
      <c r="T18" s="89" t="s">
        <v>17</v>
      </c>
      <c r="U18" s="89" t="s">
        <v>17</v>
      </c>
      <c r="V18" s="89" t="s">
        <v>10</v>
      </c>
      <c r="W18" s="89" t="s">
        <v>305</v>
      </c>
      <c r="X18" s="89" t="s">
        <v>17</v>
      </c>
      <c r="Y18" s="92"/>
      <c r="AH18" s="89" t="str">
        <f>IFERROR(VLOOKUP($Y18,#REF!,AH$1,FALSE),"")</f>
        <v/>
      </c>
      <c r="AI18" s="89" t="str">
        <f>IFERROR(VLOOKUP($Y18,#REF!,AI$1,FALSE),"")</f>
        <v/>
      </c>
    </row>
    <row r="19" spans="1:35" ht="25.5" x14ac:dyDescent="0.25">
      <c r="A19" s="89" t="s">
        <v>868</v>
      </c>
      <c r="B19" s="89" t="s">
        <v>37</v>
      </c>
      <c r="C19" s="89" t="str">
        <f t="shared" si="0"/>
        <v>A.08.1.1 019</v>
      </c>
      <c r="D19" s="90" t="s">
        <v>9</v>
      </c>
      <c r="E19" s="89" t="s">
        <v>8</v>
      </c>
      <c r="F19" s="91" t="s">
        <v>38</v>
      </c>
      <c r="G19" s="91"/>
      <c r="H19" s="91"/>
      <c r="I19" s="91"/>
      <c r="K19" s="89" t="s">
        <v>17</v>
      </c>
      <c r="L19" s="89" t="s">
        <v>17</v>
      </c>
      <c r="M19" s="89" t="s">
        <v>17</v>
      </c>
      <c r="N19" s="89" t="s">
        <v>17</v>
      </c>
      <c r="O19" s="89" t="s">
        <v>305</v>
      </c>
      <c r="P19" s="89" t="s">
        <v>305</v>
      </c>
      <c r="Q19" s="89" t="s">
        <v>17</v>
      </c>
      <c r="R19" s="89" t="s">
        <v>17</v>
      </c>
      <c r="S19" s="89" t="s">
        <v>17</v>
      </c>
      <c r="T19" s="89" t="s">
        <v>17</v>
      </c>
      <c r="U19" s="89" t="s">
        <v>17</v>
      </c>
      <c r="V19" s="89" t="s">
        <v>10</v>
      </c>
      <c r="W19" s="89" t="s">
        <v>305</v>
      </c>
      <c r="X19" s="89" t="s">
        <v>17</v>
      </c>
      <c r="Y19" s="92"/>
      <c r="AH19" s="89" t="str">
        <f>IFERROR(VLOOKUP($Y19,#REF!,AH$1,FALSE),"")</f>
        <v/>
      </c>
      <c r="AI19" s="89" t="str">
        <f>IFERROR(VLOOKUP($Y19,#REF!,AI$1,FALSE),"")</f>
        <v/>
      </c>
    </row>
    <row r="20" spans="1:35" ht="25.5" x14ac:dyDescent="0.25">
      <c r="A20" s="89" t="s">
        <v>868</v>
      </c>
      <c r="B20" s="89" t="s">
        <v>37</v>
      </c>
      <c r="C20" s="89" t="str">
        <f t="shared" si="0"/>
        <v>A.08.1.1 020</v>
      </c>
      <c r="D20" s="90" t="s">
        <v>11</v>
      </c>
      <c r="E20" s="89" t="s">
        <v>8</v>
      </c>
      <c r="F20" s="91" t="s">
        <v>39</v>
      </c>
      <c r="G20" s="91"/>
      <c r="H20" s="91"/>
      <c r="I20" s="91"/>
      <c r="K20" s="89" t="s">
        <v>17</v>
      </c>
      <c r="L20" s="89" t="s">
        <v>17</v>
      </c>
      <c r="M20" s="89" t="s">
        <v>17</v>
      </c>
      <c r="N20" s="89" t="s">
        <v>17</v>
      </c>
      <c r="O20" s="89" t="s">
        <v>305</v>
      </c>
      <c r="P20" s="89" t="s">
        <v>305</v>
      </c>
      <c r="Q20" s="89" t="s">
        <v>17</v>
      </c>
      <c r="R20" s="89" t="s">
        <v>17</v>
      </c>
      <c r="S20" s="89" t="s">
        <v>17</v>
      </c>
      <c r="T20" s="89" t="s">
        <v>17</v>
      </c>
      <c r="U20" s="89" t="s">
        <v>17</v>
      </c>
      <c r="W20" s="89" t="s">
        <v>305</v>
      </c>
      <c r="X20" s="89" t="s">
        <v>17</v>
      </c>
      <c r="Y20" s="92"/>
      <c r="AH20" s="89" t="str">
        <f>IFERROR(VLOOKUP($Y20,#REF!,AH$1,FALSE),"")</f>
        <v/>
      </c>
      <c r="AI20" s="89" t="str">
        <f>IFERROR(VLOOKUP($Y20,#REF!,AI$1,FALSE),"")</f>
        <v/>
      </c>
    </row>
    <row r="21" spans="1:35" ht="38.25" x14ac:dyDescent="0.25">
      <c r="A21" s="89" t="s">
        <v>868</v>
      </c>
      <c r="B21" s="89" t="s">
        <v>37</v>
      </c>
      <c r="C21" s="89" t="str">
        <f t="shared" si="0"/>
        <v>A.08.1.1 021</v>
      </c>
      <c r="D21" s="90" t="s">
        <v>12</v>
      </c>
      <c r="E21" s="89" t="s">
        <v>13</v>
      </c>
      <c r="F21" s="91" t="s">
        <v>40</v>
      </c>
      <c r="G21" s="91"/>
      <c r="H21" s="91"/>
      <c r="I21" s="91"/>
      <c r="K21" s="89" t="s">
        <v>17</v>
      </c>
      <c r="L21" s="89" t="s">
        <v>17</v>
      </c>
      <c r="M21" s="89" t="s">
        <v>17</v>
      </c>
      <c r="N21" s="89" t="s">
        <v>17</v>
      </c>
      <c r="O21" s="89" t="s">
        <v>305</v>
      </c>
      <c r="P21" s="89" t="s">
        <v>305</v>
      </c>
      <c r="Q21" s="89" t="s">
        <v>17</v>
      </c>
      <c r="R21" s="89" t="s">
        <v>17</v>
      </c>
      <c r="S21" s="89" t="s">
        <v>17</v>
      </c>
      <c r="T21" s="89" t="s">
        <v>17</v>
      </c>
      <c r="U21" s="89" t="s">
        <v>17</v>
      </c>
      <c r="V21" s="89" t="s">
        <v>10</v>
      </c>
      <c r="W21" s="89" t="s">
        <v>305</v>
      </c>
      <c r="X21" s="89" t="s">
        <v>17</v>
      </c>
      <c r="Y21" s="92"/>
      <c r="AH21" s="89" t="str">
        <f>IFERROR(VLOOKUP($Y21,#REF!,AH$1,FALSE),"")</f>
        <v/>
      </c>
      <c r="AI21" s="89" t="str">
        <f>IFERROR(VLOOKUP($Y21,#REF!,AI$1,FALSE),"")</f>
        <v/>
      </c>
    </row>
    <row r="22" spans="1:35" ht="25.5" x14ac:dyDescent="0.25">
      <c r="A22" s="89" t="s">
        <v>868</v>
      </c>
      <c r="B22" s="89" t="s">
        <v>42</v>
      </c>
      <c r="C22" s="89" t="str">
        <f t="shared" si="0"/>
        <v>A.08.1.2 022</v>
      </c>
      <c r="D22" s="90" t="s">
        <v>612</v>
      </c>
      <c r="E22" s="89" t="s">
        <v>309</v>
      </c>
      <c r="F22" s="91" t="s">
        <v>45</v>
      </c>
      <c r="G22" s="20" t="s">
        <v>622</v>
      </c>
      <c r="H22" s="91"/>
      <c r="I22" s="91"/>
      <c r="K22" s="89" t="s">
        <v>17</v>
      </c>
      <c r="L22" s="89" t="s">
        <v>17</v>
      </c>
      <c r="M22" s="89" t="s">
        <v>17</v>
      </c>
      <c r="N22" s="89" t="s">
        <v>17</v>
      </c>
      <c r="O22" s="89" t="s">
        <v>305</v>
      </c>
      <c r="P22" s="89" t="s">
        <v>305</v>
      </c>
      <c r="Q22" s="89" t="s">
        <v>10</v>
      </c>
      <c r="R22" s="89" t="s">
        <v>17</v>
      </c>
      <c r="S22" s="89" t="s">
        <v>17</v>
      </c>
      <c r="T22" s="89" t="s">
        <v>17</v>
      </c>
      <c r="U22" s="89" t="s">
        <v>17</v>
      </c>
      <c r="V22" s="89" t="s">
        <v>10</v>
      </c>
      <c r="W22" s="89" t="s">
        <v>305</v>
      </c>
      <c r="X22" s="89" t="s">
        <v>17</v>
      </c>
      <c r="Y22" s="92"/>
      <c r="AH22" s="89" t="str">
        <f>IFERROR(VLOOKUP($Y22,#REF!,AH$1,FALSE),"")</f>
        <v/>
      </c>
      <c r="AI22" s="89" t="str">
        <f>IFERROR(VLOOKUP($Y22,#REF!,AI$1,FALSE),"")</f>
        <v/>
      </c>
    </row>
    <row r="23" spans="1:35" ht="38.25" x14ac:dyDescent="0.25">
      <c r="A23" s="89" t="s">
        <v>868</v>
      </c>
      <c r="B23" s="89" t="s">
        <v>42</v>
      </c>
      <c r="C23" s="89" t="str">
        <f t="shared" si="0"/>
        <v>A.08.1.2 023</v>
      </c>
      <c r="D23" s="90" t="s">
        <v>9</v>
      </c>
      <c r="E23" s="89" t="s">
        <v>8</v>
      </c>
      <c r="F23" s="91" t="s">
        <v>43</v>
      </c>
      <c r="G23" s="91"/>
      <c r="H23" s="91"/>
      <c r="I23" s="91"/>
      <c r="K23" s="89" t="s">
        <v>17</v>
      </c>
      <c r="L23" s="89" t="s">
        <v>17</v>
      </c>
      <c r="M23" s="89" t="s">
        <v>17</v>
      </c>
      <c r="N23" s="89" t="s">
        <v>17</v>
      </c>
      <c r="O23" s="89" t="s">
        <v>305</v>
      </c>
      <c r="P23" s="89" t="s">
        <v>305</v>
      </c>
      <c r="Q23" s="89" t="s">
        <v>10</v>
      </c>
      <c r="R23" s="89" t="s">
        <v>10</v>
      </c>
      <c r="S23" s="89" t="s">
        <v>876</v>
      </c>
      <c r="T23" s="89" t="s">
        <v>10</v>
      </c>
      <c r="U23" s="89" t="s">
        <v>10</v>
      </c>
      <c r="V23" s="89" t="s">
        <v>10</v>
      </c>
      <c r="W23" s="89" t="s">
        <v>305</v>
      </c>
      <c r="X23" s="89" t="s">
        <v>10</v>
      </c>
      <c r="Y23" s="92"/>
      <c r="AH23" s="89" t="str">
        <f>IFERROR(VLOOKUP($Y23,#REF!,AH$1,FALSE),"")</f>
        <v/>
      </c>
      <c r="AI23" s="89" t="str">
        <f>IFERROR(VLOOKUP($Y23,#REF!,AI$1,FALSE),"")</f>
        <v/>
      </c>
    </row>
    <row r="24" spans="1:35" ht="38.25" x14ac:dyDescent="0.25">
      <c r="A24" s="89" t="s">
        <v>868</v>
      </c>
      <c r="B24" s="89" t="s">
        <v>42</v>
      </c>
      <c r="C24" s="89" t="str">
        <f t="shared" si="0"/>
        <v>A.08.1.2 024</v>
      </c>
      <c r="D24" s="90" t="s">
        <v>11</v>
      </c>
      <c r="E24" s="89" t="s">
        <v>8</v>
      </c>
      <c r="F24" s="91" t="s">
        <v>44</v>
      </c>
      <c r="G24" s="91"/>
      <c r="H24" s="91"/>
      <c r="I24" s="91"/>
      <c r="K24" s="89" t="s">
        <v>17</v>
      </c>
      <c r="L24" s="89" t="s">
        <v>17</v>
      </c>
      <c r="M24" s="89" t="s">
        <v>17</v>
      </c>
      <c r="N24" s="89" t="s">
        <v>17</v>
      </c>
      <c r="O24" s="89" t="s">
        <v>305</v>
      </c>
      <c r="P24" s="89" t="s">
        <v>305</v>
      </c>
      <c r="Q24" s="89" t="s">
        <v>10</v>
      </c>
      <c r="R24" s="89" t="s">
        <v>17</v>
      </c>
      <c r="S24" s="89" t="s">
        <v>10</v>
      </c>
      <c r="T24" s="89" t="s">
        <v>17</v>
      </c>
      <c r="U24" s="89" t="s">
        <v>17</v>
      </c>
      <c r="W24" s="89" t="s">
        <v>305</v>
      </c>
      <c r="X24" s="89" t="s">
        <v>17</v>
      </c>
      <c r="Y24" s="92"/>
      <c r="AH24" s="89" t="str">
        <f>IFERROR(VLOOKUP($Y24,#REF!,AH$1,FALSE),"")</f>
        <v/>
      </c>
      <c r="AI24" s="89" t="str">
        <f>IFERROR(VLOOKUP($Y24,#REF!,AI$1,FALSE),"")</f>
        <v/>
      </c>
    </row>
    <row r="25" spans="1:35" ht="25.5" x14ac:dyDescent="0.25">
      <c r="A25" s="89" t="s">
        <v>868</v>
      </c>
      <c r="B25" s="89" t="s">
        <v>46</v>
      </c>
      <c r="C25" s="89" t="str">
        <f t="shared" si="0"/>
        <v>A.08.1.5 025</v>
      </c>
      <c r="D25" s="90" t="s">
        <v>612</v>
      </c>
      <c r="E25" s="89" t="s">
        <v>309</v>
      </c>
      <c r="F25" s="91" t="s">
        <v>48</v>
      </c>
      <c r="G25" s="20" t="s">
        <v>623</v>
      </c>
      <c r="H25" s="91"/>
      <c r="I25" s="91"/>
      <c r="K25" s="89" t="s">
        <v>17</v>
      </c>
      <c r="L25" s="89" t="s">
        <v>17</v>
      </c>
      <c r="M25" s="89" t="s">
        <v>17</v>
      </c>
      <c r="N25" s="89" t="s">
        <v>17</v>
      </c>
      <c r="O25" s="89" t="s">
        <v>305</v>
      </c>
      <c r="P25" s="89" t="s">
        <v>305</v>
      </c>
      <c r="Q25" s="89" t="s">
        <v>10</v>
      </c>
      <c r="R25" s="89" t="s">
        <v>10</v>
      </c>
      <c r="S25" s="89" t="s">
        <v>876</v>
      </c>
      <c r="T25" s="89" t="s">
        <v>10</v>
      </c>
      <c r="U25" s="89" t="s">
        <v>10</v>
      </c>
      <c r="V25" s="89" t="s">
        <v>17</v>
      </c>
      <c r="W25" s="89" t="s">
        <v>305</v>
      </c>
      <c r="X25" s="89" t="s">
        <v>10</v>
      </c>
      <c r="Y25" s="92"/>
      <c r="AH25" s="89" t="str">
        <f>IFERROR(VLOOKUP($Y25,#REF!,AH$1,FALSE),"")</f>
        <v/>
      </c>
      <c r="AI25" s="89" t="str">
        <f>IFERROR(VLOOKUP($Y25,#REF!,AI$1,FALSE),"")</f>
        <v/>
      </c>
    </row>
    <row r="26" spans="1:35" ht="51" x14ac:dyDescent="0.25">
      <c r="A26" s="89" t="s">
        <v>868</v>
      </c>
      <c r="B26" s="89" t="s">
        <v>46</v>
      </c>
      <c r="C26" s="89" t="str">
        <f t="shared" si="0"/>
        <v>A.08.1.5 026</v>
      </c>
      <c r="D26" s="90" t="s">
        <v>601</v>
      </c>
      <c r="E26" s="89" t="s">
        <v>8</v>
      </c>
      <c r="F26" s="91" t="s">
        <v>428</v>
      </c>
      <c r="G26" s="91" t="s">
        <v>427</v>
      </c>
      <c r="H26" s="91"/>
      <c r="I26" s="91"/>
      <c r="K26" s="89" t="s">
        <v>17</v>
      </c>
      <c r="L26" s="89" t="s">
        <v>17</v>
      </c>
      <c r="M26" s="89" t="s">
        <v>17</v>
      </c>
      <c r="N26" s="89" t="s">
        <v>17</v>
      </c>
      <c r="O26" s="89" t="s">
        <v>305</v>
      </c>
      <c r="P26" s="89" t="s">
        <v>305</v>
      </c>
      <c r="Q26" s="89" t="s">
        <v>10</v>
      </c>
      <c r="R26" s="89" t="s">
        <v>10</v>
      </c>
      <c r="S26" s="89" t="s">
        <v>876</v>
      </c>
      <c r="T26" s="89" t="s">
        <v>10</v>
      </c>
      <c r="U26" s="89" t="s">
        <v>10</v>
      </c>
      <c r="V26" s="89" t="s">
        <v>17</v>
      </c>
      <c r="W26" s="89" t="s">
        <v>305</v>
      </c>
      <c r="X26" s="89" t="s">
        <v>10</v>
      </c>
      <c r="Y26" s="34"/>
      <c r="AH26" s="89" t="str">
        <f>IFERROR(VLOOKUP($Y26,#REF!,AH$1,FALSE),"")</f>
        <v/>
      </c>
      <c r="AI26" s="89" t="str">
        <f>IFERROR(VLOOKUP($Y26,#REF!,AI$1,FALSE),"")</f>
        <v/>
      </c>
    </row>
    <row r="27" spans="1:35" ht="51" x14ac:dyDescent="0.25">
      <c r="A27" s="89" t="s">
        <v>868</v>
      </c>
      <c r="B27" s="89" t="s">
        <v>46</v>
      </c>
      <c r="C27" s="89" t="str">
        <f t="shared" si="0"/>
        <v>A.08.1.5 027</v>
      </c>
      <c r="D27" s="90" t="s">
        <v>602</v>
      </c>
      <c r="E27" s="89" t="s">
        <v>8</v>
      </c>
      <c r="F27" s="91" t="s">
        <v>430</v>
      </c>
      <c r="G27" s="91" t="s">
        <v>429</v>
      </c>
      <c r="H27" s="91"/>
      <c r="I27" s="91"/>
      <c r="K27" s="89" t="s">
        <v>17</v>
      </c>
      <c r="L27" s="89" t="s">
        <v>17</v>
      </c>
      <c r="M27" s="89" t="s">
        <v>17</v>
      </c>
      <c r="N27" s="89" t="s">
        <v>17</v>
      </c>
      <c r="O27" s="89" t="s">
        <v>305</v>
      </c>
      <c r="P27" s="89" t="s">
        <v>305</v>
      </c>
      <c r="Q27" s="89" t="s">
        <v>10</v>
      </c>
      <c r="R27" s="89" t="s">
        <v>10</v>
      </c>
      <c r="S27" s="89" t="s">
        <v>876</v>
      </c>
      <c r="T27" s="89" t="s">
        <v>10</v>
      </c>
      <c r="U27" s="89" t="s">
        <v>10</v>
      </c>
      <c r="V27" s="89" t="s">
        <v>17</v>
      </c>
      <c r="W27" s="89" t="s">
        <v>305</v>
      </c>
      <c r="X27" s="89" t="s">
        <v>10</v>
      </c>
      <c r="Y27" s="34"/>
      <c r="AH27" s="89" t="str">
        <f>IFERROR(VLOOKUP($Y27,#REF!,AH$1,FALSE),"")</f>
        <v/>
      </c>
      <c r="AI27" s="89" t="str">
        <f>IFERROR(VLOOKUP($Y27,#REF!,AI$1,FALSE),"")</f>
        <v/>
      </c>
    </row>
    <row r="28" spans="1:35" ht="38.25" x14ac:dyDescent="0.25">
      <c r="A28" s="89" t="s">
        <v>868</v>
      </c>
      <c r="B28" s="89" t="s">
        <v>46</v>
      </c>
      <c r="C28" s="89" t="str">
        <f t="shared" si="0"/>
        <v>A.08.1.5 028</v>
      </c>
      <c r="D28" s="90" t="s">
        <v>12</v>
      </c>
      <c r="E28" s="89" t="s">
        <v>13</v>
      </c>
      <c r="F28" s="91" t="s">
        <v>47</v>
      </c>
      <c r="G28" s="91"/>
      <c r="H28" s="91"/>
      <c r="I28" s="91"/>
      <c r="K28" s="89" t="s">
        <v>17</v>
      </c>
      <c r="L28" s="89" t="s">
        <v>17</v>
      </c>
      <c r="M28" s="89" t="s">
        <v>17</v>
      </c>
      <c r="N28" s="89" t="s">
        <v>17</v>
      </c>
      <c r="O28" s="89" t="s">
        <v>305</v>
      </c>
      <c r="P28" s="89" t="s">
        <v>305</v>
      </c>
      <c r="Q28" s="89" t="s">
        <v>10</v>
      </c>
      <c r="R28" s="89" t="s">
        <v>10</v>
      </c>
      <c r="S28" s="89" t="s">
        <v>876</v>
      </c>
      <c r="T28" s="89" t="s">
        <v>10</v>
      </c>
      <c r="U28" s="89" t="s">
        <v>10</v>
      </c>
      <c r="V28" s="89" t="s">
        <v>10</v>
      </c>
      <c r="W28" s="89" t="s">
        <v>305</v>
      </c>
      <c r="X28" s="89" t="s">
        <v>10</v>
      </c>
      <c r="Y28" s="92"/>
      <c r="AH28" s="89" t="str">
        <f>IFERROR(VLOOKUP($Y28,#REF!,AH$1,FALSE),"")</f>
        <v/>
      </c>
      <c r="AI28" s="89" t="str">
        <f>IFERROR(VLOOKUP($Y28,#REF!,AI$1,FALSE),"")</f>
        <v/>
      </c>
    </row>
    <row r="29" spans="1:35" ht="25.5" x14ac:dyDescent="0.25">
      <c r="A29" s="89" t="s">
        <v>868</v>
      </c>
      <c r="B29" s="89" t="s">
        <v>49</v>
      </c>
      <c r="C29" s="89" t="str">
        <f t="shared" si="0"/>
        <v>A.08.2.1 029</v>
      </c>
      <c r="D29" s="90" t="s">
        <v>612</v>
      </c>
      <c r="E29" s="89" t="s">
        <v>309</v>
      </c>
      <c r="F29" s="91" t="s">
        <v>55</v>
      </c>
      <c r="G29" s="20" t="s">
        <v>624</v>
      </c>
      <c r="H29" s="91"/>
      <c r="I29" s="91"/>
      <c r="K29" s="89" t="s">
        <v>17</v>
      </c>
      <c r="L29" s="89" t="s">
        <v>17</v>
      </c>
      <c r="M29" s="89" t="s">
        <v>17</v>
      </c>
      <c r="N29" s="89" t="s">
        <v>17</v>
      </c>
      <c r="O29" s="89" t="s">
        <v>305</v>
      </c>
      <c r="P29" s="89" t="s">
        <v>305</v>
      </c>
      <c r="Q29" s="89" t="s">
        <v>10</v>
      </c>
      <c r="R29" s="89" t="s">
        <v>17</v>
      </c>
      <c r="S29" s="89" t="s">
        <v>17</v>
      </c>
      <c r="T29" s="89" t="s">
        <v>17</v>
      </c>
      <c r="U29" s="89" t="s">
        <v>17</v>
      </c>
      <c r="V29" s="89" t="s">
        <v>10</v>
      </c>
      <c r="W29" s="89" t="s">
        <v>305</v>
      </c>
      <c r="X29" s="89" t="s">
        <v>17</v>
      </c>
      <c r="Y29" s="92"/>
      <c r="AH29" s="89" t="str">
        <f>IFERROR(VLOOKUP($Y29,#REF!,AH$1,FALSE),"")</f>
        <v/>
      </c>
      <c r="AI29" s="89" t="str">
        <f>IFERROR(VLOOKUP($Y29,#REF!,AI$1,FALSE),"")</f>
        <v/>
      </c>
    </row>
    <row r="30" spans="1:35" ht="38.25" x14ac:dyDescent="0.25">
      <c r="A30" s="89" t="s">
        <v>868</v>
      </c>
      <c r="B30" s="89" t="s">
        <v>49</v>
      </c>
      <c r="C30" s="89" t="str">
        <f t="shared" si="0"/>
        <v>A.08.2.1 030</v>
      </c>
      <c r="D30" s="90" t="s">
        <v>9</v>
      </c>
      <c r="E30" s="89" t="s">
        <v>8</v>
      </c>
      <c r="F30" s="91" t="s">
        <v>50</v>
      </c>
      <c r="G30" s="91"/>
      <c r="H30" s="91"/>
      <c r="I30" s="91"/>
      <c r="K30" s="89" t="s">
        <v>17</v>
      </c>
      <c r="L30" s="89" t="s">
        <v>17</v>
      </c>
      <c r="M30" s="89" t="s">
        <v>17</v>
      </c>
      <c r="N30" s="89" t="s">
        <v>17</v>
      </c>
      <c r="O30" s="89" t="s">
        <v>305</v>
      </c>
      <c r="P30" s="89" t="s">
        <v>305</v>
      </c>
      <c r="Q30" s="89" t="s">
        <v>10</v>
      </c>
      <c r="R30" s="89" t="s">
        <v>17</v>
      </c>
      <c r="S30" s="89" t="s">
        <v>17</v>
      </c>
      <c r="T30" s="89" t="s">
        <v>17</v>
      </c>
      <c r="U30" s="89" t="s">
        <v>17</v>
      </c>
      <c r="V30" s="89" t="s">
        <v>10</v>
      </c>
      <c r="W30" s="89" t="s">
        <v>305</v>
      </c>
      <c r="X30" s="89" t="s">
        <v>17</v>
      </c>
      <c r="Y30" s="92"/>
      <c r="AH30" s="89" t="str">
        <f>IFERROR(VLOOKUP($Y30,#REF!,AH$1,FALSE),"")</f>
        <v/>
      </c>
      <c r="AI30" s="89" t="str">
        <f>IFERROR(VLOOKUP($Y30,#REF!,AI$1,FALSE),"")</f>
        <v/>
      </c>
    </row>
    <row r="31" spans="1:35" ht="51" x14ac:dyDescent="0.25">
      <c r="A31" s="89" t="s">
        <v>868</v>
      </c>
      <c r="B31" s="89" t="s">
        <v>49</v>
      </c>
      <c r="C31" s="89" t="str">
        <f t="shared" si="0"/>
        <v>A.08.2.1 031</v>
      </c>
      <c r="D31" s="90" t="s">
        <v>11</v>
      </c>
      <c r="E31" s="89" t="s">
        <v>8</v>
      </c>
      <c r="F31" s="91" t="s">
        <v>51</v>
      </c>
      <c r="G31" s="91"/>
      <c r="H31" s="91"/>
      <c r="I31" s="91"/>
      <c r="K31" s="89" t="s">
        <v>17</v>
      </c>
      <c r="L31" s="89" t="s">
        <v>17</v>
      </c>
      <c r="M31" s="89" t="s">
        <v>17</v>
      </c>
      <c r="N31" s="89" t="s">
        <v>17</v>
      </c>
      <c r="O31" s="89" t="s">
        <v>305</v>
      </c>
      <c r="P31" s="89" t="s">
        <v>305</v>
      </c>
      <c r="Q31" s="89" t="s">
        <v>10</v>
      </c>
      <c r="R31" s="89" t="s">
        <v>17</v>
      </c>
      <c r="S31" s="89" t="s">
        <v>10</v>
      </c>
      <c r="T31" s="89" t="s">
        <v>17</v>
      </c>
      <c r="U31" s="89" t="s">
        <v>17</v>
      </c>
      <c r="V31" s="89" t="s">
        <v>10</v>
      </c>
      <c r="W31" s="89" t="s">
        <v>305</v>
      </c>
      <c r="X31" s="89" t="s">
        <v>17</v>
      </c>
      <c r="Y31" s="92"/>
      <c r="AH31" s="89" t="str">
        <f>IFERROR(VLOOKUP($Y31,#REF!,AH$1,FALSE),"")</f>
        <v/>
      </c>
      <c r="AI31" s="89" t="str">
        <f>IFERROR(VLOOKUP($Y31,#REF!,AI$1,FALSE),"")</f>
        <v/>
      </c>
    </row>
    <row r="32" spans="1:35" ht="63.75" x14ac:dyDescent="0.25">
      <c r="A32" s="89" t="s">
        <v>868</v>
      </c>
      <c r="B32" s="89" t="s">
        <v>49</v>
      </c>
      <c r="C32" s="89" t="str">
        <f t="shared" si="0"/>
        <v>A.08.2.1 032</v>
      </c>
      <c r="D32" s="90" t="s">
        <v>12</v>
      </c>
      <c r="E32" s="89" t="s">
        <v>8</v>
      </c>
      <c r="F32" s="91" t="s">
        <v>52</v>
      </c>
      <c r="G32" s="91"/>
      <c r="H32" s="91"/>
      <c r="I32" s="91"/>
      <c r="K32" s="89" t="s">
        <v>17</v>
      </c>
      <c r="L32" s="89" t="s">
        <v>17</v>
      </c>
      <c r="M32" s="89" t="s">
        <v>17</v>
      </c>
      <c r="N32" s="89" t="s">
        <v>17</v>
      </c>
      <c r="O32" s="89" t="s">
        <v>305</v>
      </c>
      <c r="P32" s="89" t="s">
        <v>305</v>
      </c>
      <c r="Q32" s="89" t="s">
        <v>10</v>
      </c>
      <c r="R32" s="89" t="s">
        <v>17</v>
      </c>
      <c r="S32" s="89" t="s">
        <v>17</v>
      </c>
      <c r="T32" s="89" t="s">
        <v>17</v>
      </c>
      <c r="U32" s="89" t="s">
        <v>17</v>
      </c>
      <c r="V32" s="89" t="s">
        <v>10</v>
      </c>
      <c r="W32" s="89" t="s">
        <v>305</v>
      </c>
      <c r="X32" s="89" t="s">
        <v>17</v>
      </c>
      <c r="Y32" s="92"/>
      <c r="AH32" s="89" t="str">
        <f>IFERROR(VLOOKUP($Y32,#REF!,AH$1,FALSE),"")</f>
        <v/>
      </c>
      <c r="AI32" s="89" t="str">
        <f>IFERROR(VLOOKUP($Y32,#REF!,AI$1,FALSE),"")</f>
        <v/>
      </c>
    </row>
    <row r="33" spans="1:35" ht="25.5" x14ac:dyDescent="0.25">
      <c r="A33" s="89" t="s">
        <v>868</v>
      </c>
      <c r="B33" s="89" t="s">
        <v>49</v>
      </c>
      <c r="C33" s="89" t="str">
        <f t="shared" si="0"/>
        <v>A.08.2.1 033</v>
      </c>
      <c r="D33" s="90" t="s">
        <v>14</v>
      </c>
      <c r="E33" s="89" t="s">
        <v>8</v>
      </c>
      <c r="F33" s="91" t="s">
        <v>53</v>
      </c>
      <c r="G33" s="91"/>
      <c r="H33" s="91"/>
      <c r="I33" s="91"/>
      <c r="K33" s="89" t="s">
        <v>17</v>
      </c>
      <c r="L33" s="89" t="s">
        <v>17</v>
      </c>
      <c r="M33" s="89" t="s">
        <v>17</v>
      </c>
      <c r="N33" s="89" t="s">
        <v>17</v>
      </c>
      <c r="O33" s="89" t="s">
        <v>305</v>
      </c>
      <c r="P33" s="89" t="s">
        <v>305</v>
      </c>
      <c r="Q33" s="89" t="s">
        <v>10</v>
      </c>
      <c r="R33" s="89" t="s">
        <v>17</v>
      </c>
      <c r="S33" s="89" t="s">
        <v>17</v>
      </c>
      <c r="T33" s="89" t="s">
        <v>17</v>
      </c>
      <c r="U33" s="89" t="s">
        <v>17</v>
      </c>
      <c r="V33" s="89" t="s">
        <v>10</v>
      </c>
      <c r="W33" s="89" t="s">
        <v>305</v>
      </c>
      <c r="X33" s="89" t="s">
        <v>17</v>
      </c>
      <c r="Y33" s="92"/>
      <c r="AH33" s="89" t="str">
        <f>IFERROR(VLOOKUP($Y33,#REF!,AH$1,FALSE),"")</f>
        <v/>
      </c>
      <c r="AI33" s="89" t="str">
        <f>IFERROR(VLOOKUP($Y33,#REF!,AI$1,FALSE),"")</f>
        <v/>
      </c>
    </row>
    <row r="34" spans="1:35" ht="38.25" x14ac:dyDescent="0.25">
      <c r="A34" s="89" t="s">
        <v>868</v>
      </c>
      <c r="B34" s="89" t="s">
        <v>49</v>
      </c>
      <c r="C34" s="89" t="str">
        <f t="shared" si="0"/>
        <v>A.08.2.1 034</v>
      </c>
      <c r="D34" s="90" t="s">
        <v>15</v>
      </c>
      <c r="E34" s="89" t="s">
        <v>8</v>
      </c>
      <c r="F34" s="91" t="s">
        <v>54</v>
      </c>
      <c r="G34" s="91"/>
      <c r="H34" s="91"/>
      <c r="I34" s="91"/>
      <c r="K34" s="89" t="s">
        <v>17</v>
      </c>
      <c r="L34" s="89" t="s">
        <v>17</v>
      </c>
      <c r="M34" s="89" t="s">
        <v>17</v>
      </c>
      <c r="N34" s="89" t="s">
        <v>17</v>
      </c>
      <c r="O34" s="89" t="s">
        <v>305</v>
      </c>
      <c r="P34" s="89" t="s">
        <v>305</v>
      </c>
      <c r="Q34" s="89" t="s">
        <v>10</v>
      </c>
      <c r="R34" s="89" t="s">
        <v>10</v>
      </c>
      <c r="S34" s="89" t="s">
        <v>10</v>
      </c>
      <c r="T34" s="89" t="s">
        <v>10</v>
      </c>
      <c r="U34" s="89" t="s">
        <v>10</v>
      </c>
      <c r="V34" s="89" t="s">
        <v>10</v>
      </c>
      <c r="W34" s="89" t="s">
        <v>305</v>
      </c>
      <c r="X34" s="89" t="s">
        <v>10</v>
      </c>
      <c r="Y34" s="92"/>
      <c r="AH34" s="89" t="str">
        <f>IFERROR(VLOOKUP($Y34,#REF!,AH$1,FALSE),"")</f>
        <v/>
      </c>
      <c r="AI34" s="89" t="str">
        <f>IFERROR(VLOOKUP($Y34,#REF!,AI$1,FALSE),"")</f>
        <v/>
      </c>
    </row>
    <row r="35" spans="1:35" ht="25.5" x14ac:dyDescent="0.25">
      <c r="A35" s="89" t="s">
        <v>868</v>
      </c>
      <c r="B35" s="89" t="s">
        <v>56</v>
      </c>
      <c r="C35" s="89" t="str">
        <f t="shared" si="0"/>
        <v>A.08.2.3 035</v>
      </c>
      <c r="D35" s="90" t="s">
        <v>612</v>
      </c>
      <c r="E35" s="89" t="s">
        <v>309</v>
      </c>
      <c r="F35" s="91" t="s">
        <v>1454</v>
      </c>
      <c r="G35" s="91" t="s">
        <v>656</v>
      </c>
      <c r="H35" s="91"/>
      <c r="I35" s="91"/>
      <c r="K35" s="89" t="s">
        <v>17</v>
      </c>
      <c r="L35" s="89" t="s">
        <v>17</v>
      </c>
      <c r="M35" s="89" t="s">
        <v>17</v>
      </c>
      <c r="N35" s="89" t="s">
        <v>17</v>
      </c>
      <c r="O35" s="89" t="s">
        <v>305</v>
      </c>
      <c r="P35" s="89" t="s">
        <v>305</v>
      </c>
      <c r="Q35" s="89" t="s">
        <v>17</v>
      </c>
      <c r="R35" s="89" t="s">
        <v>17</v>
      </c>
      <c r="S35" s="89" t="s">
        <v>17</v>
      </c>
      <c r="T35" s="89" t="s">
        <v>17</v>
      </c>
      <c r="V35" s="89" t="s">
        <v>17</v>
      </c>
      <c r="W35" s="89" t="s">
        <v>305</v>
      </c>
      <c r="X35" s="89" t="s">
        <v>17</v>
      </c>
      <c r="Y35" s="92"/>
      <c r="AH35" s="89" t="str">
        <f>IFERROR(VLOOKUP($Y35,#REF!,AH$1,FALSE),"")</f>
        <v/>
      </c>
      <c r="AI35" s="89" t="str">
        <f>IFERROR(VLOOKUP($Y35,#REF!,AI$1,FALSE),"")</f>
        <v/>
      </c>
    </row>
    <row r="36" spans="1:35" x14ac:dyDescent="0.25">
      <c r="A36" s="89" t="s">
        <v>868</v>
      </c>
      <c r="B36" s="89" t="s">
        <v>56</v>
      </c>
      <c r="C36" s="89" t="str">
        <f t="shared" si="0"/>
        <v>A.08.2.3 036</v>
      </c>
      <c r="D36" s="90" t="s">
        <v>9</v>
      </c>
      <c r="E36" s="89" t="s">
        <v>13</v>
      </c>
      <c r="F36" s="91" t="s">
        <v>64</v>
      </c>
      <c r="G36" s="91"/>
      <c r="H36" s="91"/>
      <c r="I36" s="91"/>
      <c r="K36" s="89" t="s">
        <v>17</v>
      </c>
      <c r="L36" s="89" t="s">
        <v>17</v>
      </c>
      <c r="M36" s="89" t="s">
        <v>17</v>
      </c>
      <c r="N36" s="89" t="s">
        <v>17</v>
      </c>
      <c r="O36" s="89" t="s">
        <v>305</v>
      </c>
      <c r="P36" s="89" t="s">
        <v>305</v>
      </c>
      <c r="Q36" s="89" t="s">
        <v>17</v>
      </c>
      <c r="R36" s="89" t="s">
        <v>17</v>
      </c>
      <c r="S36" s="89" t="s">
        <v>17</v>
      </c>
      <c r="T36" s="89" t="s">
        <v>17</v>
      </c>
      <c r="U36" s="89" t="s">
        <v>17</v>
      </c>
      <c r="V36" s="89" t="s">
        <v>10</v>
      </c>
      <c r="W36" s="89" t="s">
        <v>305</v>
      </c>
      <c r="X36" s="89" t="s">
        <v>17</v>
      </c>
      <c r="Y36" s="92"/>
      <c r="AH36" s="89" t="str">
        <f>IFERROR(VLOOKUP($Y36,#REF!,AH$1,FALSE),"")</f>
        <v/>
      </c>
      <c r="AI36" s="89" t="str">
        <f>IFERROR(VLOOKUP($Y36,#REF!,AI$1,FALSE),"")</f>
        <v/>
      </c>
    </row>
    <row r="37" spans="1:35" ht="38.25" x14ac:dyDescent="0.25">
      <c r="A37" s="89" t="s">
        <v>868</v>
      </c>
      <c r="B37" s="89" t="s">
        <v>56</v>
      </c>
      <c r="C37" s="89" t="str">
        <f t="shared" si="0"/>
        <v>A.08.2.3 037</v>
      </c>
      <c r="D37" s="90" t="s">
        <v>601</v>
      </c>
      <c r="E37" s="89" t="s">
        <v>8</v>
      </c>
      <c r="F37" s="91" t="s">
        <v>57</v>
      </c>
      <c r="G37" s="91" t="s">
        <v>431</v>
      </c>
      <c r="H37" s="91"/>
      <c r="I37" s="91"/>
      <c r="K37" s="89" t="s">
        <v>17</v>
      </c>
      <c r="L37" s="89" t="s">
        <v>17</v>
      </c>
      <c r="M37" s="89" t="s">
        <v>17</v>
      </c>
      <c r="N37" s="89" t="s">
        <v>17</v>
      </c>
      <c r="O37" s="89" t="s">
        <v>305</v>
      </c>
      <c r="P37" s="89" t="s">
        <v>305</v>
      </c>
      <c r="Q37" s="89" t="s">
        <v>17</v>
      </c>
      <c r="R37" s="89" t="s">
        <v>17</v>
      </c>
      <c r="S37" s="89" t="s">
        <v>17</v>
      </c>
      <c r="T37" s="89" t="s">
        <v>17</v>
      </c>
      <c r="V37" s="89" t="s">
        <v>17</v>
      </c>
      <c r="W37" s="89" t="s">
        <v>305</v>
      </c>
      <c r="X37" s="89" t="s">
        <v>17</v>
      </c>
      <c r="Y37" s="34"/>
      <c r="AH37" s="89" t="str">
        <f>IFERROR(VLOOKUP($Y37,#REF!,AH$1,FALSE),"")</f>
        <v/>
      </c>
      <c r="AI37" s="89" t="str">
        <f>IFERROR(VLOOKUP($Y37,#REF!,AI$1,FALSE),"")</f>
        <v/>
      </c>
    </row>
    <row r="38" spans="1:35" ht="25.5" x14ac:dyDescent="0.25">
      <c r="A38" s="89" t="s">
        <v>868</v>
      </c>
      <c r="B38" s="89" t="s">
        <v>56</v>
      </c>
      <c r="C38" s="89" t="str">
        <f t="shared" si="0"/>
        <v>A.08.2.3 038</v>
      </c>
      <c r="D38" s="90" t="s">
        <v>602</v>
      </c>
      <c r="E38" s="89" t="s">
        <v>8</v>
      </c>
      <c r="F38" s="91" t="s">
        <v>58</v>
      </c>
      <c r="G38" s="91" t="s">
        <v>432</v>
      </c>
      <c r="H38" s="91"/>
      <c r="I38" s="91"/>
      <c r="K38" s="89" t="s">
        <v>17</v>
      </c>
      <c r="L38" s="89" t="s">
        <v>17</v>
      </c>
      <c r="M38" s="89" t="s">
        <v>17</v>
      </c>
      <c r="N38" s="89" t="s">
        <v>17</v>
      </c>
      <c r="O38" s="89" t="s">
        <v>305</v>
      </c>
      <c r="P38" s="89" t="s">
        <v>305</v>
      </c>
      <c r="Q38" s="89" t="s">
        <v>17</v>
      </c>
      <c r="R38" s="89" t="s">
        <v>17</v>
      </c>
      <c r="S38" s="89" t="s">
        <v>17</v>
      </c>
      <c r="T38" s="89" t="s">
        <v>17</v>
      </c>
      <c r="V38" s="89" t="s">
        <v>17</v>
      </c>
      <c r="W38" s="89" t="s">
        <v>305</v>
      </c>
      <c r="X38" s="89" t="s">
        <v>17</v>
      </c>
      <c r="Y38" s="34"/>
      <c r="AH38" s="89" t="str">
        <f>IFERROR(VLOOKUP($Y38,#REF!,AH$1,FALSE),"")</f>
        <v/>
      </c>
      <c r="AI38" s="89" t="str">
        <f>IFERROR(VLOOKUP($Y38,#REF!,AI$1,FALSE),"")</f>
        <v/>
      </c>
    </row>
    <row r="39" spans="1:35" ht="25.5" x14ac:dyDescent="0.25">
      <c r="A39" s="89" t="s">
        <v>868</v>
      </c>
      <c r="B39" s="89" t="s">
        <v>56</v>
      </c>
      <c r="C39" s="89" t="str">
        <f t="shared" si="0"/>
        <v>A.08.2.3 039</v>
      </c>
      <c r="D39" s="90" t="s">
        <v>14</v>
      </c>
      <c r="E39" s="89" t="s">
        <v>8</v>
      </c>
      <c r="F39" s="91" t="s">
        <v>59</v>
      </c>
      <c r="G39" s="91"/>
      <c r="H39" s="91"/>
      <c r="I39" s="91"/>
      <c r="K39" s="89" t="s">
        <v>17</v>
      </c>
      <c r="L39" s="89" t="s">
        <v>17</v>
      </c>
      <c r="M39" s="89" t="s">
        <v>17</v>
      </c>
      <c r="N39" s="89" t="s">
        <v>17</v>
      </c>
      <c r="O39" s="89" t="s">
        <v>305</v>
      </c>
      <c r="P39" s="89" t="s">
        <v>305</v>
      </c>
      <c r="Q39" s="89" t="s">
        <v>17</v>
      </c>
      <c r="R39" s="89" t="s">
        <v>17</v>
      </c>
      <c r="S39" s="89" t="s">
        <v>17</v>
      </c>
      <c r="T39" s="89" t="s">
        <v>17</v>
      </c>
      <c r="U39" s="89" t="s">
        <v>17</v>
      </c>
      <c r="V39" s="89" t="s">
        <v>10</v>
      </c>
      <c r="W39" s="89" t="s">
        <v>305</v>
      </c>
      <c r="X39" s="89" t="s">
        <v>17</v>
      </c>
      <c r="Y39" s="92"/>
      <c r="AH39" s="89" t="str">
        <f>IFERROR(VLOOKUP($Y39,#REF!,AH$1,FALSE),"")</f>
        <v/>
      </c>
      <c r="AI39" s="89" t="str">
        <f>IFERROR(VLOOKUP($Y39,#REF!,AI$1,FALSE),"")</f>
        <v/>
      </c>
    </row>
    <row r="40" spans="1:35" ht="25.5" x14ac:dyDescent="0.25">
      <c r="A40" s="89" t="s">
        <v>868</v>
      </c>
      <c r="B40" s="89" t="s">
        <v>56</v>
      </c>
      <c r="C40" s="89" t="str">
        <f t="shared" si="0"/>
        <v>A.08.2.3 040</v>
      </c>
      <c r="D40" s="90" t="s">
        <v>15</v>
      </c>
      <c r="E40" s="89" t="s">
        <v>8</v>
      </c>
      <c r="F40" s="91" t="s">
        <v>60</v>
      </c>
      <c r="G40" s="91"/>
      <c r="H40" s="91"/>
      <c r="I40" s="91"/>
      <c r="K40" s="89" t="s">
        <v>17</v>
      </c>
      <c r="L40" s="89" t="s">
        <v>17</v>
      </c>
      <c r="M40" s="89" t="s">
        <v>17</v>
      </c>
      <c r="N40" s="89" t="s">
        <v>17</v>
      </c>
      <c r="O40" s="89" t="s">
        <v>305</v>
      </c>
      <c r="P40" s="89" t="s">
        <v>305</v>
      </c>
      <c r="Q40" s="89" t="s">
        <v>17</v>
      </c>
      <c r="R40" s="89" t="s">
        <v>17</v>
      </c>
      <c r="S40" s="89" t="s">
        <v>17</v>
      </c>
      <c r="T40" s="89" t="s">
        <v>17</v>
      </c>
      <c r="U40" s="89" t="s">
        <v>17</v>
      </c>
      <c r="V40" s="89" t="s">
        <v>10</v>
      </c>
      <c r="W40" s="89" t="s">
        <v>305</v>
      </c>
      <c r="X40" s="89" t="s">
        <v>17</v>
      </c>
      <c r="Y40" s="92"/>
      <c r="AH40" s="89" t="str">
        <f>IFERROR(VLOOKUP($Y40,#REF!,AH$1,FALSE),"")</f>
        <v/>
      </c>
      <c r="AI40" s="89" t="str">
        <f>IFERROR(VLOOKUP($Y40,#REF!,AI$1,FALSE),"")</f>
        <v/>
      </c>
    </row>
    <row r="41" spans="1:35" ht="25.5" x14ac:dyDescent="0.25">
      <c r="A41" s="89" t="s">
        <v>868</v>
      </c>
      <c r="B41" s="89" t="s">
        <v>56</v>
      </c>
      <c r="C41" s="89" t="str">
        <f t="shared" si="0"/>
        <v>A.08.2.3 041</v>
      </c>
      <c r="D41" s="90" t="s">
        <v>28</v>
      </c>
      <c r="E41" s="89" t="s">
        <v>8</v>
      </c>
      <c r="F41" s="91" t="s">
        <v>61</v>
      </c>
      <c r="G41" s="91"/>
      <c r="H41" s="91"/>
      <c r="I41" s="91"/>
      <c r="K41" s="89" t="s">
        <v>17</v>
      </c>
      <c r="L41" s="89" t="s">
        <v>17</v>
      </c>
      <c r="M41" s="89" t="s">
        <v>17</v>
      </c>
      <c r="N41" s="89" t="s">
        <v>17</v>
      </c>
      <c r="O41" s="89" t="s">
        <v>305</v>
      </c>
      <c r="P41" s="89" t="s">
        <v>305</v>
      </c>
      <c r="Q41" s="89" t="s">
        <v>17</v>
      </c>
      <c r="R41" s="89" t="s">
        <v>17</v>
      </c>
      <c r="S41" s="89" t="s">
        <v>17</v>
      </c>
      <c r="T41" s="89" t="s">
        <v>17</v>
      </c>
      <c r="U41" s="89" t="s">
        <v>17</v>
      </c>
      <c r="V41" s="89" t="s">
        <v>10</v>
      </c>
      <c r="W41" s="89" t="s">
        <v>305</v>
      </c>
      <c r="X41" s="89" t="s">
        <v>17</v>
      </c>
      <c r="Y41" s="92"/>
      <c r="AH41" s="89" t="str">
        <f>IFERROR(VLOOKUP($Y41,#REF!,AH$1,FALSE),"")</f>
        <v/>
      </c>
      <c r="AI41" s="89" t="str">
        <f>IFERROR(VLOOKUP($Y41,#REF!,AI$1,FALSE),"")</f>
        <v/>
      </c>
    </row>
    <row r="42" spans="1:35" ht="25.5" x14ac:dyDescent="0.25">
      <c r="A42" s="89" t="s">
        <v>868</v>
      </c>
      <c r="B42" s="89" t="s">
        <v>56</v>
      </c>
      <c r="C42" s="89" t="str">
        <f t="shared" si="0"/>
        <v>A.08.2.3 042</v>
      </c>
      <c r="D42" s="90" t="s">
        <v>32</v>
      </c>
      <c r="E42" s="89" t="s">
        <v>8</v>
      </c>
      <c r="F42" s="91" t="s">
        <v>62</v>
      </c>
      <c r="G42" s="91"/>
      <c r="H42" s="91"/>
      <c r="I42" s="91"/>
      <c r="K42" s="89" t="s">
        <v>17</v>
      </c>
      <c r="L42" s="89" t="s">
        <v>17</v>
      </c>
      <c r="M42" s="89" t="s">
        <v>17</v>
      </c>
      <c r="N42" s="89" t="s">
        <v>17</v>
      </c>
      <c r="O42" s="89" t="s">
        <v>305</v>
      </c>
      <c r="P42" s="89" t="s">
        <v>305</v>
      </c>
      <c r="Q42" s="89" t="s">
        <v>17</v>
      </c>
      <c r="R42" s="89" t="s">
        <v>17</v>
      </c>
      <c r="S42" s="89" t="s">
        <v>17</v>
      </c>
      <c r="T42" s="89" t="s">
        <v>17</v>
      </c>
      <c r="U42" s="89" t="s">
        <v>17</v>
      </c>
      <c r="V42" s="89" t="s">
        <v>10</v>
      </c>
      <c r="W42" s="89" t="s">
        <v>305</v>
      </c>
      <c r="X42" s="89" t="s">
        <v>17</v>
      </c>
      <c r="Y42" s="92"/>
      <c r="AH42" s="89" t="str">
        <f>IFERROR(VLOOKUP($Y42,#REF!,AH$1,FALSE),"")</f>
        <v/>
      </c>
      <c r="AI42" s="89" t="str">
        <f>IFERROR(VLOOKUP($Y42,#REF!,AI$1,FALSE),"")</f>
        <v/>
      </c>
    </row>
    <row r="43" spans="1:35" ht="38.25" x14ac:dyDescent="0.25">
      <c r="A43" s="89" t="s">
        <v>868</v>
      </c>
      <c r="B43" s="89" t="s">
        <v>56</v>
      </c>
      <c r="C43" s="89" t="str">
        <f t="shared" si="0"/>
        <v>A.08.2.3 043</v>
      </c>
      <c r="D43" s="90" t="s">
        <v>30</v>
      </c>
      <c r="E43" s="89" t="s">
        <v>8</v>
      </c>
      <c r="F43" s="91" t="s">
        <v>63</v>
      </c>
      <c r="G43" s="91"/>
      <c r="H43" s="91"/>
      <c r="I43" s="91"/>
      <c r="K43" s="89" t="s">
        <v>17</v>
      </c>
      <c r="L43" s="89" t="s">
        <v>17</v>
      </c>
      <c r="M43" s="89" t="s">
        <v>17</v>
      </c>
      <c r="N43" s="89" t="s">
        <v>17</v>
      </c>
      <c r="O43" s="89" t="s">
        <v>305</v>
      </c>
      <c r="P43" s="89" t="s">
        <v>305</v>
      </c>
      <c r="Q43" s="89" t="s">
        <v>17</v>
      </c>
      <c r="R43" s="89" t="s">
        <v>17</v>
      </c>
      <c r="S43" s="89" t="s">
        <v>17</v>
      </c>
      <c r="T43" s="89" t="s">
        <v>17</v>
      </c>
      <c r="U43" s="89" t="s">
        <v>17</v>
      </c>
      <c r="V43" s="89" t="s">
        <v>10</v>
      </c>
      <c r="W43" s="89" t="s">
        <v>305</v>
      </c>
      <c r="X43" s="89" t="s">
        <v>17</v>
      </c>
      <c r="Y43" s="92"/>
      <c r="AH43" s="89" t="str">
        <f>IFERROR(VLOOKUP($Y43,#REF!,AH$1,FALSE),"")</f>
        <v/>
      </c>
      <c r="AI43" s="89" t="str">
        <f>IFERROR(VLOOKUP($Y43,#REF!,AI$1,FALSE),"")</f>
        <v/>
      </c>
    </row>
    <row r="44" spans="1:35" ht="38.25" x14ac:dyDescent="0.25">
      <c r="A44" s="89" t="s">
        <v>868</v>
      </c>
      <c r="B44" s="89" t="s">
        <v>56</v>
      </c>
      <c r="C44" s="89" t="str">
        <f t="shared" si="0"/>
        <v>A.08.2.3 044</v>
      </c>
      <c r="D44" s="90" t="s">
        <v>34</v>
      </c>
      <c r="E44" s="89" t="s">
        <v>13</v>
      </c>
      <c r="F44" s="91" t="s">
        <v>65</v>
      </c>
      <c r="G44" s="91"/>
      <c r="H44" s="91"/>
      <c r="I44" s="91"/>
      <c r="K44" s="89" t="s">
        <v>17</v>
      </c>
      <c r="L44" s="89" t="s">
        <v>17</v>
      </c>
      <c r="M44" s="89" t="s">
        <v>17</v>
      </c>
      <c r="N44" s="89" t="s">
        <v>17</v>
      </c>
      <c r="O44" s="89" t="s">
        <v>305</v>
      </c>
      <c r="P44" s="89" t="s">
        <v>305</v>
      </c>
      <c r="Q44" s="89" t="s">
        <v>17</v>
      </c>
      <c r="R44" s="89" t="s">
        <v>17</v>
      </c>
      <c r="S44" s="89" t="s">
        <v>17</v>
      </c>
      <c r="T44" s="89" t="s">
        <v>17</v>
      </c>
      <c r="U44" s="89" t="s">
        <v>17</v>
      </c>
      <c r="V44" s="89" t="s">
        <v>10</v>
      </c>
      <c r="W44" s="89" t="s">
        <v>305</v>
      </c>
      <c r="X44" s="89" t="s">
        <v>17</v>
      </c>
      <c r="Y44" s="92"/>
      <c r="AH44" s="89" t="str">
        <f>IFERROR(VLOOKUP($Y44,#REF!,AH$1,FALSE),"")</f>
        <v/>
      </c>
      <c r="AI44" s="89" t="str">
        <f>IFERROR(VLOOKUP($Y44,#REF!,AI$1,FALSE),"")</f>
        <v/>
      </c>
    </row>
    <row r="45" spans="1:35" ht="25.5" x14ac:dyDescent="0.25">
      <c r="A45" s="89" t="s">
        <v>868</v>
      </c>
      <c r="B45" s="89" t="s">
        <v>66</v>
      </c>
      <c r="C45" s="89" t="str">
        <f t="shared" si="0"/>
        <v>A.08.3.2 045</v>
      </c>
      <c r="D45" s="90" t="s">
        <v>612</v>
      </c>
      <c r="E45" s="89" t="s">
        <v>309</v>
      </c>
      <c r="F45" s="91" t="s">
        <v>70</v>
      </c>
      <c r="G45" s="20" t="s">
        <v>625</v>
      </c>
      <c r="H45" s="91"/>
      <c r="I45" s="91"/>
      <c r="K45" s="89" t="s">
        <v>17</v>
      </c>
      <c r="L45" s="89" t="s">
        <v>305</v>
      </c>
      <c r="M45" s="89" t="s">
        <v>17</v>
      </c>
      <c r="N45" s="89" t="s">
        <v>305</v>
      </c>
      <c r="O45" s="89" t="s">
        <v>17</v>
      </c>
      <c r="P45" s="89" t="s">
        <v>17</v>
      </c>
      <c r="Q45" s="89" t="s">
        <v>17</v>
      </c>
      <c r="R45" s="89" t="s">
        <v>10</v>
      </c>
      <c r="S45" s="89" t="s">
        <v>10</v>
      </c>
      <c r="T45" s="89" t="s">
        <v>10</v>
      </c>
      <c r="U45" s="89" t="s">
        <v>10</v>
      </c>
      <c r="V45" s="89" t="s">
        <v>17</v>
      </c>
      <c r="W45" s="89" t="s">
        <v>305</v>
      </c>
      <c r="X45" s="89" t="s">
        <v>10</v>
      </c>
      <c r="Y45" s="92"/>
      <c r="AH45" s="89" t="str">
        <f>IFERROR(VLOOKUP($Y45,#REF!,AH$1,FALSE),"")</f>
        <v/>
      </c>
      <c r="AI45" s="89" t="str">
        <f>IFERROR(VLOOKUP($Y45,#REF!,AI$1,FALSE),"")</f>
        <v/>
      </c>
    </row>
    <row r="46" spans="1:35" x14ac:dyDescent="0.25">
      <c r="A46" s="89" t="s">
        <v>868</v>
      </c>
      <c r="B46" s="89" t="s">
        <v>66</v>
      </c>
      <c r="C46" s="89" t="str">
        <f t="shared" si="0"/>
        <v>A.08.3.2 046</v>
      </c>
      <c r="D46" s="90" t="s">
        <v>9</v>
      </c>
      <c r="E46" s="89" t="s">
        <v>13</v>
      </c>
      <c r="F46" s="91" t="s">
        <v>69</v>
      </c>
      <c r="G46" s="91"/>
      <c r="H46" s="91"/>
      <c r="I46" s="91"/>
      <c r="K46" s="89" t="s">
        <v>17</v>
      </c>
      <c r="L46" s="89" t="s">
        <v>305</v>
      </c>
      <c r="M46" s="89" t="s">
        <v>17</v>
      </c>
      <c r="N46" s="89" t="s">
        <v>305</v>
      </c>
      <c r="O46" s="89" t="s">
        <v>17</v>
      </c>
      <c r="P46" s="89" t="s">
        <v>17</v>
      </c>
      <c r="Q46" s="89" t="s">
        <v>17</v>
      </c>
      <c r="R46" s="89" t="s">
        <v>10</v>
      </c>
      <c r="S46" s="89" t="s">
        <v>10</v>
      </c>
      <c r="T46" s="89" t="s">
        <v>10</v>
      </c>
      <c r="U46" s="89" t="s">
        <v>10</v>
      </c>
      <c r="V46" s="89" t="s">
        <v>10</v>
      </c>
      <c r="W46" s="89" t="s">
        <v>305</v>
      </c>
      <c r="X46" s="89" t="s">
        <v>10</v>
      </c>
      <c r="Y46" s="92"/>
      <c r="AH46" s="89" t="str">
        <f>IFERROR(VLOOKUP($Y46,#REF!,AH$1,FALSE),"")</f>
        <v/>
      </c>
      <c r="AI46" s="89" t="str">
        <f>IFERROR(VLOOKUP($Y46,#REF!,AI$1,FALSE),"")</f>
        <v/>
      </c>
    </row>
    <row r="47" spans="1:35" ht="51" x14ac:dyDescent="0.25">
      <c r="A47" s="89" t="s">
        <v>868</v>
      </c>
      <c r="B47" s="89" t="s">
        <v>66</v>
      </c>
      <c r="C47" s="89" t="str">
        <f t="shared" si="0"/>
        <v>A.08.3.2 047</v>
      </c>
      <c r="D47" s="90" t="s">
        <v>11</v>
      </c>
      <c r="E47" s="89" t="s">
        <v>8</v>
      </c>
      <c r="F47" s="91" t="s">
        <v>67</v>
      </c>
      <c r="G47" s="91"/>
      <c r="H47" s="91"/>
      <c r="I47" s="91"/>
      <c r="K47" s="89" t="s">
        <v>17</v>
      </c>
      <c r="L47" s="89" t="s">
        <v>305</v>
      </c>
      <c r="M47" s="89" t="s">
        <v>17</v>
      </c>
      <c r="N47" s="89" t="s">
        <v>305</v>
      </c>
      <c r="O47" s="89" t="s">
        <v>17</v>
      </c>
      <c r="P47" s="89" t="s">
        <v>17</v>
      </c>
      <c r="Q47" s="89" t="s">
        <v>17</v>
      </c>
      <c r="R47" s="89" t="s">
        <v>10</v>
      </c>
      <c r="S47" s="89" t="s">
        <v>10</v>
      </c>
      <c r="T47" s="89" t="s">
        <v>10</v>
      </c>
      <c r="U47" s="89" t="s">
        <v>10</v>
      </c>
      <c r="V47" s="89" t="s">
        <v>10</v>
      </c>
      <c r="W47" s="89" t="s">
        <v>305</v>
      </c>
      <c r="X47" s="89" t="s">
        <v>10</v>
      </c>
      <c r="Y47" s="92"/>
      <c r="AH47" s="89" t="str">
        <f>IFERROR(VLOOKUP($Y47,#REF!,AH$1,FALSE),"")</f>
        <v/>
      </c>
      <c r="AI47" s="89" t="str">
        <f>IFERROR(VLOOKUP($Y47,#REF!,AI$1,FALSE),"")</f>
        <v/>
      </c>
    </row>
    <row r="48" spans="1:35" ht="25.5" x14ac:dyDescent="0.25">
      <c r="A48" s="89" t="s">
        <v>868</v>
      </c>
      <c r="B48" s="89" t="s">
        <v>66</v>
      </c>
      <c r="C48" s="89" t="str">
        <f t="shared" si="0"/>
        <v>A.08.3.2 048</v>
      </c>
      <c r="D48" s="90" t="s">
        <v>602</v>
      </c>
      <c r="E48" s="89" t="s">
        <v>8</v>
      </c>
      <c r="F48" s="91" t="s">
        <v>68</v>
      </c>
      <c r="G48" s="91" t="s">
        <v>433</v>
      </c>
      <c r="H48" s="91"/>
      <c r="I48" s="91"/>
      <c r="K48" s="89" t="s">
        <v>17</v>
      </c>
      <c r="L48" s="89" t="s">
        <v>305</v>
      </c>
      <c r="M48" s="89" t="s">
        <v>17</v>
      </c>
      <c r="N48" s="89" t="s">
        <v>305</v>
      </c>
      <c r="O48" s="89" t="s">
        <v>17</v>
      </c>
      <c r="P48" s="89" t="s">
        <v>17</v>
      </c>
      <c r="Q48" s="89" t="s">
        <v>17</v>
      </c>
      <c r="R48" s="89" t="s">
        <v>10</v>
      </c>
      <c r="S48" s="89" t="s">
        <v>10</v>
      </c>
      <c r="T48" s="89" t="s">
        <v>10</v>
      </c>
      <c r="U48" s="89" t="s">
        <v>10</v>
      </c>
      <c r="V48" s="89" t="s">
        <v>17</v>
      </c>
      <c r="W48" s="89" t="s">
        <v>305</v>
      </c>
      <c r="X48" s="89" t="s">
        <v>10</v>
      </c>
      <c r="Y48" s="34"/>
      <c r="AH48" s="89" t="str">
        <f>IFERROR(VLOOKUP($Y48,#REF!,AH$1,FALSE),"")</f>
        <v/>
      </c>
      <c r="AI48" s="89" t="str">
        <f>IFERROR(VLOOKUP($Y48,#REF!,AI$1,FALSE),"")</f>
        <v/>
      </c>
    </row>
    <row r="49" spans="1:35" ht="25.5" x14ac:dyDescent="0.25">
      <c r="A49" s="89" t="s">
        <v>868</v>
      </c>
      <c r="B49" s="89" t="s">
        <v>66</v>
      </c>
      <c r="C49" s="89" t="str">
        <f t="shared" si="0"/>
        <v>A.08.3.2 049</v>
      </c>
      <c r="D49" s="90" t="s">
        <v>603</v>
      </c>
      <c r="E49" s="89" t="s">
        <v>8</v>
      </c>
      <c r="F49" s="91" t="s">
        <v>435</v>
      </c>
      <c r="G49" s="91" t="s">
        <v>434</v>
      </c>
      <c r="H49" s="91"/>
      <c r="I49" s="91"/>
      <c r="K49" s="89" t="s">
        <v>17</v>
      </c>
      <c r="L49" s="89" t="s">
        <v>305</v>
      </c>
      <c r="M49" s="89" t="s">
        <v>17</v>
      </c>
      <c r="N49" s="89" t="s">
        <v>17</v>
      </c>
      <c r="O49" s="89" t="s">
        <v>305</v>
      </c>
      <c r="P49" s="89" t="s">
        <v>305</v>
      </c>
      <c r="Q49" s="89" t="s">
        <v>17</v>
      </c>
      <c r="R49" s="89" t="s">
        <v>10</v>
      </c>
      <c r="S49" s="89" t="s">
        <v>10</v>
      </c>
      <c r="T49" s="89" t="s">
        <v>10</v>
      </c>
      <c r="U49" s="89" t="s">
        <v>10</v>
      </c>
      <c r="V49" s="89" t="s">
        <v>17</v>
      </c>
      <c r="W49" s="89" t="s">
        <v>305</v>
      </c>
      <c r="X49" s="89" t="s">
        <v>10</v>
      </c>
      <c r="Y49" s="34"/>
      <c r="AH49" s="89" t="str">
        <f>IFERROR(VLOOKUP($Y49,#REF!,AH$1,FALSE),"")</f>
        <v/>
      </c>
      <c r="AI49" s="89" t="str">
        <f>IFERROR(VLOOKUP($Y49,#REF!,AI$1,FALSE),"")</f>
        <v/>
      </c>
    </row>
    <row r="50" spans="1:35" x14ac:dyDescent="0.25">
      <c r="A50" s="89" t="s">
        <v>868</v>
      </c>
      <c r="B50" s="89" t="s">
        <v>71</v>
      </c>
      <c r="C50" s="89" t="str">
        <f t="shared" si="0"/>
        <v>A.09.1.1 050</v>
      </c>
      <c r="D50" s="90" t="s">
        <v>612</v>
      </c>
      <c r="E50" s="89" t="s">
        <v>309</v>
      </c>
      <c r="F50" s="91" t="s">
        <v>79</v>
      </c>
      <c r="G50" s="20" t="s">
        <v>626</v>
      </c>
      <c r="H50" s="91"/>
      <c r="I50" s="91"/>
      <c r="K50" s="89" t="s">
        <v>17</v>
      </c>
      <c r="L50" s="89" t="s">
        <v>17</v>
      </c>
      <c r="M50" s="89" t="s">
        <v>17</v>
      </c>
      <c r="N50" s="89" t="s">
        <v>17</v>
      </c>
      <c r="O50" s="89" t="s">
        <v>305</v>
      </c>
      <c r="P50" s="89" t="s">
        <v>305</v>
      </c>
      <c r="Q50" s="89" t="s">
        <v>17</v>
      </c>
      <c r="R50" s="89" t="s">
        <v>17</v>
      </c>
      <c r="S50" s="89" t="s">
        <v>17</v>
      </c>
      <c r="T50" s="89" t="s">
        <v>17</v>
      </c>
      <c r="U50" s="89" t="s">
        <v>17</v>
      </c>
      <c r="V50" s="89" t="s">
        <v>17</v>
      </c>
      <c r="W50" s="89" t="s">
        <v>305</v>
      </c>
      <c r="X50" s="89" t="s">
        <v>17</v>
      </c>
      <c r="Y50" s="92"/>
      <c r="AH50" s="89" t="str">
        <f>IFERROR(VLOOKUP($Y50,#REF!,AH$1,FALSE),"")</f>
        <v/>
      </c>
      <c r="AI50" s="89" t="str">
        <f>IFERROR(VLOOKUP($Y50,#REF!,AI$1,FALSE),"")</f>
        <v/>
      </c>
    </row>
    <row r="51" spans="1:35" ht="25.5" x14ac:dyDescent="0.25">
      <c r="A51" s="89" t="s">
        <v>868</v>
      </c>
      <c r="B51" s="89" t="s">
        <v>71</v>
      </c>
      <c r="C51" s="89" t="str">
        <f t="shared" si="0"/>
        <v>A.09.1.1 051</v>
      </c>
      <c r="D51" s="90" t="s">
        <v>9</v>
      </c>
      <c r="E51" s="89" t="s">
        <v>8</v>
      </c>
      <c r="F51" s="91" t="s">
        <v>72</v>
      </c>
      <c r="G51" s="91"/>
      <c r="H51" s="91"/>
      <c r="I51" s="91"/>
      <c r="K51" s="89" t="s">
        <v>17</v>
      </c>
      <c r="L51" s="89" t="s">
        <v>17</v>
      </c>
      <c r="M51" s="89" t="s">
        <v>17</v>
      </c>
      <c r="N51" s="89" t="s">
        <v>17</v>
      </c>
      <c r="O51" s="89" t="s">
        <v>305</v>
      </c>
      <c r="P51" s="89" t="s">
        <v>305</v>
      </c>
      <c r="Q51" s="89" t="s">
        <v>17</v>
      </c>
      <c r="R51" s="89" t="s">
        <v>17</v>
      </c>
      <c r="S51" s="89" t="s">
        <v>17</v>
      </c>
      <c r="T51" s="89" t="s">
        <v>17</v>
      </c>
      <c r="U51" s="89" t="s">
        <v>17</v>
      </c>
      <c r="V51" s="89" t="s">
        <v>10</v>
      </c>
      <c r="W51" s="89" t="s">
        <v>305</v>
      </c>
      <c r="X51" s="89" t="s">
        <v>17</v>
      </c>
      <c r="Y51" s="92"/>
      <c r="AH51" s="89" t="str">
        <f>IFERROR(VLOOKUP($Y51,#REF!,AH$1,FALSE),"")</f>
        <v/>
      </c>
      <c r="AI51" s="89" t="str">
        <f>IFERROR(VLOOKUP($Y51,#REF!,AI$1,FALSE),"")</f>
        <v/>
      </c>
    </row>
    <row r="52" spans="1:35" ht="38.25" x14ac:dyDescent="0.25">
      <c r="A52" s="89" t="s">
        <v>868</v>
      </c>
      <c r="B52" s="89" t="s">
        <v>71</v>
      </c>
      <c r="C52" s="89" t="str">
        <f t="shared" si="0"/>
        <v>A.09.1.1 052</v>
      </c>
      <c r="D52" s="90" t="s">
        <v>602</v>
      </c>
      <c r="E52" s="89" t="s">
        <v>8</v>
      </c>
      <c r="F52" s="91" t="s">
        <v>73</v>
      </c>
      <c r="G52" s="91" t="s">
        <v>436</v>
      </c>
      <c r="H52" s="91"/>
      <c r="I52" s="91"/>
      <c r="K52" s="89" t="s">
        <v>17</v>
      </c>
      <c r="L52" s="89" t="s">
        <v>17</v>
      </c>
      <c r="M52" s="89" t="s">
        <v>17</v>
      </c>
      <c r="N52" s="89" t="s">
        <v>17</v>
      </c>
      <c r="O52" s="89" t="s">
        <v>305</v>
      </c>
      <c r="P52" s="89" t="s">
        <v>305</v>
      </c>
      <c r="Q52" s="89" t="s">
        <v>17</v>
      </c>
      <c r="R52" s="89" t="s">
        <v>17</v>
      </c>
      <c r="S52" s="89" t="s">
        <v>17</v>
      </c>
      <c r="T52" s="89" t="s">
        <v>17</v>
      </c>
      <c r="U52" s="89" t="s">
        <v>17</v>
      </c>
      <c r="V52" s="89" t="s">
        <v>17</v>
      </c>
      <c r="W52" s="89" t="s">
        <v>305</v>
      </c>
      <c r="X52" s="89" t="s">
        <v>17</v>
      </c>
      <c r="Y52" s="34"/>
      <c r="AH52" s="89" t="str">
        <f>IFERROR(VLOOKUP($Y52,#REF!,AH$1,FALSE),"")</f>
        <v/>
      </c>
      <c r="AI52" s="89" t="str">
        <f>IFERROR(VLOOKUP($Y52,#REF!,AI$1,FALSE),"")</f>
        <v/>
      </c>
    </row>
    <row r="53" spans="1:35" ht="38.25" x14ac:dyDescent="0.25">
      <c r="A53" s="89" t="s">
        <v>868</v>
      </c>
      <c r="B53" s="89" t="s">
        <v>71</v>
      </c>
      <c r="C53" s="89" t="str">
        <f t="shared" si="0"/>
        <v>A.09.1.1 053</v>
      </c>
      <c r="D53" s="90" t="s">
        <v>603</v>
      </c>
      <c r="E53" s="89" t="s">
        <v>8</v>
      </c>
      <c r="F53" s="91" t="s">
        <v>438</v>
      </c>
      <c r="G53" s="91" t="s">
        <v>437</v>
      </c>
      <c r="H53" s="91"/>
      <c r="I53" s="91"/>
      <c r="K53" s="89" t="s">
        <v>17</v>
      </c>
      <c r="L53" s="89" t="s">
        <v>17</v>
      </c>
      <c r="M53" s="89" t="s">
        <v>17</v>
      </c>
      <c r="N53" s="89" t="s">
        <v>17</v>
      </c>
      <c r="O53" s="89" t="s">
        <v>305</v>
      </c>
      <c r="P53" s="89" t="s">
        <v>305</v>
      </c>
      <c r="Q53" s="89" t="s">
        <v>17</v>
      </c>
      <c r="R53" s="89" t="s">
        <v>17</v>
      </c>
      <c r="S53" s="89" t="s">
        <v>17</v>
      </c>
      <c r="T53" s="89" t="s">
        <v>17</v>
      </c>
      <c r="U53" s="89" t="s">
        <v>17</v>
      </c>
      <c r="V53" s="89" t="s">
        <v>17</v>
      </c>
      <c r="W53" s="89" t="s">
        <v>17</v>
      </c>
      <c r="X53" s="89" t="s">
        <v>17</v>
      </c>
      <c r="Y53" s="34"/>
      <c r="AH53" s="89" t="str">
        <f>IFERROR(VLOOKUP($Y53,#REF!,AH$1,FALSE),"")</f>
        <v/>
      </c>
      <c r="AI53" s="89" t="str">
        <f>IFERROR(VLOOKUP($Y53,#REF!,AI$1,FALSE),"")</f>
        <v/>
      </c>
    </row>
    <row r="54" spans="1:35" x14ac:dyDescent="0.25">
      <c r="A54" s="89" t="s">
        <v>868</v>
      </c>
      <c r="B54" s="89" t="s">
        <v>71</v>
      </c>
      <c r="C54" s="89" t="str">
        <f t="shared" si="0"/>
        <v>A.09.1.1 054</v>
      </c>
      <c r="D54" s="90" t="s">
        <v>14</v>
      </c>
      <c r="E54" s="89" t="s">
        <v>8</v>
      </c>
      <c r="F54" s="91" t="s">
        <v>74</v>
      </c>
      <c r="G54" s="91"/>
      <c r="H54" s="91"/>
      <c r="I54" s="91"/>
      <c r="K54" s="89" t="s">
        <v>17</v>
      </c>
      <c r="L54" s="89" t="s">
        <v>17</v>
      </c>
      <c r="M54" s="89" t="s">
        <v>17</v>
      </c>
      <c r="N54" s="89" t="s">
        <v>17</v>
      </c>
      <c r="O54" s="89" t="s">
        <v>305</v>
      </c>
      <c r="P54" s="89" t="s">
        <v>305</v>
      </c>
      <c r="Q54" s="89" t="s">
        <v>17</v>
      </c>
      <c r="R54" s="89" t="s">
        <v>17</v>
      </c>
      <c r="S54" s="89" t="s">
        <v>17</v>
      </c>
      <c r="T54" s="89" t="s">
        <v>17</v>
      </c>
      <c r="U54" s="89" t="s">
        <v>17</v>
      </c>
      <c r="V54" s="89" t="s">
        <v>10</v>
      </c>
      <c r="W54" s="89" t="s">
        <v>17</v>
      </c>
      <c r="X54" s="89" t="s">
        <v>17</v>
      </c>
      <c r="Y54" s="92"/>
      <c r="AH54" s="89" t="str">
        <f>IFERROR(VLOOKUP($Y54,#REF!,AH$1,FALSE),"")</f>
        <v/>
      </c>
      <c r="AI54" s="89" t="str">
        <f>IFERROR(VLOOKUP($Y54,#REF!,AI$1,FALSE),"")</f>
        <v/>
      </c>
    </row>
    <row r="55" spans="1:35" ht="38.25" x14ac:dyDescent="0.25">
      <c r="A55" s="89" t="s">
        <v>868</v>
      </c>
      <c r="B55" s="89" t="s">
        <v>71</v>
      </c>
      <c r="C55" s="89" t="str">
        <f t="shared" si="0"/>
        <v>A.09.1.1 055</v>
      </c>
      <c r="D55" s="90" t="s">
        <v>15</v>
      </c>
      <c r="E55" s="89" t="s">
        <v>8</v>
      </c>
      <c r="F55" s="91" t="s">
        <v>75</v>
      </c>
      <c r="G55" s="91"/>
      <c r="H55" s="91"/>
      <c r="I55" s="91"/>
      <c r="K55" s="89" t="s">
        <v>17</v>
      </c>
      <c r="L55" s="89" t="s">
        <v>17</v>
      </c>
      <c r="M55" s="89" t="s">
        <v>17</v>
      </c>
      <c r="N55" s="89" t="s">
        <v>17</v>
      </c>
      <c r="O55" s="89" t="s">
        <v>305</v>
      </c>
      <c r="P55" s="89" t="s">
        <v>305</v>
      </c>
      <c r="Q55" s="89" t="s">
        <v>17</v>
      </c>
      <c r="R55" s="89" t="s">
        <v>17</v>
      </c>
      <c r="S55" s="89" t="s">
        <v>17</v>
      </c>
      <c r="T55" s="89" t="s">
        <v>17</v>
      </c>
      <c r="U55" s="89" t="s">
        <v>17</v>
      </c>
      <c r="V55" s="89" t="s">
        <v>10</v>
      </c>
      <c r="W55" s="89" t="s">
        <v>17</v>
      </c>
      <c r="X55" s="89" t="s">
        <v>17</v>
      </c>
      <c r="Y55" s="92"/>
      <c r="AH55" s="89" t="str">
        <f>IFERROR(VLOOKUP($Y55,#REF!,AH$1,FALSE),"")</f>
        <v/>
      </c>
      <c r="AI55" s="89" t="str">
        <f>IFERROR(VLOOKUP($Y55,#REF!,AI$1,FALSE),"")</f>
        <v/>
      </c>
    </row>
    <row r="56" spans="1:35" ht="25.5" x14ac:dyDescent="0.25">
      <c r="A56" s="89" t="s">
        <v>868</v>
      </c>
      <c r="B56" s="89" t="s">
        <v>71</v>
      </c>
      <c r="C56" s="89" t="str">
        <f t="shared" si="0"/>
        <v>A.09.1.1 056</v>
      </c>
      <c r="D56" s="90" t="s">
        <v>28</v>
      </c>
      <c r="E56" s="89" t="s">
        <v>8</v>
      </c>
      <c r="F56" s="91" t="s">
        <v>76</v>
      </c>
      <c r="G56" s="91"/>
      <c r="H56" s="91"/>
      <c r="I56" s="91"/>
      <c r="K56" s="89" t="s">
        <v>17</v>
      </c>
      <c r="L56" s="89" t="s">
        <v>17</v>
      </c>
      <c r="M56" s="89" t="s">
        <v>17</v>
      </c>
      <c r="N56" s="89" t="s">
        <v>17</v>
      </c>
      <c r="O56" s="89" t="s">
        <v>305</v>
      </c>
      <c r="P56" s="89" t="s">
        <v>305</v>
      </c>
      <c r="Q56" s="89" t="s">
        <v>17</v>
      </c>
      <c r="R56" s="89" t="s">
        <v>17</v>
      </c>
      <c r="S56" s="89" t="s">
        <v>17</v>
      </c>
      <c r="T56" s="89" t="s">
        <v>17</v>
      </c>
      <c r="U56" s="89" t="s">
        <v>17</v>
      </c>
      <c r="V56" s="89" t="s">
        <v>10</v>
      </c>
      <c r="W56" s="89" t="s">
        <v>17</v>
      </c>
      <c r="X56" s="89" t="s">
        <v>17</v>
      </c>
      <c r="Y56" s="92"/>
      <c r="AH56" s="89" t="str">
        <f>IFERROR(VLOOKUP($Y56,#REF!,AH$1,FALSE),"")</f>
        <v/>
      </c>
      <c r="AI56" s="89" t="str">
        <f>IFERROR(VLOOKUP($Y56,#REF!,AI$1,FALSE),"")</f>
        <v/>
      </c>
    </row>
    <row r="57" spans="1:35" ht="38.25" x14ac:dyDescent="0.25">
      <c r="A57" s="89" t="s">
        <v>868</v>
      </c>
      <c r="B57" s="89" t="s">
        <v>71</v>
      </c>
      <c r="C57" s="89" t="str">
        <f t="shared" si="0"/>
        <v>A.09.1.1 057</v>
      </c>
      <c r="D57" s="90" t="s">
        <v>32</v>
      </c>
      <c r="E57" s="89" t="s">
        <v>8</v>
      </c>
      <c r="F57" s="91" t="s">
        <v>77</v>
      </c>
      <c r="G57" s="91"/>
      <c r="H57" s="91"/>
      <c r="I57" s="91"/>
      <c r="K57" s="89" t="s">
        <v>17</v>
      </c>
      <c r="L57" s="89" t="s">
        <v>17</v>
      </c>
      <c r="M57" s="89" t="s">
        <v>17</v>
      </c>
      <c r="N57" s="89" t="s">
        <v>17</v>
      </c>
      <c r="O57" s="89" t="s">
        <v>305</v>
      </c>
      <c r="P57" s="89" t="s">
        <v>305</v>
      </c>
      <c r="Q57" s="89" t="s">
        <v>17</v>
      </c>
      <c r="R57" s="89" t="s">
        <v>17</v>
      </c>
      <c r="S57" s="89" t="s">
        <v>17</v>
      </c>
      <c r="T57" s="89" t="s">
        <v>17</v>
      </c>
      <c r="U57" s="89" t="s">
        <v>17</v>
      </c>
      <c r="V57" s="89" t="s">
        <v>10</v>
      </c>
      <c r="W57" s="89" t="s">
        <v>17</v>
      </c>
      <c r="X57" s="89" t="s">
        <v>17</v>
      </c>
      <c r="Y57" s="92"/>
      <c r="AH57" s="89" t="str">
        <f>IFERROR(VLOOKUP($Y57,#REF!,AH$1,FALSE),"")</f>
        <v/>
      </c>
      <c r="AI57" s="89" t="str">
        <f>IFERROR(VLOOKUP($Y57,#REF!,AI$1,FALSE),"")</f>
        <v/>
      </c>
    </row>
    <row r="58" spans="1:35" ht="51" x14ac:dyDescent="0.25">
      <c r="A58" s="89" t="s">
        <v>868</v>
      </c>
      <c r="B58" s="89" t="s">
        <v>71</v>
      </c>
      <c r="C58" s="89" t="str">
        <f t="shared" si="0"/>
        <v>A.09.1.1 058</v>
      </c>
      <c r="D58" s="90" t="s">
        <v>30</v>
      </c>
      <c r="E58" s="89" t="s">
        <v>13</v>
      </c>
      <c r="F58" s="91" t="s">
        <v>78</v>
      </c>
      <c r="G58" s="91"/>
      <c r="H58" s="91"/>
      <c r="I58" s="91"/>
      <c r="K58" s="89" t="s">
        <v>17</v>
      </c>
      <c r="L58" s="89" t="s">
        <v>17</v>
      </c>
      <c r="M58" s="89" t="s">
        <v>17</v>
      </c>
      <c r="N58" s="89" t="s">
        <v>17</v>
      </c>
      <c r="O58" s="89" t="s">
        <v>305</v>
      </c>
      <c r="P58" s="89" t="s">
        <v>305</v>
      </c>
      <c r="Q58" s="89" t="s">
        <v>17</v>
      </c>
      <c r="R58" s="89" t="s">
        <v>17</v>
      </c>
      <c r="S58" s="89" t="s">
        <v>17</v>
      </c>
      <c r="T58" s="89" t="s">
        <v>17</v>
      </c>
      <c r="U58" s="89" t="s">
        <v>17</v>
      </c>
      <c r="V58" s="89" t="s">
        <v>10</v>
      </c>
      <c r="W58" s="89" t="s">
        <v>17</v>
      </c>
      <c r="X58" s="89" t="s">
        <v>17</v>
      </c>
      <c r="Y58" s="92"/>
      <c r="AH58" s="89" t="str">
        <f>IFERROR(VLOOKUP($Y58,#REF!,AH$1,FALSE),"")</f>
        <v/>
      </c>
      <c r="AI58" s="89" t="str">
        <f>IFERROR(VLOOKUP($Y58,#REF!,AI$1,FALSE),"")</f>
        <v/>
      </c>
    </row>
    <row r="59" spans="1:35" ht="25.5" x14ac:dyDescent="0.25">
      <c r="A59" s="89" t="s">
        <v>867</v>
      </c>
      <c r="B59" s="89" t="s">
        <v>80</v>
      </c>
      <c r="C59" s="89" t="str">
        <f t="shared" si="0"/>
        <v>A.09.1.2 059</v>
      </c>
      <c r="D59" s="90" t="s">
        <v>612</v>
      </c>
      <c r="E59" s="89" t="s">
        <v>309</v>
      </c>
      <c r="F59" s="91" t="s">
        <v>666</v>
      </c>
      <c r="G59" s="20" t="s">
        <v>627</v>
      </c>
      <c r="H59" s="91"/>
      <c r="I59" s="91"/>
      <c r="K59" s="89" t="s">
        <v>17</v>
      </c>
      <c r="L59" s="89" t="s">
        <v>17</v>
      </c>
      <c r="M59" s="89" t="s">
        <v>17</v>
      </c>
      <c r="N59" s="89" t="s">
        <v>17</v>
      </c>
      <c r="O59" s="89" t="s">
        <v>305</v>
      </c>
      <c r="P59" s="89" t="s">
        <v>305</v>
      </c>
      <c r="Q59" s="89" t="s">
        <v>10</v>
      </c>
      <c r="R59" s="89" t="s">
        <v>17</v>
      </c>
      <c r="S59" s="89" t="s">
        <v>17</v>
      </c>
      <c r="T59" s="89" t="s">
        <v>17</v>
      </c>
      <c r="U59" s="89" t="s">
        <v>17</v>
      </c>
      <c r="V59" s="89" t="s">
        <v>17</v>
      </c>
      <c r="W59" s="89" t="s">
        <v>305</v>
      </c>
      <c r="X59" s="89" t="s">
        <v>17</v>
      </c>
      <c r="Y59" s="92"/>
      <c r="AH59" s="89" t="str">
        <f>IFERROR(VLOOKUP($Y59,#REF!,AH$1,FALSE),"")</f>
        <v/>
      </c>
      <c r="AI59" s="89" t="str">
        <f>IFERROR(VLOOKUP($Y59,#REF!,AI$1,FALSE),"")</f>
        <v/>
      </c>
    </row>
    <row r="60" spans="1:35" ht="25.5" x14ac:dyDescent="0.25">
      <c r="A60" s="89" t="s">
        <v>868</v>
      </c>
      <c r="B60" s="89" t="s">
        <v>80</v>
      </c>
      <c r="C60" s="89" t="str">
        <f t="shared" si="0"/>
        <v>A.09.1.2 060</v>
      </c>
      <c r="D60" s="90" t="s">
        <v>601</v>
      </c>
      <c r="E60" s="89" t="s">
        <v>8</v>
      </c>
      <c r="F60" s="91" t="s">
        <v>440</v>
      </c>
      <c r="G60" s="20" t="s">
        <v>439</v>
      </c>
      <c r="H60" s="91"/>
      <c r="I60" s="91"/>
      <c r="K60" s="89" t="s">
        <v>17</v>
      </c>
      <c r="L60" s="89" t="s">
        <v>17</v>
      </c>
      <c r="M60" s="89" t="s">
        <v>17</v>
      </c>
      <c r="N60" s="89" t="s">
        <v>17</v>
      </c>
      <c r="O60" s="89" t="s">
        <v>305</v>
      </c>
      <c r="P60" s="89" t="s">
        <v>305</v>
      </c>
      <c r="R60" s="89" t="s">
        <v>17</v>
      </c>
      <c r="S60" s="89" t="s">
        <v>17</v>
      </c>
      <c r="U60" s="89" t="s">
        <v>17</v>
      </c>
      <c r="V60" s="89" t="s">
        <v>17</v>
      </c>
      <c r="W60" s="89" t="s">
        <v>305</v>
      </c>
      <c r="X60" s="89" t="s">
        <v>17</v>
      </c>
      <c r="Y60" s="92"/>
    </row>
    <row r="61" spans="1:35" ht="38.25" x14ac:dyDescent="0.25">
      <c r="A61" s="89" t="s">
        <v>868</v>
      </c>
      <c r="B61" s="89" t="s">
        <v>80</v>
      </c>
      <c r="C61" s="89" t="str">
        <f t="shared" si="0"/>
        <v>A.09.1.2 061</v>
      </c>
      <c r="D61" s="90" t="s">
        <v>602</v>
      </c>
      <c r="E61" s="89" t="s">
        <v>8</v>
      </c>
      <c r="F61" s="91" t="s">
        <v>442</v>
      </c>
      <c r="G61" s="20" t="s">
        <v>441</v>
      </c>
      <c r="H61" s="91"/>
      <c r="I61" s="91"/>
      <c r="K61" s="89" t="s">
        <v>17</v>
      </c>
      <c r="L61" s="89" t="s">
        <v>17</v>
      </c>
      <c r="M61" s="89" t="s">
        <v>17</v>
      </c>
      <c r="N61" s="89" t="s">
        <v>17</v>
      </c>
      <c r="O61" s="89" t="s">
        <v>305</v>
      </c>
      <c r="P61" s="89" t="s">
        <v>305</v>
      </c>
      <c r="Q61" s="89" t="s">
        <v>10</v>
      </c>
      <c r="T61" s="89" t="s">
        <v>17</v>
      </c>
      <c r="U61" s="89" t="s">
        <v>17</v>
      </c>
      <c r="V61" s="89" t="s">
        <v>17</v>
      </c>
      <c r="W61" s="89" t="s">
        <v>305</v>
      </c>
      <c r="Y61" s="92"/>
    </row>
    <row r="62" spans="1:35" ht="76.5" x14ac:dyDescent="0.25">
      <c r="A62" s="89" t="s">
        <v>868</v>
      </c>
      <c r="B62" s="89" t="s">
        <v>80</v>
      </c>
      <c r="C62" s="89" t="str">
        <f t="shared" si="0"/>
        <v>A.09.1.2 062</v>
      </c>
      <c r="D62" s="90" t="s">
        <v>603</v>
      </c>
      <c r="E62" s="89" t="s">
        <v>8</v>
      </c>
      <c r="F62" s="91" t="s">
        <v>444</v>
      </c>
      <c r="G62" s="20" t="s">
        <v>443</v>
      </c>
      <c r="H62" s="91"/>
      <c r="I62" s="91"/>
      <c r="K62" s="89" t="s">
        <v>17</v>
      </c>
      <c r="L62" s="89" t="s">
        <v>17</v>
      </c>
      <c r="M62" s="89" t="s">
        <v>17</v>
      </c>
      <c r="N62" s="89" t="s">
        <v>17</v>
      </c>
      <c r="O62" s="89" t="s">
        <v>305</v>
      </c>
      <c r="P62" s="89" t="s">
        <v>305</v>
      </c>
      <c r="Q62" s="89" t="s">
        <v>10</v>
      </c>
      <c r="T62" s="89" t="s">
        <v>17</v>
      </c>
      <c r="U62" s="89" t="s">
        <v>17</v>
      </c>
      <c r="V62" s="89" t="s">
        <v>17</v>
      </c>
      <c r="W62" s="89" t="s">
        <v>305</v>
      </c>
      <c r="Y62" s="92"/>
    </row>
    <row r="63" spans="1:35" ht="25.5" x14ac:dyDescent="0.25">
      <c r="A63" s="89" t="s">
        <v>868</v>
      </c>
      <c r="B63" s="89" t="s">
        <v>80</v>
      </c>
      <c r="C63" s="89" t="str">
        <f t="shared" si="0"/>
        <v>A.09.1.2 063</v>
      </c>
      <c r="D63" s="90" t="s">
        <v>604</v>
      </c>
      <c r="E63" s="89" t="s">
        <v>8</v>
      </c>
      <c r="F63" s="91" t="s">
        <v>446</v>
      </c>
      <c r="G63" s="20" t="s">
        <v>445</v>
      </c>
      <c r="H63" s="91"/>
      <c r="I63" s="91"/>
      <c r="K63" s="89" t="s">
        <v>17</v>
      </c>
      <c r="L63" s="89" t="s">
        <v>17</v>
      </c>
      <c r="M63" s="89" t="s">
        <v>17</v>
      </c>
      <c r="N63" s="89" t="s">
        <v>17</v>
      </c>
      <c r="O63" s="89" t="s">
        <v>305</v>
      </c>
      <c r="P63" s="89" t="s">
        <v>305</v>
      </c>
      <c r="Q63" s="89" t="s">
        <v>10</v>
      </c>
      <c r="T63" s="89" t="s">
        <v>17</v>
      </c>
      <c r="U63" s="89" t="s">
        <v>17</v>
      </c>
      <c r="V63" s="89" t="s">
        <v>17</v>
      </c>
      <c r="W63" s="89" t="s">
        <v>305</v>
      </c>
      <c r="Y63" s="92"/>
    </row>
    <row r="64" spans="1:35" ht="76.5" x14ac:dyDescent="0.25">
      <c r="A64" s="89" t="s">
        <v>868</v>
      </c>
      <c r="B64" s="89" t="s">
        <v>80</v>
      </c>
      <c r="C64" s="89" t="str">
        <f t="shared" si="0"/>
        <v>A.09.1.2 064</v>
      </c>
      <c r="D64" s="90" t="s">
        <v>605</v>
      </c>
      <c r="E64" s="89" t="s">
        <v>8</v>
      </c>
      <c r="F64" s="91" t="s">
        <v>448</v>
      </c>
      <c r="G64" s="20" t="s">
        <v>447</v>
      </c>
      <c r="H64" s="91"/>
      <c r="I64" s="91"/>
      <c r="K64" s="89" t="s">
        <v>17</v>
      </c>
      <c r="L64" s="89" t="s">
        <v>17</v>
      </c>
      <c r="M64" s="89" t="s">
        <v>17</v>
      </c>
      <c r="N64" s="89" t="s">
        <v>17</v>
      </c>
      <c r="O64" s="89" t="s">
        <v>305</v>
      </c>
      <c r="P64" s="89" t="s">
        <v>305</v>
      </c>
      <c r="Q64" s="89" t="s">
        <v>10</v>
      </c>
      <c r="T64" s="89" t="s">
        <v>17</v>
      </c>
      <c r="U64" s="89" t="s">
        <v>17</v>
      </c>
      <c r="V64" s="89" t="s">
        <v>17</v>
      </c>
      <c r="W64" s="89" t="s">
        <v>305</v>
      </c>
      <c r="Y64" s="92"/>
    </row>
    <row r="65" spans="1:35" ht="63.75" x14ac:dyDescent="0.25">
      <c r="A65" s="89" t="s">
        <v>868</v>
      </c>
      <c r="B65" s="89" t="s">
        <v>80</v>
      </c>
      <c r="C65" s="89" t="str">
        <f t="shared" si="0"/>
        <v>A.09.1.2 065</v>
      </c>
      <c r="D65" s="90" t="s">
        <v>606</v>
      </c>
      <c r="E65" s="89" t="s">
        <v>8</v>
      </c>
      <c r="F65" s="91" t="s">
        <v>450</v>
      </c>
      <c r="G65" s="20" t="s">
        <v>449</v>
      </c>
      <c r="H65" s="91"/>
      <c r="I65" s="91"/>
      <c r="K65" s="89" t="s">
        <v>17</v>
      </c>
      <c r="L65" s="89" t="s">
        <v>17</v>
      </c>
      <c r="M65" s="89" t="s">
        <v>17</v>
      </c>
      <c r="N65" s="89" t="s">
        <v>17</v>
      </c>
      <c r="O65" s="89" t="s">
        <v>305</v>
      </c>
      <c r="P65" s="89" t="s">
        <v>305</v>
      </c>
      <c r="Q65" s="89" t="s">
        <v>10</v>
      </c>
      <c r="T65" s="89" t="s">
        <v>17</v>
      </c>
      <c r="U65" s="89" t="s">
        <v>17</v>
      </c>
      <c r="V65" s="89" t="s">
        <v>17</v>
      </c>
      <c r="W65" s="89" t="s">
        <v>305</v>
      </c>
      <c r="Y65" s="92"/>
    </row>
    <row r="66" spans="1:35" ht="25.5" x14ac:dyDescent="0.25">
      <c r="A66" s="89" t="s">
        <v>868</v>
      </c>
      <c r="B66" s="89" t="s">
        <v>80</v>
      </c>
      <c r="C66" s="89" t="str">
        <f t="shared" si="0"/>
        <v>A.09.1.2 066</v>
      </c>
      <c r="D66" s="90" t="s">
        <v>608</v>
      </c>
      <c r="E66" s="89" t="s">
        <v>8</v>
      </c>
      <c r="F66" s="91" t="s">
        <v>452</v>
      </c>
      <c r="G66" s="20" t="s">
        <v>451</v>
      </c>
      <c r="H66" s="91"/>
      <c r="I66" s="91"/>
      <c r="K66" s="89" t="s">
        <v>17</v>
      </c>
      <c r="L66" s="89" t="s">
        <v>17</v>
      </c>
      <c r="M66" s="89" t="s">
        <v>17</v>
      </c>
      <c r="N66" s="89" t="s">
        <v>17</v>
      </c>
      <c r="O66" s="89" t="s">
        <v>305</v>
      </c>
      <c r="P66" s="89" t="s">
        <v>305</v>
      </c>
      <c r="Q66" s="89" t="s">
        <v>10</v>
      </c>
      <c r="T66" s="89" t="s">
        <v>17</v>
      </c>
      <c r="U66" s="89" t="s">
        <v>17</v>
      </c>
      <c r="V66" s="89" t="s">
        <v>17</v>
      </c>
      <c r="W66" s="89" t="s">
        <v>305</v>
      </c>
      <c r="Y66" s="92"/>
    </row>
    <row r="67" spans="1:35" ht="51" x14ac:dyDescent="0.25">
      <c r="A67" s="89" t="s">
        <v>868</v>
      </c>
      <c r="B67" s="89" t="s">
        <v>80</v>
      </c>
      <c r="C67" s="89" t="str">
        <f t="shared" ref="C67:C129" si="2">CONCATENATE(B67," ",TEXT(ROW(B67),"000"))</f>
        <v>A.09.1.2 067</v>
      </c>
      <c r="D67" s="90" t="s">
        <v>609</v>
      </c>
      <c r="E67" s="89" t="s">
        <v>8</v>
      </c>
      <c r="F67" s="91" t="s">
        <v>454</v>
      </c>
      <c r="G67" s="20" t="s">
        <v>453</v>
      </c>
      <c r="H67" s="91"/>
      <c r="I67" s="91"/>
      <c r="K67" s="89" t="s">
        <v>17</v>
      </c>
      <c r="L67" s="89" t="s">
        <v>17</v>
      </c>
      <c r="M67" s="89" t="s">
        <v>17</v>
      </c>
      <c r="N67" s="89" t="s">
        <v>17</v>
      </c>
      <c r="O67" s="89" t="s">
        <v>305</v>
      </c>
      <c r="P67" s="89" t="s">
        <v>305</v>
      </c>
      <c r="Q67" s="89" t="s">
        <v>10</v>
      </c>
      <c r="T67" s="89" t="s">
        <v>17</v>
      </c>
      <c r="U67" s="89" t="s">
        <v>17</v>
      </c>
      <c r="V67" s="89" t="s">
        <v>17</v>
      </c>
      <c r="W67" s="89" t="s">
        <v>305</v>
      </c>
      <c r="Y67" s="92"/>
    </row>
    <row r="68" spans="1:35" ht="25.5" x14ac:dyDescent="0.25">
      <c r="A68" s="89" t="s">
        <v>868</v>
      </c>
      <c r="B68" s="89" t="s">
        <v>80</v>
      </c>
      <c r="C68" s="89" t="str">
        <f t="shared" si="2"/>
        <v>A.09.1.2 068</v>
      </c>
      <c r="D68" s="90" t="s">
        <v>610</v>
      </c>
      <c r="E68" s="89" t="s">
        <v>8</v>
      </c>
      <c r="F68" s="91" t="s">
        <v>456</v>
      </c>
      <c r="G68" s="20" t="s">
        <v>455</v>
      </c>
      <c r="H68" s="91"/>
      <c r="I68" s="91"/>
      <c r="K68" s="89" t="s">
        <v>17</v>
      </c>
      <c r="L68" s="89" t="s">
        <v>17</v>
      </c>
      <c r="M68" s="89" t="s">
        <v>17</v>
      </c>
      <c r="N68" s="89" t="s">
        <v>17</v>
      </c>
      <c r="O68" s="89" t="s">
        <v>305</v>
      </c>
      <c r="P68" s="89" t="s">
        <v>305</v>
      </c>
      <c r="Q68" s="89" t="s">
        <v>10</v>
      </c>
      <c r="T68" s="89" t="s">
        <v>17</v>
      </c>
      <c r="U68" s="89" t="s">
        <v>17</v>
      </c>
      <c r="V68" s="89" t="s">
        <v>17</v>
      </c>
      <c r="W68" s="89" t="s">
        <v>305</v>
      </c>
      <c r="Y68" s="92"/>
    </row>
    <row r="69" spans="1:35" ht="76.5" x14ac:dyDescent="0.25">
      <c r="A69" s="89" t="s">
        <v>868</v>
      </c>
      <c r="B69" s="89" t="s">
        <v>80</v>
      </c>
      <c r="C69" s="89" t="str">
        <f t="shared" si="2"/>
        <v>A.09.1.2 069</v>
      </c>
      <c r="D69" s="90" t="s">
        <v>607</v>
      </c>
      <c r="E69" s="89" t="s">
        <v>8</v>
      </c>
      <c r="F69" s="91" t="s">
        <v>458</v>
      </c>
      <c r="G69" s="20" t="s">
        <v>457</v>
      </c>
      <c r="H69" s="91"/>
      <c r="I69" s="91"/>
      <c r="K69" s="89" t="s">
        <v>17</v>
      </c>
      <c r="L69" s="89" t="s">
        <v>17</v>
      </c>
      <c r="M69" s="89" t="s">
        <v>17</v>
      </c>
      <c r="N69" s="89" t="s">
        <v>17</v>
      </c>
      <c r="O69" s="89" t="s">
        <v>305</v>
      </c>
      <c r="P69" s="89" t="s">
        <v>305</v>
      </c>
      <c r="Q69" s="89" t="s">
        <v>10</v>
      </c>
      <c r="T69" s="89" t="s">
        <v>17</v>
      </c>
      <c r="U69" s="89" t="s">
        <v>17</v>
      </c>
      <c r="V69" s="89" t="s">
        <v>17</v>
      </c>
      <c r="W69" s="89" t="s">
        <v>305</v>
      </c>
      <c r="Y69" s="92"/>
    </row>
    <row r="70" spans="1:35" ht="25.5" x14ac:dyDescent="0.25">
      <c r="A70" s="89" t="s">
        <v>868</v>
      </c>
      <c r="B70" s="89" t="s">
        <v>80</v>
      </c>
      <c r="C70" s="89" t="str">
        <f t="shared" si="2"/>
        <v>A.09.1.2 070</v>
      </c>
      <c r="D70" s="90" t="s">
        <v>658</v>
      </c>
      <c r="E70" s="89" t="s">
        <v>8</v>
      </c>
      <c r="F70" s="91" t="s">
        <v>460</v>
      </c>
      <c r="G70" s="20" t="s">
        <v>459</v>
      </c>
      <c r="H70" s="91"/>
      <c r="I70" s="91"/>
      <c r="K70" s="89" t="s">
        <v>17</v>
      </c>
      <c r="L70" s="89" t="s">
        <v>17</v>
      </c>
      <c r="M70" s="89" t="s">
        <v>17</v>
      </c>
      <c r="N70" s="89" t="s">
        <v>17</v>
      </c>
      <c r="O70" s="89" t="s">
        <v>305</v>
      </c>
      <c r="P70" s="89" t="s">
        <v>305</v>
      </c>
      <c r="Q70" s="89" t="s">
        <v>10</v>
      </c>
      <c r="T70" s="89" t="s">
        <v>17</v>
      </c>
      <c r="U70" s="89" t="s">
        <v>17</v>
      </c>
      <c r="V70" s="89" t="s">
        <v>17</v>
      </c>
      <c r="W70" s="89" t="s">
        <v>305</v>
      </c>
      <c r="Y70" s="92"/>
    </row>
    <row r="71" spans="1:35" ht="25.5" x14ac:dyDescent="0.25">
      <c r="A71" s="89" t="s">
        <v>868</v>
      </c>
      <c r="B71" s="89" t="s">
        <v>84</v>
      </c>
      <c r="C71" s="89" t="str">
        <f t="shared" si="2"/>
        <v>A.09.2.1 071</v>
      </c>
      <c r="D71" s="90" t="s">
        <v>612</v>
      </c>
      <c r="E71" s="89" t="s">
        <v>309</v>
      </c>
      <c r="F71" s="91" t="s">
        <v>1455</v>
      </c>
      <c r="G71" s="20" t="s">
        <v>628</v>
      </c>
      <c r="H71" s="91"/>
      <c r="I71" s="91"/>
      <c r="K71" s="89" t="s">
        <v>17</v>
      </c>
      <c r="L71" s="89" t="s">
        <v>17</v>
      </c>
      <c r="M71" s="89" t="s">
        <v>17</v>
      </c>
      <c r="N71" s="89" t="s">
        <v>17</v>
      </c>
      <c r="O71" s="89" t="s">
        <v>305</v>
      </c>
      <c r="P71" s="89" t="s">
        <v>305</v>
      </c>
      <c r="Q71" s="89" t="s">
        <v>17</v>
      </c>
      <c r="R71" s="89" t="s">
        <v>17</v>
      </c>
      <c r="S71" s="89" t="s">
        <v>17</v>
      </c>
      <c r="T71" s="89" t="s">
        <v>17</v>
      </c>
      <c r="U71" s="89" t="s">
        <v>17</v>
      </c>
      <c r="V71" s="89" t="s">
        <v>17</v>
      </c>
      <c r="W71" s="89" t="s">
        <v>17</v>
      </c>
      <c r="X71" s="89" t="s">
        <v>17</v>
      </c>
      <c r="Y71" s="92"/>
      <c r="AH71" s="89" t="str">
        <f>IFERROR(VLOOKUP($Y71,#REF!,AH$1,FALSE),"")</f>
        <v/>
      </c>
      <c r="AI71" s="89" t="str">
        <f>IFERROR(VLOOKUP($Y71,#REF!,AI$1,FALSE),"")</f>
        <v/>
      </c>
    </row>
    <row r="72" spans="1:35" ht="38.25" x14ac:dyDescent="0.25">
      <c r="A72" s="89" t="s">
        <v>868</v>
      </c>
      <c r="B72" s="89" t="s">
        <v>84</v>
      </c>
      <c r="C72" s="89" t="str">
        <f t="shared" si="2"/>
        <v>A.09.2.1 072</v>
      </c>
      <c r="D72" s="90" t="s">
        <v>9</v>
      </c>
      <c r="E72" s="89" t="s">
        <v>8</v>
      </c>
      <c r="F72" s="91" t="s">
        <v>85</v>
      </c>
      <c r="G72" s="91"/>
      <c r="H72" s="91"/>
      <c r="I72" s="91"/>
      <c r="K72" s="89" t="s">
        <v>17</v>
      </c>
      <c r="L72" s="89" t="s">
        <v>17</v>
      </c>
      <c r="M72" s="89" t="s">
        <v>17</v>
      </c>
      <c r="N72" s="89" t="s">
        <v>17</v>
      </c>
      <c r="O72" s="89" t="s">
        <v>305</v>
      </c>
      <c r="P72" s="89" t="s">
        <v>305</v>
      </c>
      <c r="Q72" s="89" t="s">
        <v>17</v>
      </c>
      <c r="R72" s="89" t="s">
        <v>17</v>
      </c>
      <c r="S72" s="89" t="s">
        <v>17</v>
      </c>
      <c r="T72" s="89" t="s">
        <v>17</v>
      </c>
      <c r="U72" s="89" t="s">
        <v>17</v>
      </c>
      <c r="V72" s="89" t="s">
        <v>10</v>
      </c>
      <c r="W72" s="89" t="s">
        <v>17</v>
      </c>
      <c r="X72" s="89" t="s">
        <v>17</v>
      </c>
      <c r="Y72" s="92"/>
      <c r="AH72" s="89" t="str">
        <f>IFERROR(VLOOKUP($Y72,#REF!,AH$1,FALSE),"")</f>
        <v/>
      </c>
      <c r="AI72" s="89" t="str">
        <f>IFERROR(VLOOKUP($Y72,#REF!,AI$1,FALSE),"")</f>
        <v/>
      </c>
    </row>
    <row r="73" spans="1:35" ht="38.25" x14ac:dyDescent="0.25">
      <c r="A73" s="89" t="s">
        <v>868</v>
      </c>
      <c r="B73" s="89" t="s">
        <v>84</v>
      </c>
      <c r="C73" s="89" t="str">
        <f t="shared" si="2"/>
        <v>A.09.2.1 073</v>
      </c>
      <c r="D73" s="90" t="s">
        <v>11</v>
      </c>
      <c r="E73" s="89" t="s">
        <v>8</v>
      </c>
      <c r="F73" s="91" t="s">
        <v>86</v>
      </c>
      <c r="G73" s="91"/>
      <c r="H73" s="91"/>
      <c r="I73" s="91"/>
      <c r="K73" s="89" t="s">
        <v>17</v>
      </c>
      <c r="L73" s="89" t="s">
        <v>17</v>
      </c>
      <c r="M73" s="89" t="s">
        <v>17</v>
      </c>
      <c r="N73" s="89" t="s">
        <v>17</v>
      </c>
      <c r="O73" s="89" t="s">
        <v>305</v>
      </c>
      <c r="P73" s="89" t="s">
        <v>305</v>
      </c>
      <c r="Q73" s="89" t="s">
        <v>17</v>
      </c>
      <c r="R73" s="89" t="s">
        <v>10</v>
      </c>
      <c r="S73" s="89" t="s">
        <v>17</v>
      </c>
      <c r="T73" s="89" t="s">
        <v>10</v>
      </c>
      <c r="U73" s="89" t="s">
        <v>10</v>
      </c>
      <c r="V73" s="89" t="s">
        <v>10</v>
      </c>
      <c r="W73" s="89" t="s">
        <v>17</v>
      </c>
      <c r="X73" s="89" t="s">
        <v>10</v>
      </c>
      <c r="Y73" s="92"/>
      <c r="AH73" s="89" t="str">
        <f>IFERROR(VLOOKUP($Y73,#REF!,AH$1,FALSE),"")</f>
        <v/>
      </c>
      <c r="AI73" s="89" t="str">
        <f>IFERROR(VLOOKUP($Y73,#REF!,AI$1,FALSE),"")</f>
        <v/>
      </c>
    </row>
    <row r="74" spans="1:35" ht="38.25" x14ac:dyDescent="0.25">
      <c r="A74" s="89" t="s">
        <v>868</v>
      </c>
      <c r="B74" s="89" t="s">
        <v>84</v>
      </c>
      <c r="C74" s="89" t="str">
        <f t="shared" si="2"/>
        <v>A.09.2.1 074</v>
      </c>
      <c r="D74" s="90" t="s">
        <v>12</v>
      </c>
      <c r="E74" s="89" t="s">
        <v>8</v>
      </c>
      <c r="F74" s="91" t="s">
        <v>87</v>
      </c>
      <c r="G74" s="91"/>
      <c r="H74" s="91"/>
      <c r="I74" s="91"/>
      <c r="K74" s="89" t="s">
        <v>17</v>
      </c>
      <c r="L74" s="89" t="s">
        <v>17</v>
      </c>
      <c r="M74" s="89" t="s">
        <v>17</v>
      </c>
      <c r="N74" s="89" t="s">
        <v>17</v>
      </c>
      <c r="O74" s="89" t="s">
        <v>305</v>
      </c>
      <c r="P74" s="89" t="s">
        <v>305</v>
      </c>
      <c r="Q74" s="89" t="s">
        <v>17</v>
      </c>
      <c r="R74" s="89" t="s">
        <v>17</v>
      </c>
      <c r="S74" s="89" t="s">
        <v>17</v>
      </c>
      <c r="T74" s="89" t="s">
        <v>17</v>
      </c>
      <c r="U74" s="89" t="s">
        <v>17</v>
      </c>
      <c r="V74" s="89" t="s">
        <v>10</v>
      </c>
      <c r="W74" s="89" t="s">
        <v>17</v>
      </c>
      <c r="X74" s="89" t="s">
        <v>17</v>
      </c>
      <c r="Y74" s="92"/>
      <c r="AH74" s="89" t="str">
        <f>IFERROR(VLOOKUP($Y74,#REF!,AH$1,FALSE),"")</f>
        <v/>
      </c>
      <c r="AI74" s="89" t="str">
        <f>IFERROR(VLOOKUP($Y74,#REF!,AI$1,FALSE),"")</f>
        <v/>
      </c>
    </row>
    <row r="75" spans="1:35" ht="25.5" x14ac:dyDescent="0.25">
      <c r="A75" s="89" t="s">
        <v>868</v>
      </c>
      <c r="B75" s="89" t="s">
        <v>84</v>
      </c>
      <c r="C75" s="89" t="str">
        <f t="shared" si="2"/>
        <v>A.09.2.1 075</v>
      </c>
      <c r="D75" s="90" t="s">
        <v>14</v>
      </c>
      <c r="E75" s="89" t="s">
        <v>8</v>
      </c>
      <c r="F75" s="91" t="s">
        <v>88</v>
      </c>
      <c r="G75" s="91"/>
      <c r="H75" s="91"/>
      <c r="I75" s="91"/>
      <c r="K75" s="89" t="s">
        <v>17</v>
      </c>
      <c r="L75" s="89" t="s">
        <v>17</v>
      </c>
      <c r="M75" s="89" t="s">
        <v>17</v>
      </c>
      <c r="N75" s="89" t="s">
        <v>17</v>
      </c>
      <c r="O75" s="89" t="s">
        <v>305</v>
      </c>
      <c r="P75" s="89" t="s">
        <v>305</v>
      </c>
      <c r="Q75" s="89" t="s">
        <v>17</v>
      </c>
      <c r="R75" s="89" t="s">
        <v>17</v>
      </c>
      <c r="S75" s="89" t="s">
        <v>17</v>
      </c>
      <c r="T75" s="89" t="s">
        <v>17</v>
      </c>
      <c r="U75" s="89" t="s">
        <v>17</v>
      </c>
      <c r="V75" s="89" t="s">
        <v>10</v>
      </c>
      <c r="W75" s="89" t="s">
        <v>17</v>
      </c>
      <c r="X75" s="89" t="s">
        <v>17</v>
      </c>
      <c r="Y75" s="92"/>
      <c r="AH75" s="89" t="str">
        <f>IFERROR(VLOOKUP($Y75,#REF!,AH$1,FALSE),"")</f>
        <v/>
      </c>
      <c r="AI75" s="89" t="str">
        <f>IFERROR(VLOOKUP($Y75,#REF!,AI$1,FALSE),"")</f>
        <v/>
      </c>
    </row>
    <row r="76" spans="1:35" ht="76.5" x14ac:dyDescent="0.25">
      <c r="A76" s="89" t="s">
        <v>868</v>
      </c>
      <c r="B76" s="89" t="s">
        <v>84</v>
      </c>
      <c r="C76" s="89" t="str">
        <f t="shared" si="2"/>
        <v>A.09.2.1 076</v>
      </c>
      <c r="D76" s="90" t="s">
        <v>605</v>
      </c>
      <c r="E76" s="89" t="s">
        <v>8</v>
      </c>
      <c r="F76" s="91" t="s">
        <v>462</v>
      </c>
      <c r="G76" s="91" t="s">
        <v>461</v>
      </c>
      <c r="H76" s="91"/>
      <c r="I76" s="91"/>
      <c r="K76" s="89" t="s">
        <v>17</v>
      </c>
      <c r="L76" s="89" t="s">
        <v>17</v>
      </c>
      <c r="M76" s="89" t="s">
        <v>17</v>
      </c>
      <c r="N76" s="89" t="s">
        <v>17</v>
      </c>
      <c r="O76" s="89" t="s">
        <v>305</v>
      </c>
      <c r="P76" s="89" t="s">
        <v>305</v>
      </c>
      <c r="Q76" s="89" t="s">
        <v>17</v>
      </c>
      <c r="R76" s="89" t="s">
        <v>10</v>
      </c>
      <c r="S76" s="89" t="s">
        <v>17</v>
      </c>
      <c r="T76" s="89" t="s">
        <v>10</v>
      </c>
      <c r="U76" s="89" t="s">
        <v>10</v>
      </c>
      <c r="V76" s="89" t="s">
        <v>17</v>
      </c>
      <c r="W76" s="89" t="s">
        <v>17</v>
      </c>
      <c r="X76" s="89" t="s">
        <v>10</v>
      </c>
      <c r="Y76" s="94"/>
      <c r="AH76" s="89" t="str">
        <f>IFERROR(VLOOKUP($Y76,#REF!,AH$1,FALSE),"")</f>
        <v/>
      </c>
      <c r="AI76" s="89" t="str">
        <f>IFERROR(VLOOKUP($Y76,#REF!,AI$1,FALSE),"")</f>
        <v/>
      </c>
    </row>
    <row r="77" spans="1:35" ht="38.25" x14ac:dyDescent="0.25">
      <c r="A77" s="89" t="s">
        <v>868</v>
      </c>
      <c r="B77" s="89" t="s">
        <v>84</v>
      </c>
      <c r="C77" s="89" t="str">
        <f t="shared" si="2"/>
        <v>A.09.2.1 077</v>
      </c>
      <c r="D77" s="90" t="s">
        <v>606</v>
      </c>
      <c r="E77" s="89" t="s">
        <v>8</v>
      </c>
      <c r="F77" s="91" t="s">
        <v>464</v>
      </c>
      <c r="G77" s="91" t="s">
        <v>463</v>
      </c>
      <c r="H77" s="91"/>
      <c r="I77" s="91"/>
      <c r="K77" s="89" t="s">
        <v>17</v>
      </c>
      <c r="L77" s="89" t="s">
        <v>17</v>
      </c>
      <c r="M77" s="89" t="s">
        <v>17</v>
      </c>
      <c r="N77" s="89" t="s">
        <v>17</v>
      </c>
      <c r="O77" s="89" t="s">
        <v>305</v>
      </c>
      <c r="P77" s="89" t="s">
        <v>305</v>
      </c>
      <c r="Q77" s="89" t="s">
        <v>17</v>
      </c>
      <c r="R77" s="89" t="s">
        <v>17</v>
      </c>
      <c r="S77" s="89" t="s">
        <v>17</v>
      </c>
      <c r="T77" s="89" t="s">
        <v>17</v>
      </c>
      <c r="U77" s="89" t="s">
        <v>17</v>
      </c>
      <c r="V77" s="89" t="s">
        <v>17</v>
      </c>
      <c r="W77" s="89" t="s">
        <v>17</v>
      </c>
      <c r="X77" s="89" t="s">
        <v>17</v>
      </c>
      <c r="Y77" s="95"/>
      <c r="AH77" s="89" t="str">
        <f>IFERROR(VLOOKUP($Y77,#REF!,AH$1,FALSE),"")</f>
        <v/>
      </c>
      <c r="AI77" s="89" t="str">
        <f>IFERROR(VLOOKUP($Y77,#REF!,AI$1,FALSE),"")</f>
        <v/>
      </c>
    </row>
    <row r="78" spans="1:35" ht="25.5" x14ac:dyDescent="0.25">
      <c r="A78" s="89" t="s">
        <v>868</v>
      </c>
      <c r="B78" s="89" t="s">
        <v>84</v>
      </c>
      <c r="C78" s="89" t="str">
        <f t="shared" si="2"/>
        <v>A.09.2.1 078</v>
      </c>
      <c r="D78" s="90" t="s">
        <v>32</v>
      </c>
      <c r="E78" s="89" t="s">
        <v>8</v>
      </c>
      <c r="F78" s="91" t="s">
        <v>89</v>
      </c>
      <c r="G78" s="91"/>
      <c r="H78" s="91"/>
      <c r="I78" s="91"/>
      <c r="K78" s="89" t="s">
        <v>17</v>
      </c>
      <c r="L78" s="89" t="s">
        <v>17</v>
      </c>
      <c r="M78" s="89" t="s">
        <v>17</v>
      </c>
      <c r="N78" s="89" t="s">
        <v>17</v>
      </c>
      <c r="O78" s="89" t="s">
        <v>305</v>
      </c>
      <c r="P78" s="89" t="s">
        <v>305</v>
      </c>
      <c r="Q78" s="89" t="s">
        <v>17</v>
      </c>
      <c r="R78" s="89" t="s">
        <v>17</v>
      </c>
      <c r="S78" s="89" t="s">
        <v>17</v>
      </c>
      <c r="T78" s="89" t="s">
        <v>17</v>
      </c>
      <c r="U78" s="89" t="s">
        <v>17</v>
      </c>
      <c r="V78" s="89" t="s">
        <v>10</v>
      </c>
      <c r="W78" s="89" t="s">
        <v>305</v>
      </c>
      <c r="X78" s="89" t="s">
        <v>17</v>
      </c>
      <c r="Y78" s="96"/>
      <c r="AH78" s="89" t="str">
        <f>IFERROR(VLOOKUP($Y78,#REF!,AH$1,FALSE),"")</f>
        <v/>
      </c>
      <c r="AI78" s="89" t="str">
        <f>IFERROR(VLOOKUP($Y78,#REF!,AI$1,FALSE),"")</f>
        <v/>
      </c>
    </row>
    <row r="79" spans="1:35" ht="25.5" x14ac:dyDescent="0.25">
      <c r="A79" s="89" t="s">
        <v>867</v>
      </c>
      <c r="B79" s="89" t="s">
        <v>90</v>
      </c>
      <c r="C79" s="89" t="str">
        <f t="shared" si="2"/>
        <v>A.09.2.3 079</v>
      </c>
      <c r="D79" s="90" t="s">
        <v>612</v>
      </c>
      <c r="E79" s="89" t="s">
        <v>309</v>
      </c>
      <c r="F79" s="97" t="s">
        <v>392</v>
      </c>
      <c r="G79" s="97" t="s">
        <v>391</v>
      </c>
      <c r="H79" s="97"/>
      <c r="I79" s="91"/>
      <c r="K79" s="89" t="s">
        <v>17</v>
      </c>
      <c r="L79" s="89" t="s">
        <v>17</v>
      </c>
      <c r="M79" s="89" t="s">
        <v>17</v>
      </c>
      <c r="N79" s="89" t="s">
        <v>17</v>
      </c>
      <c r="O79" s="89" t="s">
        <v>305</v>
      </c>
      <c r="P79" s="89" t="s">
        <v>305</v>
      </c>
      <c r="Q79" s="89" t="s">
        <v>17</v>
      </c>
      <c r="R79" s="89" t="s">
        <v>17</v>
      </c>
      <c r="S79" s="89" t="s">
        <v>17</v>
      </c>
      <c r="T79" s="89" t="s">
        <v>17</v>
      </c>
      <c r="U79" s="89" t="s">
        <v>17</v>
      </c>
      <c r="V79" s="89" t="s">
        <v>17</v>
      </c>
      <c r="W79" s="89" t="s">
        <v>305</v>
      </c>
      <c r="X79" s="89" t="s">
        <v>17</v>
      </c>
      <c r="Y79" s="96"/>
      <c r="AH79" s="89" t="str">
        <f>IFERROR(VLOOKUP($Y79,#REF!,AH$1,FALSE),"")</f>
        <v/>
      </c>
      <c r="AI79" s="89" t="str">
        <f>IFERROR(VLOOKUP($Y79,#REF!,AI$1,FALSE),"")</f>
        <v/>
      </c>
    </row>
    <row r="80" spans="1:35" ht="38.25" x14ac:dyDescent="0.25">
      <c r="A80" s="89" t="s">
        <v>868</v>
      </c>
      <c r="B80" s="89" t="s">
        <v>90</v>
      </c>
      <c r="C80" s="89" t="str">
        <f t="shared" si="2"/>
        <v>A.09.2.3 080</v>
      </c>
      <c r="D80" s="90" t="s">
        <v>9</v>
      </c>
      <c r="E80" s="89" t="s">
        <v>13</v>
      </c>
      <c r="F80" s="91" t="s">
        <v>91</v>
      </c>
      <c r="G80" s="91"/>
      <c r="H80" s="91"/>
      <c r="I80" s="91"/>
      <c r="K80" s="89" t="s">
        <v>17</v>
      </c>
      <c r="L80" s="89" t="s">
        <v>17</v>
      </c>
      <c r="M80" s="89" t="s">
        <v>17</v>
      </c>
      <c r="N80" s="89" t="s">
        <v>17</v>
      </c>
      <c r="O80" s="89" t="s">
        <v>305</v>
      </c>
      <c r="P80" s="89" t="s">
        <v>305</v>
      </c>
      <c r="Q80" s="89" t="s">
        <v>17</v>
      </c>
      <c r="R80" s="89" t="s">
        <v>17</v>
      </c>
      <c r="S80" s="89" t="s">
        <v>17</v>
      </c>
      <c r="T80" s="89" t="s">
        <v>17</v>
      </c>
      <c r="U80" s="89" t="s">
        <v>17</v>
      </c>
      <c r="V80" s="89" t="s">
        <v>10</v>
      </c>
      <c r="W80" s="89" t="s">
        <v>305</v>
      </c>
      <c r="X80" s="89" t="s">
        <v>17</v>
      </c>
      <c r="AH80" s="89" t="str">
        <f>IFERROR(VLOOKUP($Y80,#REF!,AH$1,FALSE),"")</f>
        <v/>
      </c>
      <c r="AI80" s="89" t="str">
        <f>IFERROR(VLOOKUP($Y80,#REF!,AI$1,FALSE),"")</f>
        <v/>
      </c>
    </row>
    <row r="81" spans="1:35" ht="306" x14ac:dyDescent="0.25">
      <c r="A81" s="89" t="s">
        <v>868</v>
      </c>
      <c r="B81" s="89" t="s">
        <v>90</v>
      </c>
      <c r="C81" s="89" t="str">
        <f t="shared" si="2"/>
        <v>A.09.2.3 081</v>
      </c>
      <c r="D81" s="90" t="s">
        <v>601</v>
      </c>
      <c r="E81" s="89" t="s">
        <v>8</v>
      </c>
      <c r="F81" s="91" t="s">
        <v>661</v>
      </c>
      <c r="G81" s="91" t="s">
        <v>465</v>
      </c>
      <c r="H81" s="91"/>
      <c r="I81" s="91"/>
      <c r="K81" s="89" t="s">
        <v>17</v>
      </c>
      <c r="L81" s="89" t="s">
        <v>17</v>
      </c>
      <c r="M81" s="89" t="s">
        <v>17</v>
      </c>
      <c r="N81" s="89" t="s">
        <v>17</v>
      </c>
      <c r="O81" s="89" t="s">
        <v>305</v>
      </c>
      <c r="P81" s="89" t="s">
        <v>305</v>
      </c>
      <c r="Q81" s="89" t="s">
        <v>17</v>
      </c>
      <c r="R81" s="89" t="s">
        <v>17</v>
      </c>
      <c r="S81" s="89" t="s">
        <v>17</v>
      </c>
      <c r="T81" s="89" t="s">
        <v>17</v>
      </c>
      <c r="U81" s="89" t="s">
        <v>17</v>
      </c>
      <c r="V81" s="89" t="s">
        <v>17</v>
      </c>
      <c r="W81" s="89" t="s">
        <v>305</v>
      </c>
      <c r="X81" s="89" t="s">
        <v>17</v>
      </c>
      <c r="Y81" s="95"/>
      <c r="AH81" s="89" t="str">
        <f>IFERROR(VLOOKUP($Y81,#REF!,AH$1,FALSE),"")</f>
        <v/>
      </c>
      <c r="AI81" s="89" t="str">
        <f>IFERROR(VLOOKUP($Y81,#REF!,AI$1,FALSE),"")</f>
        <v/>
      </c>
    </row>
    <row r="82" spans="1:35" x14ac:dyDescent="0.25">
      <c r="A82" s="89" t="s">
        <v>868</v>
      </c>
      <c r="B82" s="89" t="s">
        <v>90</v>
      </c>
      <c r="C82" s="89" t="str">
        <f t="shared" si="2"/>
        <v>A.09.2.3 082</v>
      </c>
      <c r="D82" s="90" t="s">
        <v>12</v>
      </c>
      <c r="E82" s="89" t="s">
        <v>13</v>
      </c>
      <c r="F82" s="91" t="s">
        <v>92</v>
      </c>
      <c r="G82" s="91"/>
      <c r="H82" s="91"/>
      <c r="I82" s="91"/>
      <c r="K82" s="89" t="s">
        <v>17</v>
      </c>
      <c r="L82" s="89" t="s">
        <v>17</v>
      </c>
      <c r="M82" s="89" t="s">
        <v>17</v>
      </c>
      <c r="N82" s="89" t="s">
        <v>17</v>
      </c>
      <c r="O82" s="89" t="s">
        <v>305</v>
      </c>
      <c r="P82" s="89" t="s">
        <v>305</v>
      </c>
      <c r="Q82" s="89" t="s">
        <v>17</v>
      </c>
      <c r="R82" s="89" t="s">
        <v>17</v>
      </c>
      <c r="S82" s="89" t="s">
        <v>17</v>
      </c>
      <c r="T82" s="89" t="s">
        <v>17</v>
      </c>
      <c r="U82" s="89" t="s">
        <v>17</v>
      </c>
      <c r="V82" s="89" t="s">
        <v>10</v>
      </c>
      <c r="W82" s="89" t="s">
        <v>305</v>
      </c>
      <c r="X82" s="89" t="s">
        <v>17</v>
      </c>
      <c r="AH82" s="89" t="str">
        <f>IFERROR(VLOOKUP($Y82,#REF!,AH$1,FALSE),"")</f>
        <v/>
      </c>
      <c r="AI82" s="89" t="str">
        <f>IFERROR(VLOOKUP($Y82,#REF!,AI$1,FALSE),"")</f>
        <v/>
      </c>
    </row>
    <row r="83" spans="1:35" ht="63.75" x14ac:dyDescent="0.25">
      <c r="A83" s="89" t="s">
        <v>868</v>
      </c>
      <c r="B83" s="89" t="s">
        <v>90</v>
      </c>
      <c r="C83" s="89" t="str">
        <f t="shared" si="2"/>
        <v>A.09.2.3 083</v>
      </c>
      <c r="D83" s="90" t="s">
        <v>602</v>
      </c>
      <c r="E83" s="89" t="s">
        <v>8</v>
      </c>
      <c r="F83" s="91" t="s">
        <v>467</v>
      </c>
      <c r="G83" s="91" t="s">
        <v>466</v>
      </c>
      <c r="H83" s="91"/>
      <c r="I83" s="91"/>
      <c r="K83" s="89" t="s">
        <v>17</v>
      </c>
      <c r="L83" s="89" t="s">
        <v>17</v>
      </c>
      <c r="M83" s="89" t="s">
        <v>17</v>
      </c>
      <c r="N83" s="89" t="s">
        <v>17</v>
      </c>
      <c r="O83" s="89" t="s">
        <v>305</v>
      </c>
      <c r="P83" s="89" t="s">
        <v>305</v>
      </c>
      <c r="Q83" s="89" t="s">
        <v>17</v>
      </c>
      <c r="R83" s="89" t="s">
        <v>17</v>
      </c>
      <c r="S83" s="89" t="s">
        <v>17</v>
      </c>
      <c r="T83" s="89" t="s">
        <v>17</v>
      </c>
      <c r="U83" s="89" t="s">
        <v>17</v>
      </c>
      <c r="V83" s="89" t="s">
        <v>17</v>
      </c>
      <c r="W83" s="89" t="s">
        <v>305</v>
      </c>
      <c r="X83" s="89" t="s">
        <v>17</v>
      </c>
      <c r="Y83" s="95"/>
      <c r="AH83" s="89" t="str">
        <f>IFERROR(VLOOKUP($Y83,#REF!,AH$1,FALSE),"")</f>
        <v/>
      </c>
      <c r="AI83" s="89" t="str">
        <f>IFERROR(VLOOKUP($Y83,#REF!,AI$1,FALSE),"")</f>
        <v/>
      </c>
    </row>
    <row r="84" spans="1:35" ht="38.25" x14ac:dyDescent="0.25">
      <c r="A84" s="89" t="s">
        <v>868</v>
      </c>
      <c r="B84" s="89" t="s">
        <v>90</v>
      </c>
      <c r="C84" s="89" t="str">
        <f t="shared" si="2"/>
        <v>A.09.2.3 084</v>
      </c>
      <c r="D84" s="90" t="s">
        <v>15</v>
      </c>
      <c r="E84" s="89" t="s">
        <v>13</v>
      </c>
      <c r="F84" s="91" t="s">
        <v>93</v>
      </c>
      <c r="G84" s="91"/>
      <c r="H84" s="91"/>
      <c r="I84" s="91"/>
      <c r="K84" s="89" t="s">
        <v>17</v>
      </c>
      <c r="L84" s="89" t="s">
        <v>17</v>
      </c>
      <c r="M84" s="89" t="s">
        <v>17</v>
      </c>
      <c r="N84" s="89" t="s">
        <v>17</v>
      </c>
      <c r="O84" s="89" t="s">
        <v>305</v>
      </c>
      <c r="P84" s="89" t="s">
        <v>305</v>
      </c>
      <c r="Q84" s="89" t="s">
        <v>17</v>
      </c>
      <c r="R84" s="89" t="s">
        <v>17</v>
      </c>
      <c r="S84" s="89" t="s">
        <v>17</v>
      </c>
      <c r="T84" s="89" t="s">
        <v>17</v>
      </c>
      <c r="U84" s="89" t="s">
        <v>17</v>
      </c>
      <c r="V84" s="89" t="s">
        <v>10</v>
      </c>
      <c r="W84" s="89" t="s">
        <v>305</v>
      </c>
      <c r="X84" s="89" t="s">
        <v>17</v>
      </c>
      <c r="AH84" s="89" t="str">
        <f>IFERROR(VLOOKUP($Y84,#REF!,AH$1,FALSE),"")</f>
        <v/>
      </c>
      <c r="AI84" s="89" t="str">
        <f>IFERROR(VLOOKUP($Y84,#REF!,AI$1,FALSE),"")</f>
        <v/>
      </c>
    </row>
    <row r="85" spans="1:35" x14ac:dyDescent="0.25">
      <c r="A85" s="89" t="s">
        <v>868</v>
      </c>
      <c r="B85" s="89" t="s">
        <v>94</v>
      </c>
      <c r="C85" s="89" t="str">
        <f t="shared" si="2"/>
        <v>A.09.2.4 085</v>
      </c>
      <c r="D85" s="90" t="s">
        <v>612</v>
      </c>
      <c r="E85" s="89" t="s">
        <v>309</v>
      </c>
      <c r="F85" s="91" t="s">
        <v>97</v>
      </c>
      <c r="G85" s="20" t="s">
        <v>629</v>
      </c>
      <c r="H85" s="91"/>
      <c r="I85" s="91"/>
      <c r="K85" s="89" t="s">
        <v>17</v>
      </c>
      <c r="L85" s="89" t="s">
        <v>17</v>
      </c>
      <c r="M85" s="89" t="s">
        <v>17</v>
      </c>
      <c r="N85" s="89" t="s">
        <v>17</v>
      </c>
      <c r="O85" s="89" t="s">
        <v>305</v>
      </c>
      <c r="P85" s="89" t="s">
        <v>305</v>
      </c>
      <c r="Q85" s="89" t="s">
        <v>17</v>
      </c>
      <c r="R85" s="89" t="s">
        <v>17</v>
      </c>
      <c r="S85" s="89" t="s">
        <v>17</v>
      </c>
      <c r="T85" s="89" t="s">
        <v>17</v>
      </c>
      <c r="U85" s="89" t="s">
        <v>17</v>
      </c>
      <c r="V85" s="89" t="s">
        <v>17</v>
      </c>
      <c r="W85" s="89" t="s">
        <v>17</v>
      </c>
      <c r="X85" s="89" t="s">
        <v>17</v>
      </c>
      <c r="Y85" s="96"/>
      <c r="AH85" s="89" t="str">
        <f>IFERROR(VLOOKUP($Y85,#REF!,AH$1,FALSE),"")</f>
        <v/>
      </c>
      <c r="AI85" s="89" t="str">
        <f>IFERROR(VLOOKUP($Y85,#REF!,AI$1,FALSE),"")</f>
        <v/>
      </c>
    </row>
    <row r="86" spans="1:35" ht="51" x14ac:dyDescent="0.25">
      <c r="A86" s="89" t="s">
        <v>868</v>
      </c>
      <c r="B86" s="89" t="s">
        <v>94</v>
      </c>
      <c r="C86" s="89" t="str">
        <f t="shared" si="2"/>
        <v>A.09.2.4 086</v>
      </c>
      <c r="D86" s="90" t="s">
        <v>601</v>
      </c>
      <c r="E86" s="89" t="s">
        <v>8</v>
      </c>
      <c r="F86" s="91" t="s">
        <v>469</v>
      </c>
      <c r="G86" s="91" t="s">
        <v>468</v>
      </c>
      <c r="H86" s="91"/>
      <c r="I86" s="91"/>
      <c r="K86" s="89" t="s">
        <v>17</v>
      </c>
      <c r="L86" s="89" t="s">
        <v>17</v>
      </c>
      <c r="M86" s="89" t="s">
        <v>17</v>
      </c>
      <c r="N86" s="89" t="s">
        <v>17</v>
      </c>
      <c r="O86" s="89" t="s">
        <v>305</v>
      </c>
      <c r="P86" s="89" t="s">
        <v>305</v>
      </c>
      <c r="Q86" s="89" t="s">
        <v>17</v>
      </c>
      <c r="R86" s="89" t="s">
        <v>17</v>
      </c>
      <c r="S86" s="89" t="s">
        <v>17</v>
      </c>
      <c r="T86" s="89" t="s">
        <v>17</v>
      </c>
      <c r="U86" s="89" t="s">
        <v>17</v>
      </c>
      <c r="V86" s="89" t="s">
        <v>17</v>
      </c>
      <c r="W86" s="89" t="s">
        <v>17</v>
      </c>
      <c r="X86" s="89" t="s">
        <v>17</v>
      </c>
      <c r="Y86" s="95"/>
      <c r="AH86" s="89" t="str">
        <f>IFERROR(VLOOKUP($Y86,#REF!,AH$1,FALSE),"")</f>
        <v/>
      </c>
      <c r="AI86" s="89" t="str">
        <f>IFERROR(VLOOKUP($Y86,#REF!,AI$1,FALSE),"")</f>
        <v/>
      </c>
    </row>
    <row r="87" spans="1:35" ht="89.25" x14ac:dyDescent="0.25">
      <c r="A87" s="89" t="s">
        <v>868</v>
      </c>
      <c r="B87" s="89" t="s">
        <v>94</v>
      </c>
      <c r="C87" s="89" t="str">
        <f t="shared" si="2"/>
        <v>A.09.2.4 087</v>
      </c>
      <c r="D87" s="90" t="s">
        <v>602</v>
      </c>
      <c r="E87" s="89" t="s">
        <v>8</v>
      </c>
      <c r="F87" s="91" t="s">
        <v>471</v>
      </c>
      <c r="G87" s="91" t="s">
        <v>470</v>
      </c>
      <c r="H87" s="91"/>
      <c r="I87" s="91"/>
      <c r="K87" s="89" t="s">
        <v>17</v>
      </c>
      <c r="L87" s="89" t="s">
        <v>17</v>
      </c>
      <c r="M87" s="89" t="s">
        <v>17</v>
      </c>
      <c r="N87" s="89" t="s">
        <v>17</v>
      </c>
      <c r="O87" s="89" t="s">
        <v>305</v>
      </c>
      <c r="P87" s="89" t="s">
        <v>305</v>
      </c>
      <c r="Q87" s="89" t="s">
        <v>17</v>
      </c>
      <c r="R87" s="89" t="s">
        <v>17</v>
      </c>
      <c r="S87" s="89" t="s">
        <v>17</v>
      </c>
      <c r="T87" s="89" t="s">
        <v>17</v>
      </c>
      <c r="U87" s="89" t="s">
        <v>17</v>
      </c>
      <c r="V87" s="89" t="s">
        <v>17</v>
      </c>
      <c r="W87" s="89" t="s">
        <v>17</v>
      </c>
      <c r="X87" s="89" t="s">
        <v>17</v>
      </c>
      <c r="Y87" s="95"/>
      <c r="AH87" s="89" t="str">
        <f>IFERROR(VLOOKUP($Y87,#REF!,AH$1,FALSE),"")</f>
        <v/>
      </c>
      <c r="AI87" s="89" t="str">
        <f>IFERROR(VLOOKUP($Y87,#REF!,AI$1,FALSE),"")</f>
        <v/>
      </c>
    </row>
    <row r="88" spans="1:35" ht="63.75" x14ac:dyDescent="0.25">
      <c r="A88" s="89" t="s">
        <v>868</v>
      </c>
      <c r="B88" s="89" t="s">
        <v>94</v>
      </c>
      <c r="C88" s="89" t="str">
        <f t="shared" si="2"/>
        <v>A.09.2.4 088</v>
      </c>
      <c r="D88" s="90" t="s">
        <v>603</v>
      </c>
      <c r="E88" s="89" t="s">
        <v>8</v>
      </c>
      <c r="F88" s="91" t="s">
        <v>95</v>
      </c>
      <c r="G88" s="91" t="s">
        <v>472</v>
      </c>
      <c r="H88" s="91"/>
      <c r="I88" s="91"/>
      <c r="K88" s="89" t="s">
        <v>17</v>
      </c>
      <c r="L88" s="89" t="s">
        <v>17</v>
      </c>
      <c r="M88" s="89" t="s">
        <v>17</v>
      </c>
      <c r="N88" s="89" t="s">
        <v>17</v>
      </c>
      <c r="O88" s="89" t="s">
        <v>305</v>
      </c>
      <c r="P88" s="89" t="s">
        <v>305</v>
      </c>
      <c r="Q88" s="89" t="s">
        <v>17</v>
      </c>
      <c r="R88" s="89" t="s">
        <v>17</v>
      </c>
      <c r="S88" s="89" t="s">
        <v>17</v>
      </c>
      <c r="T88" s="89" t="s">
        <v>17</v>
      </c>
      <c r="U88" s="89" t="s">
        <v>17</v>
      </c>
      <c r="V88" s="89" t="s">
        <v>17</v>
      </c>
      <c r="W88" s="89" t="s">
        <v>17</v>
      </c>
      <c r="X88" s="89" t="s">
        <v>17</v>
      </c>
      <c r="Y88" s="95"/>
      <c r="AH88" s="89" t="str">
        <f>IFERROR(VLOOKUP($Y88,#REF!,AH$1,FALSE),"")</f>
        <v/>
      </c>
      <c r="AI88" s="89" t="str">
        <f>IFERROR(VLOOKUP($Y88,#REF!,AI$1,FALSE),"")</f>
        <v/>
      </c>
    </row>
    <row r="89" spans="1:35" x14ac:dyDescent="0.25">
      <c r="A89" s="89" t="s">
        <v>868</v>
      </c>
      <c r="B89" s="89" t="s">
        <v>94</v>
      </c>
      <c r="C89" s="89" t="str">
        <f t="shared" si="2"/>
        <v>A.09.2.4 089</v>
      </c>
      <c r="D89" s="90" t="s">
        <v>14</v>
      </c>
      <c r="E89" s="89" t="s">
        <v>13</v>
      </c>
      <c r="F89" s="91" t="s">
        <v>96</v>
      </c>
      <c r="G89" s="91"/>
      <c r="H89" s="91"/>
      <c r="I89" s="91"/>
      <c r="K89" s="89" t="s">
        <v>17</v>
      </c>
      <c r="L89" s="89" t="s">
        <v>17</v>
      </c>
      <c r="M89" s="89" t="s">
        <v>17</v>
      </c>
      <c r="N89" s="89" t="s">
        <v>17</v>
      </c>
      <c r="O89" s="89" t="s">
        <v>305</v>
      </c>
      <c r="P89" s="89" t="s">
        <v>305</v>
      </c>
      <c r="Q89" s="89" t="s">
        <v>17</v>
      </c>
      <c r="R89" s="89" t="s">
        <v>17</v>
      </c>
      <c r="S89" s="89" t="s">
        <v>17</v>
      </c>
      <c r="T89" s="89" t="s">
        <v>17</v>
      </c>
      <c r="U89" s="89" t="s">
        <v>17</v>
      </c>
      <c r="V89" s="89" t="s">
        <v>10</v>
      </c>
      <c r="W89" s="89" t="s">
        <v>305</v>
      </c>
      <c r="X89" s="89" t="s">
        <v>17</v>
      </c>
      <c r="AH89" s="89" t="str">
        <f>IFERROR(VLOOKUP($Y89,#REF!,AH$1,FALSE),"")</f>
        <v/>
      </c>
      <c r="AI89" s="89" t="str">
        <f>IFERROR(VLOOKUP($Y89,#REF!,AI$1,FALSE),"")</f>
        <v/>
      </c>
    </row>
    <row r="90" spans="1:35" ht="25.5" x14ac:dyDescent="0.25">
      <c r="A90" s="89" t="s">
        <v>868</v>
      </c>
      <c r="B90" s="89" t="s">
        <v>98</v>
      </c>
      <c r="C90" s="89" t="str">
        <f t="shared" si="2"/>
        <v>A.09.2.5 090</v>
      </c>
      <c r="D90" s="90" t="s">
        <v>612</v>
      </c>
      <c r="E90" s="89" t="s">
        <v>309</v>
      </c>
      <c r="F90" s="91" t="s">
        <v>102</v>
      </c>
      <c r="G90" s="20" t="s">
        <v>630</v>
      </c>
      <c r="H90" s="91"/>
      <c r="I90" s="91"/>
      <c r="K90" s="89" t="s">
        <v>17</v>
      </c>
      <c r="L90" s="89" t="s">
        <v>17</v>
      </c>
      <c r="M90" s="89" t="s">
        <v>17</v>
      </c>
      <c r="N90" s="89" t="s">
        <v>17</v>
      </c>
      <c r="O90" s="89" t="s">
        <v>305</v>
      </c>
      <c r="P90" s="89" t="s">
        <v>305</v>
      </c>
      <c r="Q90" s="89" t="s">
        <v>17</v>
      </c>
      <c r="R90" s="89" t="s">
        <v>17</v>
      </c>
      <c r="S90" s="89" t="s">
        <v>17</v>
      </c>
      <c r="T90" s="89" t="s">
        <v>17</v>
      </c>
      <c r="U90" s="89" t="s">
        <v>17</v>
      </c>
      <c r="V90" s="89" t="s">
        <v>10</v>
      </c>
      <c r="W90" s="89" t="s">
        <v>305</v>
      </c>
      <c r="X90" s="89" t="s">
        <v>17</v>
      </c>
      <c r="Y90" s="96"/>
      <c r="AH90" s="89" t="str">
        <f>IFERROR(VLOOKUP($Y90,#REF!,AH$1,FALSE),"")</f>
        <v/>
      </c>
      <c r="AI90" s="89" t="str">
        <f>IFERROR(VLOOKUP($Y90,#REF!,AI$1,FALSE),"")</f>
        <v/>
      </c>
    </row>
    <row r="91" spans="1:35" ht="38.25" x14ac:dyDescent="0.25">
      <c r="A91" s="89" t="s">
        <v>868</v>
      </c>
      <c r="B91" s="89" t="s">
        <v>98</v>
      </c>
      <c r="C91" s="89" t="str">
        <f t="shared" si="2"/>
        <v>A.09.2.5 091</v>
      </c>
      <c r="D91" s="90" t="s">
        <v>9</v>
      </c>
      <c r="E91" s="89" t="s">
        <v>8</v>
      </c>
      <c r="F91" s="91" t="s">
        <v>99</v>
      </c>
      <c r="G91" s="91"/>
      <c r="H91" s="91"/>
      <c r="I91" s="91"/>
      <c r="K91" s="89" t="s">
        <v>17</v>
      </c>
      <c r="L91" s="89" t="s">
        <v>17</v>
      </c>
      <c r="M91" s="89" t="s">
        <v>17</v>
      </c>
      <c r="N91" s="89" t="s">
        <v>17</v>
      </c>
      <c r="O91" s="89" t="s">
        <v>305</v>
      </c>
      <c r="P91" s="89" t="s">
        <v>305</v>
      </c>
      <c r="Q91" s="89" t="s">
        <v>17</v>
      </c>
      <c r="R91" s="89" t="s">
        <v>17</v>
      </c>
      <c r="S91" s="89" t="s">
        <v>17</v>
      </c>
      <c r="T91" s="89" t="s">
        <v>17</v>
      </c>
      <c r="U91" s="89" t="s">
        <v>17</v>
      </c>
      <c r="V91" s="89" t="s">
        <v>10</v>
      </c>
      <c r="W91" s="89" t="s">
        <v>305</v>
      </c>
      <c r="X91" s="89" t="s">
        <v>17</v>
      </c>
      <c r="Y91" s="96"/>
      <c r="AH91" s="89" t="str">
        <f>IFERROR(VLOOKUP($Y91,#REF!,AH$1,FALSE),"")</f>
        <v/>
      </c>
      <c r="AI91" s="89" t="str">
        <f>IFERROR(VLOOKUP($Y91,#REF!,AI$1,FALSE),"")</f>
        <v/>
      </c>
    </row>
    <row r="92" spans="1:35" ht="63.75" x14ac:dyDescent="0.25">
      <c r="A92" s="89" t="s">
        <v>868</v>
      </c>
      <c r="B92" s="89" t="s">
        <v>98</v>
      </c>
      <c r="C92" s="89" t="str">
        <f t="shared" si="2"/>
        <v>A.09.2.5 092</v>
      </c>
      <c r="D92" s="90" t="s">
        <v>11</v>
      </c>
      <c r="E92" s="89" t="s">
        <v>8</v>
      </c>
      <c r="F92" s="91" t="s">
        <v>100</v>
      </c>
      <c r="G92" s="91"/>
      <c r="H92" s="91"/>
      <c r="I92" s="91"/>
      <c r="K92" s="89" t="s">
        <v>17</v>
      </c>
      <c r="L92" s="89" t="s">
        <v>17</v>
      </c>
      <c r="M92" s="89" t="s">
        <v>17</v>
      </c>
      <c r="N92" s="89" t="s">
        <v>17</v>
      </c>
      <c r="O92" s="89" t="s">
        <v>305</v>
      </c>
      <c r="P92" s="89" t="s">
        <v>305</v>
      </c>
      <c r="Q92" s="89" t="s">
        <v>17</v>
      </c>
      <c r="R92" s="89" t="s">
        <v>17</v>
      </c>
      <c r="S92" s="89" t="s">
        <v>17</v>
      </c>
      <c r="T92" s="89" t="s">
        <v>17</v>
      </c>
      <c r="U92" s="89" t="s">
        <v>17</v>
      </c>
      <c r="V92" s="89" t="s">
        <v>10</v>
      </c>
      <c r="W92" s="89" t="s">
        <v>305</v>
      </c>
      <c r="X92" s="89" t="s">
        <v>17</v>
      </c>
      <c r="Y92" s="96"/>
      <c r="AH92" s="89" t="str">
        <f>IFERROR(VLOOKUP($Y92,#REF!,AH$1,FALSE),"")</f>
        <v/>
      </c>
      <c r="AI92" s="89" t="str">
        <f>IFERROR(VLOOKUP($Y92,#REF!,AI$1,FALSE),"")</f>
        <v/>
      </c>
    </row>
    <row r="93" spans="1:35" ht="51" x14ac:dyDescent="0.25">
      <c r="A93" s="89" t="s">
        <v>868</v>
      </c>
      <c r="B93" s="89" t="s">
        <v>98</v>
      </c>
      <c r="C93" s="89" t="str">
        <f t="shared" si="2"/>
        <v>A.09.2.5 093</v>
      </c>
      <c r="D93" s="90" t="s">
        <v>12</v>
      </c>
      <c r="E93" s="89" t="s">
        <v>13</v>
      </c>
      <c r="F93" s="91" t="s">
        <v>101</v>
      </c>
      <c r="G93" s="91"/>
      <c r="H93" s="91"/>
      <c r="I93" s="91"/>
      <c r="K93" s="89" t="s">
        <v>17</v>
      </c>
      <c r="L93" s="89" t="s">
        <v>17</v>
      </c>
      <c r="M93" s="89" t="s">
        <v>17</v>
      </c>
      <c r="N93" s="89" t="s">
        <v>17</v>
      </c>
      <c r="O93" s="89" t="s">
        <v>305</v>
      </c>
      <c r="P93" s="89" t="s">
        <v>305</v>
      </c>
      <c r="Q93" s="89" t="s">
        <v>17</v>
      </c>
      <c r="R93" s="89" t="s">
        <v>17</v>
      </c>
      <c r="S93" s="89" t="s">
        <v>17</v>
      </c>
      <c r="T93" s="89" t="s">
        <v>17</v>
      </c>
      <c r="U93" s="89" t="s">
        <v>17</v>
      </c>
      <c r="V93" s="89" t="s">
        <v>10</v>
      </c>
      <c r="W93" s="89" t="s">
        <v>305</v>
      </c>
      <c r="X93" s="89" t="s">
        <v>17</v>
      </c>
      <c r="AH93" s="89" t="str">
        <f>IFERROR(VLOOKUP($Y93,#REF!,AH$1,FALSE),"")</f>
        <v/>
      </c>
      <c r="AI93" s="89" t="str">
        <f>IFERROR(VLOOKUP($Y93,#REF!,AI$1,FALSE),"")</f>
        <v/>
      </c>
    </row>
    <row r="94" spans="1:35" x14ac:dyDescent="0.25">
      <c r="A94" s="89" t="s">
        <v>868</v>
      </c>
      <c r="B94" s="89" t="s">
        <v>103</v>
      </c>
      <c r="C94" s="89" t="str">
        <f t="shared" si="2"/>
        <v>A.09.3.1 094</v>
      </c>
      <c r="D94" s="90" t="s">
        <v>612</v>
      </c>
      <c r="E94" s="89" t="s">
        <v>309</v>
      </c>
      <c r="F94" s="91" t="s">
        <v>319</v>
      </c>
      <c r="G94" s="91"/>
      <c r="H94" s="91"/>
      <c r="I94" s="91"/>
      <c r="K94" s="89" t="s">
        <v>17</v>
      </c>
      <c r="L94" s="89" t="s">
        <v>17</v>
      </c>
      <c r="M94" s="89" t="s">
        <v>17</v>
      </c>
      <c r="N94" s="89" t="s">
        <v>17</v>
      </c>
      <c r="O94" s="89" t="s">
        <v>305</v>
      </c>
      <c r="P94" s="89" t="s">
        <v>305</v>
      </c>
      <c r="Q94" s="89" t="s">
        <v>10</v>
      </c>
      <c r="R94" s="89" t="s">
        <v>17</v>
      </c>
      <c r="S94" s="89" t="s">
        <v>17</v>
      </c>
      <c r="T94" s="89" t="s">
        <v>17</v>
      </c>
      <c r="U94" s="89" t="s">
        <v>17</v>
      </c>
      <c r="V94" s="89" t="s">
        <v>10</v>
      </c>
      <c r="W94" s="89" t="s">
        <v>305</v>
      </c>
      <c r="X94" s="89" t="s">
        <v>17</v>
      </c>
      <c r="Y94" s="96"/>
      <c r="AH94" s="89" t="str">
        <f>IFERROR(VLOOKUP($Y94,#REF!,AH$1,FALSE),"")</f>
        <v/>
      </c>
      <c r="AI94" s="89" t="str">
        <f>IFERROR(VLOOKUP($Y94,#REF!,AI$1,FALSE),"")</f>
        <v/>
      </c>
    </row>
    <row r="95" spans="1:35" ht="38.25" x14ac:dyDescent="0.25">
      <c r="A95" s="89" t="s">
        <v>868</v>
      </c>
      <c r="B95" s="89" t="s">
        <v>103</v>
      </c>
      <c r="C95" s="89" t="str">
        <f t="shared" si="2"/>
        <v>A.09.3.1 095</v>
      </c>
      <c r="D95" s="90" t="s">
        <v>9</v>
      </c>
      <c r="E95" s="89" t="s">
        <v>8</v>
      </c>
      <c r="F95" s="91" t="s">
        <v>104</v>
      </c>
      <c r="G95" s="91"/>
      <c r="H95" s="91"/>
      <c r="I95" s="91"/>
      <c r="K95" s="89" t="s">
        <v>17</v>
      </c>
      <c r="L95" s="89" t="s">
        <v>17</v>
      </c>
      <c r="M95" s="89" t="s">
        <v>17</v>
      </c>
      <c r="N95" s="89" t="s">
        <v>17</v>
      </c>
      <c r="O95" s="89" t="s">
        <v>305</v>
      </c>
      <c r="P95" s="89" t="s">
        <v>305</v>
      </c>
      <c r="Q95" s="89" t="s">
        <v>10</v>
      </c>
      <c r="R95" s="89" t="s">
        <v>17</v>
      </c>
      <c r="S95" s="89" t="s">
        <v>17</v>
      </c>
      <c r="T95" s="89" t="s">
        <v>17</v>
      </c>
      <c r="U95" s="89" t="s">
        <v>17</v>
      </c>
      <c r="V95" s="89" t="s">
        <v>10</v>
      </c>
      <c r="W95" s="89" t="s">
        <v>305</v>
      </c>
      <c r="X95" s="89" t="s">
        <v>17</v>
      </c>
      <c r="Y95" s="96"/>
      <c r="AH95" s="89" t="str">
        <f>IFERROR(VLOOKUP($Y95,#REF!,AH$1,FALSE),"")</f>
        <v/>
      </c>
      <c r="AI95" s="89" t="str">
        <f>IFERROR(VLOOKUP($Y95,#REF!,AI$1,FALSE),"")</f>
        <v/>
      </c>
    </row>
    <row r="96" spans="1:35" ht="51" x14ac:dyDescent="0.25">
      <c r="A96" s="89" t="s">
        <v>868</v>
      </c>
      <c r="B96" s="89" t="s">
        <v>103</v>
      </c>
      <c r="C96" s="89" t="str">
        <f t="shared" si="2"/>
        <v>A.09.3.1 096</v>
      </c>
      <c r="D96" s="90" t="s">
        <v>82</v>
      </c>
      <c r="E96" s="89" t="s">
        <v>13</v>
      </c>
      <c r="F96" s="91" t="s">
        <v>118</v>
      </c>
      <c r="G96" s="91"/>
      <c r="H96" s="91"/>
      <c r="I96" s="91"/>
      <c r="K96" s="89" t="s">
        <v>17</v>
      </c>
      <c r="L96" s="89" t="s">
        <v>17</v>
      </c>
      <c r="M96" s="89" t="s">
        <v>17</v>
      </c>
      <c r="N96" s="89" t="s">
        <v>17</v>
      </c>
      <c r="O96" s="89" t="s">
        <v>305</v>
      </c>
      <c r="P96" s="89" t="s">
        <v>305</v>
      </c>
      <c r="Q96" s="89" t="s">
        <v>10</v>
      </c>
      <c r="R96" s="89" t="s">
        <v>17</v>
      </c>
      <c r="S96" s="89" t="s">
        <v>17</v>
      </c>
      <c r="T96" s="89" t="s">
        <v>17</v>
      </c>
      <c r="U96" s="89" t="s">
        <v>17</v>
      </c>
      <c r="V96" s="89" t="s">
        <v>10</v>
      </c>
      <c r="W96" s="89" t="s">
        <v>17</v>
      </c>
      <c r="X96" s="89" t="s">
        <v>17</v>
      </c>
      <c r="AH96" s="89" t="str">
        <f>IFERROR(VLOOKUP($Y96,#REF!,AH$1,FALSE),"")</f>
        <v/>
      </c>
      <c r="AI96" s="89" t="str">
        <f>IFERROR(VLOOKUP($Y96,#REF!,AI$1,FALSE),"")</f>
        <v/>
      </c>
    </row>
    <row r="97" spans="1:35" ht="25.5" x14ac:dyDescent="0.25">
      <c r="A97" s="89" t="s">
        <v>868</v>
      </c>
      <c r="B97" s="89" t="s">
        <v>103</v>
      </c>
      <c r="C97" s="89" t="str">
        <f t="shared" si="2"/>
        <v>A.09.3.1 097</v>
      </c>
      <c r="D97" s="90" t="s">
        <v>83</v>
      </c>
      <c r="E97" s="89" t="s">
        <v>8</v>
      </c>
      <c r="F97" s="91" t="s">
        <v>105</v>
      </c>
      <c r="G97" s="91"/>
      <c r="H97" s="91"/>
      <c r="I97" s="91"/>
      <c r="K97" s="89" t="s">
        <v>17</v>
      </c>
      <c r="L97" s="89" t="s">
        <v>17</v>
      </c>
      <c r="M97" s="89" t="s">
        <v>17</v>
      </c>
      <c r="N97" s="89" t="s">
        <v>17</v>
      </c>
      <c r="O97" s="89" t="s">
        <v>305</v>
      </c>
      <c r="P97" s="89" t="s">
        <v>305</v>
      </c>
      <c r="Q97" s="89" t="s">
        <v>10</v>
      </c>
      <c r="R97" s="89" t="s">
        <v>17</v>
      </c>
      <c r="S97" s="89" t="s">
        <v>17</v>
      </c>
      <c r="T97" s="89" t="s">
        <v>17</v>
      </c>
      <c r="U97" s="89" t="s">
        <v>17</v>
      </c>
      <c r="V97" s="89" t="s">
        <v>10</v>
      </c>
      <c r="W97" s="89" t="s">
        <v>305</v>
      </c>
      <c r="X97" s="89" t="s">
        <v>17</v>
      </c>
      <c r="Y97" s="96"/>
      <c r="AH97" s="89" t="str">
        <f>IFERROR(VLOOKUP($Y97,#REF!,AH$1,FALSE),"")</f>
        <v/>
      </c>
      <c r="AI97" s="89" t="str">
        <f>IFERROR(VLOOKUP($Y97,#REF!,AI$1,FALSE),"")</f>
        <v/>
      </c>
    </row>
    <row r="98" spans="1:35" ht="25.5" x14ac:dyDescent="0.25">
      <c r="A98" s="89" t="s">
        <v>868</v>
      </c>
      <c r="B98" s="89" t="s">
        <v>103</v>
      </c>
      <c r="C98" s="89" t="str">
        <f t="shared" si="2"/>
        <v>A.09.3.1 098</v>
      </c>
      <c r="D98" s="90" t="s">
        <v>106</v>
      </c>
      <c r="E98" s="89" t="s">
        <v>8</v>
      </c>
      <c r="F98" s="91" t="s">
        <v>107</v>
      </c>
      <c r="G98" s="91"/>
      <c r="H98" s="91"/>
      <c r="I98" s="91"/>
      <c r="K98" s="89" t="s">
        <v>17</v>
      </c>
      <c r="L98" s="89" t="s">
        <v>17</v>
      </c>
      <c r="M98" s="89" t="s">
        <v>17</v>
      </c>
      <c r="N98" s="89" t="s">
        <v>17</v>
      </c>
      <c r="O98" s="89" t="s">
        <v>305</v>
      </c>
      <c r="P98" s="89" t="s">
        <v>305</v>
      </c>
      <c r="Q98" s="89" t="s">
        <v>10</v>
      </c>
      <c r="R98" s="89" t="s">
        <v>17</v>
      </c>
      <c r="S98" s="89" t="s">
        <v>17</v>
      </c>
      <c r="T98" s="89" t="s">
        <v>17</v>
      </c>
      <c r="U98" s="89" t="s">
        <v>17</v>
      </c>
      <c r="V98" s="89" t="s">
        <v>10</v>
      </c>
      <c r="W98" s="89" t="s">
        <v>305</v>
      </c>
      <c r="X98" s="89" t="s">
        <v>17</v>
      </c>
      <c r="Y98" s="96"/>
      <c r="AH98" s="89" t="str">
        <f>IFERROR(VLOOKUP($Y98,#REF!,AH$1,FALSE),"")</f>
        <v/>
      </c>
      <c r="AI98" s="89" t="str">
        <f>IFERROR(VLOOKUP($Y98,#REF!,AI$1,FALSE),"")</f>
        <v/>
      </c>
    </row>
    <row r="99" spans="1:35" ht="38.25" x14ac:dyDescent="0.25">
      <c r="A99" s="89" t="s">
        <v>868</v>
      </c>
      <c r="B99" s="89" t="s">
        <v>103</v>
      </c>
      <c r="C99" s="89" t="str">
        <f t="shared" si="2"/>
        <v>A.09.3.1 099</v>
      </c>
      <c r="D99" s="90" t="s">
        <v>108</v>
      </c>
      <c r="E99" s="89" t="s">
        <v>8</v>
      </c>
      <c r="F99" s="91" t="s">
        <v>109</v>
      </c>
      <c r="G99" s="91"/>
      <c r="H99" s="91"/>
      <c r="I99" s="91"/>
      <c r="K99" s="89" t="s">
        <v>17</v>
      </c>
      <c r="L99" s="89" t="s">
        <v>17</v>
      </c>
      <c r="M99" s="89" t="s">
        <v>17</v>
      </c>
      <c r="N99" s="89" t="s">
        <v>17</v>
      </c>
      <c r="O99" s="89" t="s">
        <v>305</v>
      </c>
      <c r="P99" s="89" t="s">
        <v>305</v>
      </c>
      <c r="Q99" s="89" t="s">
        <v>10</v>
      </c>
      <c r="R99" s="89" t="s">
        <v>17</v>
      </c>
      <c r="S99" s="89" t="s">
        <v>17</v>
      </c>
      <c r="T99" s="89" t="s">
        <v>17</v>
      </c>
      <c r="U99" s="89" t="s">
        <v>17</v>
      </c>
      <c r="V99" s="89" t="s">
        <v>10</v>
      </c>
      <c r="W99" s="89" t="s">
        <v>305</v>
      </c>
      <c r="X99" s="89" t="s">
        <v>17</v>
      </c>
      <c r="Y99" s="96"/>
      <c r="AH99" s="89" t="str">
        <f>IFERROR(VLOOKUP($Y99,#REF!,AH$1,FALSE),"")</f>
        <v/>
      </c>
      <c r="AI99" s="89" t="str">
        <f>IFERROR(VLOOKUP($Y99,#REF!,AI$1,FALSE),"")</f>
        <v/>
      </c>
    </row>
    <row r="100" spans="1:35" ht="25.5" x14ac:dyDescent="0.25">
      <c r="A100" s="89" t="s">
        <v>868</v>
      </c>
      <c r="B100" s="89" t="s">
        <v>103</v>
      </c>
      <c r="C100" s="89" t="str">
        <f t="shared" si="2"/>
        <v>A.09.3.1 100</v>
      </c>
      <c r="D100" s="90" t="s">
        <v>11</v>
      </c>
      <c r="E100" s="89" t="s">
        <v>8</v>
      </c>
      <c r="F100" s="91" t="s">
        <v>110</v>
      </c>
      <c r="G100" s="91"/>
      <c r="H100" s="91"/>
      <c r="I100" s="91"/>
      <c r="K100" s="89" t="s">
        <v>17</v>
      </c>
      <c r="L100" s="89" t="s">
        <v>17</v>
      </c>
      <c r="M100" s="89" t="s">
        <v>17</v>
      </c>
      <c r="N100" s="89" t="s">
        <v>17</v>
      </c>
      <c r="O100" s="89" t="s">
        <v>305</v>
      </c>
      <c r="P100" s="89" t="s">
        <v>305</v>
      </c>
      <c r="Q100" s="89" t="s">
        <v>10</v>
      </c>
      <c r="R100" s="89" t="s">
        <v>17</v>
      </c>
      <c r="S100" s="89" t="s">
        <v>17</v>
      </c>
      <c r="T100" s="89" t="s">
        <v>17</v>
      </c>
      <c r="U100" s="89" t="s">
        <v>17</v>
      </c>
      <c r="V100" s="89" t="s">
        <v>10</v>
      </c>
      <c r="W100" s="89" t="s">
        <v>305</v>
      </c>
      <c r="X100" s="89" t="s">
        <v>17</v>
      </c>
      <c r="Y100" s="96"/>
      <c r="AH100" s="89" t="str">
        <f>IFERROR(VLOOKUP($Y100,#REF!,AH$1,FALSE),"")</f>
        <v/>
      </c>
      <c r="AI100" s="89" t="str">
        <f>IFERROR(VLOOKUP($Y100,#REF!,AI$1,FALSE),"")</f>
        <v/>
      </c>
    </row>
    <row r="101" spans="1:35" ht="25.5" x14ac:dyDescent="0.25">
      <c r="A101" s="89" t="s">
        <v>868</v>
      </c>
      <c r="B101" s="89" t="s">
        <v>103</v>
      </c>
      <c r="C101" s="89" t="str">
        <f t="shared" si="2"/>
        <v>A.09.3.1 101</v>
      </c>
      <c r="D101" s="90" t="s">
        <v>12</v>
      </c>
      <c r="E101" s="89" t="s">
        <v>8</v>
      </c>
      <c r="F101" s="91" t="s">
        <v>111</v>
      </c>
      <c r="G101" s="91"/>
      <c r="H101" s="91"/>
      <c r="I101" s="91"/>
      <c r="K101" s="89" t="s">
        <v>17</v>
      </c>
      <c r="L101" s="89" t="s">
        <v>17</v>
      </c>
      <c r="M101" s="89" t="s">
        <v>17</v>
      </c>
      <c r="N101" s="89" t="s">
        <v>17</v>
      </c>
      <c r="O101" s="89" t="s">
        <v>305</v>
      </c>
      <c r="P101" s="89" t="s">
        <v>305</v>
      </c>
      <c r="Q101" s="89" t="s">
        <v>10</v>
      </c>
      <c r="R101" s="89" t="s">
        <v>17</v>
      </c>
      <c r="S101" s="89" t="s">
        <v>17</v>
      </c>
      <c r="T101" s="89" t="s">
        <v>17</v>
      </c>
      <c r="U101" s="89" t="s">
        <v>17</v>
      </c>
      <c r="V101" s="89" t="s">
        <v>10</v>
      </c>
      <c r="W101" s="89" t="s">
        <v>305</v>
      </c>
      <c r="X101" s="89" t="s">
        <v>17</v>
      </c>
      <c r="Y101" s="96"/>
      <c r="AH101" s="89" t="str">
        <f>IFERROR(VLOOKUP($Y101,#REF!,AH$1,FALSE),"")</f>
        <v/>
      </c>
      <c r="AI101" s="89" t="str">
        <f>IFERROR(VLOOKUP($Y101,#REF!,AI$1,FALSE),"")</f>
        <v/>
      </c>
    </row>
    <row r="102" spans="1:35" ht="38.25" x14ac:dyDescent="0.25">
      <c r="A102" s="89" t="s">
        <v>868</v>
      </c>
      <c r="B102" s="89" t="s">
        <v>103</v>
      </c>
      <c r="C102" s="89" t="str">
        <f t="shared" si="2"/>
        <v>A.09.3.1 102</v>
      </c>
      <c r="D102" s="90" t="s">
        <v>14</v>
      </c>
      <c r="E102" s="89" t="s">
        <v>8</v>
      </c>
      <c r="F102" s="91" t="s">
        <v>112</v>
      </c>
      <c r="G102" s="91"/>
      <c r="H102" s="91"/>
      <c r="I102" s="91"/>
      <c r="K102" s="89" t="s">
        <v>17</v>
      </c>
      <c r="L102" s="89" t="s">
        <v>17</v>
      </c>
      <c r="M102" s="89" t="s">
        <v>17</v>
      </c>
      <c r="N102" s="89" t="s">
        <v>17</v>
      </c>
      <c r="O102" s="89" t="s">
        <v>305</v>
      </c>
      <c r="P102" s="89" t="s">
        <v>305</v>
      </c>
      <c r="Q102" s="89" t="s">
        <v>10</v>
      </c>
      <c r="R102" s="89" t="s">
        <v>17</v>
      </c>
      <c r="S102" s="89" t="s">
        <v>17</v>
      </c>
      <c r="T102" s="89" t="s">
        <v>17</v>
      </c>
      <c r="U102" s="89" t="s">
        <v>17</v>
      </c>
      <c r="V102" s="89" t="s">
        <v>10</v>
      </c>
      <c r="W102" s="89" t="s">
        <v>305</v>
      </c>
      <c r="X102" s="89" t="s">
        <v>17</v>
      </c>
      <c r="Y102" s="96"/>
      <c r="AH102" s="89" t="str">
        <f>IFERROR(VLOOKUP($Y102,#REF!,AH$1,FALSE),"")</f>
        <v/>
      </c>
      <c r="AI102" s="89" t="str">
        <f>IFERROR(VLOOKUP($Y102,#REF!,AI$1,FALSE),"")</f>
        <v/>
      </c>
    </row>
    <row r="103" spans="1:35" ht="38.25" x14ac:dyDescent="0.25">
      <c r="A103" s="89" t="s">
        <v>868</v>
      </c>
      <c r="B103" s="89" t="s">
        <v>103</v>
      </c>
      <c r="C103" s="89" t="str">
        <f t="shared" si="2"/>
        <v>A.09.3.1 103</v>
      </c>
      <c r="D103" s="90" t="s">
        <v>15</v>
      </c>
      <c r="E103" s="89" t="s">
        <v>8</v>
      </c>
      <c r="F103" s="91" t="s">
        <v>113</v>
      </c>
      <c r="G103" s="91"/>
      <c r="H103" s="91"/>
      <c r="I103" s="91"/>
      <c r="K103" s="89" t="s">
        <v>17</v>
      </c>
      <c r="L103" s="89" t="s">
        <v>17</v>
      </c>
      <c r="M103" s="89" t="s">
        <v>17</v>
      </c>
      <c r="N103" s="89" t="s">
        <v>17</v>
      </c>
      <c r="O103" s="89" t="s">
        <v>305</v>
      </c>
      <c r="P103" s="89" t="s">
        <v>305</v>
      </c>
      <c r="Q103" s="89" t="s">
        <v>10</v>
      </c>
      <c r="R103" s="89" t="s">
        <v>17</v>
      </c>
      <c r="S103" s="89" t="s">
        <v>17</v>
      </c>
      <c r="T103" s="89" t="s">
        <v>17</v>
      </c>
      <c r="U103" s="89" t="s">
        <v>17</v>
      </c>
      <c r="V103" s="89" t="s">
        <v>10</v>
      </c>
      <c r="W103" s="89" t="s">
        <v>305</v>
      </c>
      <c r="X103" s="89" t="s">
        <v>17</v>
      </c>
      <c r="Y103" s="96"/>
      <c r="AH103" s="89" t="str">
        <f>IFERROR(VLOOKUP($Y103,#REF!,AH$1,FALSE),"")</f>
        <v/>
      </c>
      <c r="AI103" s="89" t="str">
        <f>IFERROR(VLOOKUP($Y103,#REF!,AI$1,FALSE),"")</f>
        <v/>
      </c>
    </row>
    <row r="104" spans="1:35" ht="25.5" x14ac:dyDescent="0.25">
      <c r="A104" s="89" t="s">
        <v>868</v>
      </c>
      <c r="B104" s="89" t="s">
        <v>103</v>
      </c>
      <c r="C104" s="89" t="str">
        <f t="shared" si="2"/>
        <v>A.09.3.1 104</v>
      </c>
      <c r="D104" s="90" t="s">
        <v>28</v>
      </c>
      <c r="E104" s="89" t="s">
        <v>8</v>
      </c>
      <c r="F104" s="91" t="s">
        <v>114</v>
      </c>
      <c r="G104" s="91"/>
      <c r="H104" s="91"/>
      <c r="I104" s="91"/>
      <c r="K104" s="89" t="s">
        <v>17</v>
      </c>
      <c r="L104" s="89" t="s">
        <v>17</v>
      </c>
      <c r="M104" s="89" t="s">
        <v>17</v>
      </c>
      <c r="N104" s="89" t="s">
        <v>17</v>
      </c>
      <c r="O104" s="89" t="s">
        <v>305</v>
      </c>
      <c r="P104" s="89" t="s">
        <v>305</v>
      </c>
      <c r="Q104" s="89" t="s">
        <v>10</v>
      </c>
      <c r="R104" s="89" t="s">
        <v>17</v>
      </c>
      <c r="S104" s="89" t="s">
        <v>17</v>
      </c>
      <c r="T104" s="89" t="s">
        <v>17</v>
      </c>
      <c r="U104" s="89" t="s">
        <v>17</v>
      </c>
      <c r="V104" s="89" t="s">
        <v>10</v>
      </c>
      <c r="W104" s="89" t="s">
        <v>305</v>
      </c>
      <c r="X104" s="89" t="s">
        <v>17</v>
      </c>
      <c r="Y104" s="96"/>
      <c r="AH104" s="89" t="str">
        <f>IFERROR(VLOOKUP($Y104,#REF!,AH$1,FALSE),"")</f>
        <v/>
      </c>
      <c r="AI104" s="89" t="str">
        <f>IFERROR(VLOOKUP($Y104,#REF!,AI$1,FALSE),"")</f>
        <v/>
      </c>
    </row>
    <row r="105" spans="1:35" x14ac:dyDescent="0.25">
      <c r="A105" s="89" t="s">
        <v>868</v>
      </c>
      <c r="B105" s="89" t="s">
        <v>103</v>
      </c>
      <c r="C105" s="89" t="str">
        <f t="shared" si="2"/>
        <v>A.09.3.1 105</v>
      </c>
      <c r="D105" s="90" t="s">
        <v>32</v>
      </c>
      <c r="E105" s="89" t="s">
        <v>8</v>
      </c>
      <c r="F105" s="91" t="s">
        <v>115</v>
      </c>
      <c r="G105" s="91"/>
      <c r="H105" s="91"/>
      <c r="I105" s="91"/>
      <c r="K105" s="89" t="s">
        <v>17</v>
      </c>
      <c r="L105" s="89" t="s">
        <v>17</v>
      </c>
      <c r="M105" s="89" t="s">
        <v>17</v>
      </c>
      <c r="N105" s="89" t="s">
        <v>17</v>
      </c>
      <c r="O105" s="89" t="s">
        <v>305</v>
      </c>
      <c r="P105" s="89" t="s">
        <v>305</v>
      </c>
      <c r="Q105" s="89" t="s">
        <v>10</v>
      </c>
      <c r="R105" s="89" t="s">
        <v>17</v>
      </c>
      <c r="S105" s="89" t="s">
        <v>17</v>
      </c>
      <c r="T105" s="89" t="s">
        <v>17</v>
      </c>
      <c r="U105" s="89" t="s">
        <v>17</v>
      </c>
      <c r="V105" s="89" t="s">
        <v>10</v>
      </c>
      <c r="W105" s="89" t="s">
        <v>305</v>
      </c>
      <c r="X105" s="89" t="s">
        <v>17</v>
      </c>
      <c r="Y105" s="96"/>
      <c r="AH105" s="89" t="str">
        <f>IFERROR(VLOOKUP($Y105,#REF!,AH$1,FALSE),"")</f>
        <v/>
      </c>
      <c r="AI105" s="89" t="str">
        <f>IFERROR(VLOOKUP($Y105,#REF!,AI$1,FALSE),"")</f>
        <v/>
      </c>
    </row>
    <row r="106" spans="1:35" ht="38.25" x14ac:dyDescent="0.25">
      <c r="A106" s="89" t="s">
        <v>868</v>
      </c>
      <c r="B106" s="89" t="s">
        <v>103</v>
      </c>
      <c r="C106" s="89" t="str">
        <f t="shared" si="2"/>
        <v>A.09.3.1 106</v>
      </c>
      <c r="D106" s="90" t="s">
        <v>30</v>
      </c>
      <c r="E106" s="89" t="s">
        <v>8</v>
      </c>
      <c r="F106" s="91" t="s">
        <v>116</v>
      </c>
      <c r="G106" s="91"/>
      <c r="H106" s="91"/>
      <c r="I106" s="91"/>
      <c r="K106" s="89" t="s">
        <v>17</v>
      </c>
      <c r="L106" s="89" t="s">
        <v>17</v>
      </c>
      <c r="M106" s="89" t="s">
        <v>17</v>
      </c>
      <c r="N106" s="89" t="s">
        <v>17</v>
      </c>
      <c r="O106" s="89" t="s">
        <v>305</v>
      </c>
      <c r="P106" s="89" t="s">
        <v>305</v>
      </c>
      <c r="Q106" s="89" t="s">
        <v>10</v>
      </c>
      <c r="R106" s="89" t="s">
        <v>10</v>
      </c>
      <c r="S106" s="89" t="s">
        <v>876</v>
      </c>
      <c r="T106" s="89" t="s">
        <v>10</v>
      </c>
      <c r="U106" s="89" t="s">
        <v>10</v>
      </c>
      <c r="V106" s="89" t="s">
        <v>10</v>
      </c>
      <c r="W106" s="89" t="s">
        <v>305</v>
      </c>
      <c r="X106" s="89" t="s">
        <v>10</v>
      </c>
      <c r="Y106" s="96"/>
      <c r="AH106" s="89" t="str">
        <f>IFERROR(VLOOKUP($Y106,#REF!,AH$1,FALSE),"")</f>
        <v/>
      </c>
      <c r="AI106" s="89" t="str">
        <f>IFERROR(VLOOKUP($Y106,#REF!,AI$1,FALSE),"")</f>
        <v/>
      </c>
    </row>
    <row r="107" spans="1:35" ht="38.25" x14ac:dyDescent="0.25">
      <c r="A107" s="89" t="s">
        <v>868</v>
      </c>
      <c r="B107" s="89" t="s">
        <v>103</v>
      </c>
      <c r="C107" s="89" t="str">
        <f t="shared" si="2"/>
        <v>A.09.3.1 107</v>
      </c>
      <c r="D107" s="90" t="s">
        <v>34</v>
      </c>
      <c r="E107" s="89" t="s">
        <v>8</v>
      </c>
      <c r="F107" s="91" t="s">
        <v>117</v>
      </c>
      <c r="G107" s="91"/>
      <c r="H107" s="91"/>
      <c r="I107" s="91"/>
      <c r="K107" s="89" t="s">
        <v>17</v>
      </c>
      <c r="L107" s="89" t="s">
        <v>17</v>
      </c>
      <c r="M107" s="89" t="s">
        <v>17</v>
      </c>
      <c r="N107" s="89" t="s">
        <v>17</v>
      </c>
      <c r="O107" s="89" t="s">
        <v>305</v>
      </c>
      <c r="P107" s="89" t="s">
        <v>305</v>
      </c>
      <c r="Q107" s="89" t="s">
        <v>10</v>
      </c>
      <c r="R107" s="89" t="s">
        <v>17</v>
      </c>
      <c r="S107" s="89" t="s">
        <v>17</v>
      </c>
      <c r="T107" s="89" t="s">
        <v>17</v>
      </c>
      <c r="U107" s="89" t="s">
        <v>17</v>
      </c>
      <c r="V107" s="89" t="s">
        <v>10</v>
      </c>
      <c r="W107" s="89" t="s">
        <v>305</v>
      </c>
      <c r="X107" s="89" t="s">
        <v>17</v>
      </c>
      <c r="AH107" s="89" t="str">
        <f>IFERROR(VLOOKUP($Y107,#REF!,AH$1,FALSE),"")</f>
        <v/>
      </c>
      <c r="AI107" s="89" t="str">
        <f>IFERROR(VLOOKUP($Y107,#REF!,AI$1,FALSE),"")</f>
        <v/>
      </c>
    </row>
    <row r="108" spans="1:35" ht="25.5" x14ac:dyDescent="0.25">
      <c r="A108" s="89" t="s">
        <v>868</v>
      </c>
      <c r="B108" s="89" t="s">
        <v>119</v>
      </c>
      <c r="C108" s="89" t="str">
        <f t="shared" si="2"/>
        <v>A.09.4.1 108</v>
      </c>
      <c r="D108" s="90" t="s">
        <v>612</v>
      </c>
      <c r="E108" s="89" t="s">
        <v>309</v>
      </c>
      <c r="F108" s="91" t="s">
        <v>122</v>
      </c>
      <c r="G108" s="20" t="s">
        <v>631</v>
      </c>
      <c r="H108" s="91"/>
      <c r="I108" s="91"/>
      <c r="K108" s="89" t="s">
        <v>17</v>
      </c>
      <c r="L108" s="89" t="s">
        <v>17</v>
      </c>
      <c r="M108" s="89" t="s">
        <v>17</v>
      </c>
      <c r="N108" s="89" t="s">
        <v>17</v>
      </c>
      <c r="O108" s="89" t="s">
        <v>305</v>
      </c>
      <c r="P108" s="89" t="s">
        <v>305</v>
      </c>
      <c r="Q108" s="89" t="s">
        <v>17</v>
      </c>
      <c r="R108" s="89" t="s">
        <v>17</v>
      </c>
      <c r="S108" s="89" t="s">
        <v>17</v>
      </c>
      <c r="T108" s="89" t="s">
        <v>17</v>
      </c>
      <c r="U108" s="89" t="s">
        <v>17</v>
      </c>
      <c r="V108" s="89" t="s">
        <v>17</v>
      </c>
      <c r="W108" s="89" t="s">
        <v>17</v>
      </c>
      <c r="X108" s="89" t="s">
        <v>17</v>
      </c>
      <c r="Y108" s="96"/>
      <c r="AH108" s="89" t="str">
        <f>IFERROR(VLOOKUP($Y108,#REF!,AH$1,FALSE),"")</f>
        <v/>
      </c>
      <c r="AI108" s="89" t="str">
        <f>IFERROR(VLOOKUP($Y108,#REF!,AI$1,FALSE),"")</f>
        <v/>
      </c>
    </row>
    <row r="109" spans="1:35" ht="38.25" x14ac:dyDescent="0.25">
      <c r="A109" s="89" t="s">
        <v>868</v>
      </c>
      <c r="B109" s="89" t="s">
        <v>119</v>
      </c>
      <c r="C109" s="89" t="str">
        <f t="shared" si="2"/>
        <v>A.09.4.1 109</v>
      </c>
      <c r="D109" s="90" t="s">
        <v>601</v>
      </c>
      <c r="E109" s="89" t="s">
        <v>8</v>
      </c>
      <c r="F109" s="91" t="s">
        <v>476</v>
      </c>
      <c r="G109" s="91" t="s">
        <v>475</v>
      </c>
      <c r="H109" s="91"/>
      <c r="I109" s="91"/>
      <c r="K109" s="89" t="s">
        <v>17</v>
      </c>
      <c r="L109" s="89" t="s">
        <v>17</v>
      </c>
      <c r="M109" s="89" t="s">
        <v>17</v>
      </c>
      <c r="N109" s="89" t="s">
        <v>17</v>
      </c>
      <c r="O109" s="89" t="s">
        <v>305</v>
      </c>
      <c r="P109" s="89" t="s">
        <v>305</v>
      </c>
      <c r="Q109" s="89" t="s">
        <v>17</v>
      </c>
      <c r="R109" s="89" t="s">
        <v>17</v>
      </c>
      <c r="S109" s="89" t="s">
        <v>17</v>
      </c>
      <c r="T109" s="89" t="s">
        <v>17</v>
      </c>
      <c r="V109" s="89" t="s">
        <v>17</v>
      </c>
      <c r="W109" s="89" t="s">
        <v>17</v>
      </c>
      <c r="X109" s="89" t="s">
        <v>17</v>
      </c>
      <c r="Y109" s="95"/>
      <c r="AH109" s="89" t="str">
        <f>IFERROR(VLOOKUP($Y109,#REF!,AH$1,FALSE),"")</f>
        <v/>
      </c>
      <c r="AI109" s="89" t="str">
        <f>IFERROR(VLOOKUP($Y109,#REF!,AI$1,FALSE),"")</f>
        <v/>
      </c>
    </row>
    <row r="110" spans="1:35" ht="38.25" x14ac:dyDescent="0.25">
      <c r="A110" s="89" t="s">
        <v>868</v>
      </c>
      <c r="B110" s="89" t="s">
        <v>119</v>
      </c>
      <c r="C110" s="89" t="str">
        <f t="shared" si="2"/>
        <v>A.09.4.1 110</v>
      </c>
      <c r="D110" s="90" t="s">
        <v>602</v>
      </c>
      <c r="E110" s="89" t="s">
        <v>8</v>
      </c>
      <c r="F110" s="91" t="s">
        <v>478</v>
      </c>
      <c r="G110" s="91" t="s">
        <v>477</v>
      </c>
      <c r="H110" s="91"/>
      <c r="I110" s="91"/>
      <c r="K110" s="89" t="s">
        <v>17</v>
      </c>
      <c r="L110" s="89" t="s">
        <v>17</v>
      </c>
      <c r="M110" s="89" t="s">
        <v>17</v>
      </c>
      <c r="N110" s="89" t="s">
        <v>17</v>
      </c>
      <c r="O110" s="89" t="s">
        <v>305</v>
      </c>
      <c r="P110" s="89" t="s">
        <v>305</v>
      </c>
      <c r="Q110" s="89" t="s">
        <v>17</v>
      </c>
      <c r="R110" s="89" t="s">
        <v>17</v>
      </c>
      <c r="S110" s="89" t="s">
        <v>17</v>
      </c>
      <c r="T110" s="89" t="s">
        <v>17</v>
      </c>
      <c r="V110" s="89" t="s">
        <v>17</v>
      </c>
      <c r="W110" s="89" t="s">
        <v>17</v>
      </c>
      <c r="X110" s="89" t="s">
        <v>17</v>
      </c>
      <c r="Y110" s="95"/>
      <c r="AH110" s="89" t="str">
        <f>IFERROR(VLOOKUP($Y110,#REF!,AH$1,FALSE),"")</f>
        <v/>
      </c>
      <c r="AI110" s="89" t="str">
        <f>IFERROR(VLOOKUP($Y110,#REF!,AI$1,FALSE),"")</f>
        <v/>
      </c>
    </row>
    <row r="111" spans="1:35" ht="38.25" x14ac:dyDescent="0.25">
      <c r="A111" s="89" t="s">
        <v>868</v>
      </c>
      <c r="B111" s="89" t="s">
        <v>119</v>
      </c>
      <c r="C111" s="89" t="str">
        <f t="shared" si="2"/>
        <v>A.09.4.1 111</v>
      </c>
      <c r="D111" s="90" t="s">
        <v>603</v>
      </c>
      <c r="E111" s="89" t="s">
        <v>8</v>
      </c>
      <c r="F111" s="91" t="s">
        <v>120</v>
      </c>
      <c r="G111" s="91" t="s">
        <v>479</v>
      </c>
      <c r="H111" s="91"/>
      <c r="I111" s="91"/>
      <c r="K111" s="89" t="s">
        <v>17</v>
      </c>
      <c r="L111" s="89" t="s">
        <v>17</v>
      </c>
      <c r="M111" s="89" t="s">
        <v>17</v>
      </c>
      <c r="N111" s="89" t="s">
        <v>17</v>
      </c>
      <c r="O111" s="89" t="s">
        <v>305</v>
      </c>
      <c r="P111" s="89" t="s">
        <v>305</v>
      </c>
      <c r="Q111" s="89" t="s">
        <v>17</v>
      </c>
      <c r="R111" s="89" t="s">
        <v>17</v>
      </c>
      <c r="S111" s="89" t="s">
        <v>17</v>
      </c>
      <c r="T111" s="89" t="s">
        <v>17</v>
      </c>
      <c r="V111" s="89" t="s">
        <v>17</v>
      </c>
      <c r="W111" s="89" t="s">
        <v>17</v>
      </c>
      <c r="X111" s="89" t="s">
        <v>17</v>
      </c>
      <c r="Y111" s="95"/>
      <c r="AH111" s="89" t="str">
        <f>IFERROR(VLOOKUP($Y111,#REF!,AH$1,FALSE),"")</f>
        <v/>
      </c>
      <c r="AI111" s="89" t="str">
        <f>IFERROR(VLOOKUP($Y111,#REF!,AI$1,FALSE),"")</f>
        <v/>
      </c>
    </row>
    <row r="112" spans="1:35" x14ac:dyDescent="0.25">
      <c r="A112" s="89" t="s">
        <v>868</v>
      </c>
      <c r="B112" s="89" t="s">
        <v>119</v>
      </c>
      <c r="C112" s="89" t="str">
        <f t="shared" si="2"/>
        <v>A.09.4.1 112</v>
      </c>
      <c r="D112" s="90" t="s">
        <v>14</v>
      </c>
      <c r="E112" s="89" t="s">
        <v>13</v>
      </c>
      <c r="F112" s="91" t="s">
        <v>121</v>
      </c>
      <c r="G112" s="91"/>
      <c r="H112" s="91"/>
      <c r="I112" s="91"/>
      <c r="K112" s="89" t="s">
        <v>17</v>
      </c>
      <c r="L112" s="89" t="s">
        <v>17</v>
      </c>
      <c r="M112" s="89" t="s">
        <v>17</v>
      </c>
      <c r="N112" s="89" t="s">
        <v>17</v>
      </c>
      <c r="O112" s="89" t="s">
        <v>305</v>
      </c>
      <c r="P112" s="89" t="s">
        <v>305</v>
      </c>
      <c r="Q112" s="89" t="s">
        <v>17</v>
      </c>
      <c r="R112" s="89" t="s">
        <v>17</v>
      </c>
      <c r="S112" s="89" t="s">
        <v>17</v>
      </c>
      <c r="T112" s="89" t="s">
        <v>17</v>
      </c>
      <c r="U112" s="89" t="s">
        <v>17</v>
      </c>
      <c r="V112" s="89" t="s">
        <v>10</v>
      </c>
      <c r="W112" s="89" t="s">
        <v>305</v>
      </c>
      <c r="X112" s="89" t="s">
        <v>17</v>
      </c>
      <c r="AH112" s="89" t="str">
        <f>IFERROR(VLOOKUP($Y112,#REF!,AH$1,FALSE),"")</f>
        <v/>
      </c>
      <c r="AI112" s="89" t="str">
        <f>IFERROR(VLOOKUP($Y112,#REF!,AI$1,FALSE),"")</f>
        <v/>
      </c>
    </row>
    <row r="113" spans="1:35" ht="25.5" x14ac:dyDescent="0.25">
      <c r="A113" s="89" t="s">
        <v>868</v>
      </c>
      <c r="B113" s="89" t="s">
        <v>123</v>
      </c>
      <c r="C113" s="89" t="str">
        <f t="shared" si="2"/>
        <v>A.09.4.2 113</v>
      </c>
      <c r="D113" s="90" t="s">
        <v>612</v>
      </c>
      <c r="E113" s="89" t="s">
        <v>309</v>
      </c>
      <c r="F113" s="91" t="s">
        <v>129</v>
      </c>
      <c r="G113" s="20" t="s">
        <v>632</v>
      </c>
      <c r="H113" s="91"/>
      <c r="I113" s="91"/>
      <c r="K113" s="89" t="s">
        <v>17</v>
      </c>
      <c r="L113" s="89" t="s">
        <v>17</v>
      </c>
      <c r="M113" s="89" t="s">
        <v>17</v>
      </c>
      <c r="N113" s="89" t="s">
        <v>17</v>
      </c>
      <c r="O113" s="89" t="s">
        <v>305</v>
      </c>
      <c r="P113" s="89" t="s">
        <v>305</v>
      </c>
      <c r="Q113" s="89" t="s">
        <v>17</v>
      </c>
      <c r="R113" s="89" t="s">
        <v>17</v>
      </c>
      <c r="S113" s="89" t="s">
        <v>17</v>
      </c>
      <c r="T113" s="89" t="s">
        <v>17</v>
      </c>
      <c r="V113" s="89" t="s">
        <v>17</v>
      </c>
      <c r="W113" s="89" t="s">
        <v>17</v>
      </c>
      <c r="X113" s="89" t="s">
        <v>17</v>
      </c>
      <c r="Y113" s="96"/>
      <c r="AH113" s="89" t="str">
        <f>IFERROR(VLOOKUP($Y113,#REF!,AH$1,FALSE),"")</f>
        <v/>
      </c>
      <c r="AI113" s="89" t="str">
        <f>IFERROR(VLOOKUP($Y113,#REF!,AI$1,FALSE),"")</f>
        <v/>
      </c>
    </row>
    <row r="114" spans="1:35" ht="25.5" x14ac:dyDescent="0.25">
      <c r="A114" s="89" t="s">
        <v>868</v>
      </c>
      <c r="B114" s="89" t="s">
        <v>123</v>
      </c>
      <c r="C114" s="89" t="str">
        <f t="shared" si="2"/>
        <v>A.09.4.2 114</v>
      </c>
      <c r="D114" s="90" t="s">
        <v>601</v>
      </c>
      <c r="E114" s="89" t="s">
        <v>8</v>
      </c>
      <c r="F114" s="91" t="s">
        <v>124</v>
      </c>
      <c r="G114" s="91" t="s">
        <v>480</v>
      </c>
      <c r="H114" s="91"/>
      <c r="I114" s="91"/>
      <c r="K114" s="89" t="s">
        <v>17</v>
      </c>
      <c r="L114" s="89" t="s">
        <v>17</v>
      </c>
      <c r="M114" s="89" t="s">
        <v>17</v>
      </c>
      <c r="N114" s="89" t="s">
        <v>17</v>
      </c>
      <c r="O114" s="89" t="s">
        <v>305</v>
      </c>
      <c r="P114" s="89" t="s">
        <v>305</v>
      </c>
      <c r="Q114" s="89" t="s">
        <v>17</v>
      </c>
      <c r="R114" s="89" t="s">
        <v>17</v>
      </c>
      <c r="S114" s="89" t="s">
        <v>17</v>
      </c>
      <c r="T114" s="89" t="s">
        <v>17</v>
      </c>
      <c r="U114" s="89" t="s">
        <v>17</v>
      </c>
      <c r="V114" s="89" t="s">
        <v>17</v>
      </c>
      <c r="W114" s="89" t="s">
        <v>17</v>
      </c>
      <c r="X114" s="89" t="s">
        <v>17</v>
      </c>
      <c r="Y114" s="95"/>
      <c r="AH114" s="89" t="str">
        <f>IFERROR(VLOOKUP($Y114,#REF!,AH$1,FALSE),"")</f>
        <v/>
      </c>
      <c r="AI114" s="89" t="str">
        <f>IFERROR(VLOOKUP($Y114,#REF!,AI$1,FALSE),"")</f>
        <v/>
      </c>
    </row>
    <row r="115" spans="1:35" ht="25.5" x14ac:dyDescent="0.25">
      <c r="A115" s="89" t="s">
        <v>868</v>
      </c>
      <c r="B115" s="89" t="s">
        <v>123</v>
      </c>
      <c r="C115" s="89" t="str">
        <f t="shared" si="2"/>
        <v>A.09.4.2 115</v>
      </c>
      <c r="D115" s="90" t="s">
        <v>602</v>
      </c>
      <c r="E115" s="89" t="s">
        <v>8</v>
      </c>
      <c r="F115" s="91" t="s">
        <v>482</v>
      </c>
      <c r="G115" s="91" t="s">
        <v>481</v>
      </c>
      <c r="H115" s="91"/>
      <c r="I115" s="91"/>
      <c r="K115" s="89" t="s">
        <v>17</v>
      </c>
      <c r="L115" s="89" t="s">
        <v>17</v>
      </c>
      <c r="M115" s="89" t="s">
        <v>17</v>
      </c>
      <c r="N115" s="89" t="s">
        <v>17</v>
      </c>
      <c r="O115" s="89" t="s">
        <v>305</v>
      </c>
      <c r="P115" s="89" t="s">
        <v>305</v>
      </c>
      <c r="Q115" s="89" t="s">
        <v>17</v>
      </c>
      <c r="R115" s="89" t="s">
        <v>17</v>
      </c>
      <c r="S115" s="89" t="s">
        <v>17</v>
      </c>
      <c r="T115" s="89" t="s">
        <v>17</v>
      </c>
      <c r="V115" s="89" t="s">
        <v>17</v>
      </c>
      <c r="W115" s="89" t="s">
        <v>17</v>
      </c>
      <c r="X115" s="89" t="s">
        <v>17</v>
      </c>
      <c r="Y115" s="95"/>
      <c r="AH115" s="89" t="str">
        <f>IFERROR(VLOOKUP($Y115,#REF!,AH$1,FALSE),"")</f>
        <v/>
      </c>
      <c r="AI115" s="89" t="str">
        <f>IFERROR(VLOOKUP($Y115,#REF!,AI$1,FALSE),"")</f>
        <v/>
      </c>
    </row>
    <row r="116" spans="1:35" ht="38.25" x14ac:dyDescent="0.25">
      <c r="A116" s="89" t="s">
        <v>868</v>
      </c>
      <c r="B116" s="89" t="s">
        <v>123</v>
      </c>
      <c r="C116" s="89" t="str">
        <f t="shared" si="2"/>
        <v>A.09.4.2 116</v>
      </c>
      <c r="D116" s="90" t="s">
        <v>12</v>
      </c>
      <c r="E116" s="89" t="s">
        <v>13</v>
      </c>
      <c r="F116" s="91" t="s">
        <v>127</v>
      </c>
      <c r="G116" s="91"/>
      <c r="H116" s="91"/>
      <c r="I116" s="91"/>
      <c r="K116" s="89" t="s">
        <v>17</v>
      </c>
      <c r="L116" s="89" t="s">
        <v>17</v>
      </c>
      <c r="M116" s="89" t="s">
        <v>17</v>
      </c>
      <c r="N116" s="89" t="s">
        <v>17</v>
      </c>
      <c r="O116" s="89" t="s">
        <v>305</v>
      </c>
      <c r="P116" s="89" t="s">
        <v>305</v>
      </c>
      <c r="Q116" s="89" t="s">
        <v>17</v>
      </c>
      <c r="R116" s="89" t="s">
        <v>17</v>
      </c>
      <c r="S116" s="89" t="s">
        <v>17</v>
      </c>
      <c r="T116" s="89" t="s">
        <v>17</v>
      </c>
      <c r="V116" s="89" t="s">
        <v>10</v>
      </c>
      <c r="W116" s="89" t="s">
        <v>17</v>
      </c>
      <c r="X116" s="89" t="s">
        <v>17</v>
      </c>
      <c r="AH116" s="89" t="str">
        <f>IFERROR(VLOOKUP($Y116,#REF!,AH$1,FALSE),"")</f>
        <v/>
      </c>
      <c r="AI116" s="89" t="str">
        <f>IFERROR(VLOOKUP($Y116,#REF!,AI$1,FALSE),"")</f>
        <v/>
      </c>
    </row>
    <row r="117" spans="1:35" ht="38.25" x14ac:dyDescent="0.25">
      <c r="A117" s="89" t="s">
        <v>868</v>
      </c>
      <c r="B117" s="89" t="s">
        <v>123</v>
      </c>
      <c r="C117" s="89" t="str">
        <f t="shared" si="2"/>
        <v>A.09.4.2 117</v>
      </c>
      <c r="D117" s="90" t="s">
        <v>14</v>
      </c>
      <c r="E117" s="89" t="s">
        <v>8</v>
      </c>
      <c r="F117" s="91" t="s">
        <v>125</v>
      </c>
      <c r="G117" s="91"/>
      <c r="H117" s="91"/>
      <c r="I117" s="91"/>
      <c r="K117" s="89" t="s">
        <v>17</v>
      </c>
      <c r="L117" s="89" t="s">
        <v>17</v>
      </c>
      <c r="M117" s="89" t="s">
        <v>17</v>
      </c>
      <c r="N117" s="89" t="s">
        <v>17</v>
      </c>
      <c r="O117" s="89" t="s">
        <v>305</v>
      </c>
      <c r="P117" s="89" t="s">
        <v>305</v>
      </c>
      <c r="Q117" s="89" t="s">
        <v>17</v>
      </c>
      <c r="R117" s="89" t="s">
        <v>10</v>
      </c>
      <c r="S117" s="89" t="s">
        <v>17</v>
      </c>
      <c r="T117" s="89" t="s">
        <v>10</v>
      </c>
      <c r="U117" s="89" t="s">
        <v>10</v>
      </c>
      <c r="V117" s="89" t="s">
        <v>10</v>
      </c>
      <c r="W117" s="89" t="s">
        <v>17</v>
      </c>
      <c r="X117" s="89" t="s">
        <v>10</v>
      </c>
      <c r="AH117" s="89" t="str">
        <f>IFERROR(VLOOKUP($Y117,#REF!,AH$1,FALSE),"")</f>
        <v/>
      </c>
      <c r="AI117" s="89" t="str">
        <f>IFERROR(VLOOKUP($Y117,#REF!,AI$1,FALSE),"")</f>
        <v/>
      </c>
    </row>
    <row r="118" spans="1:35" ht="63.75" x14ac:dyDescent="0.25">
      <c r="A118" s="89" t="s">
        <v>868</v>
      </c>
      <c r="B118" s="89" t="s">
        <v>123</v>
      </c>
      <c r="C118" s="89" t="str">
        <f t="shared" si="2"/>
        <v>A.09.4.2 118</v>
      </c>
      <c r="D118" s="90" t="s">
        <v>604</v>
      </c>
      <c r="E118" s="89" t="s">
        <v>8</v>
      </c>
      <c r="F118" s="91" t="s">
        <v>484</v>
      </c>
      <c r="G118" s="91" t="s">
        <v>483</v>
      </c>
      <c r="H118" s="91"/>
      <c r="I118" s="91"/>
      <c r="K118" s="89" t="s">
        <v>17</v>
      </c>
      <c r="L118" s="89" t="s">
        <v>17</v>
      </c>
      <c r="M118" s="89" t="s">
        <v>17</v>
      </c>
      <c r="N118" s="89" t="s">
        <v>17</v>
      </c>
      <c r="O118" s="89" t="s">
        <v>305</v>
      </c>
      <c r="P118" s="89" t="s">
        <v>305</v>
      </c>
      <c r="Q118" s="89" t="s">
        <v>17</v>
      </c>
      <c r="R118" s="89" t="s">
        <v>17</v>
      </c>
      <c r="S118" s="89" t="s">
        <v>17</v>
      </c>
      <c r="T118" s="89" t="s">
        <v>17</v>
      </c>
      <c r="U118" s="89" t="s">
        <v>17</v>
      </c>
      <c r="V118" s="89" t="s">
        <v>17</v>
      </c>
      <c r="W118" s="89" t="s">
        <v>17</v>
      </c>
      <c r="X118" s="89" t="s">
        <v>17</v>
      </c>
      <c r="Y118" s="95"/>
      <c r="AH118" s="89" t="str">
        <f>IFERROR(VLOOKUP($Y118,#REF!,AH$1,FALSE),"")</f>
        <v/>
      </c>
      <c r="AI118" s="89" t="str">
        <f>IFERROR(VLOOKUP($Y118,#REF!,AI$1,FALSE),"")</f>
        <v/>
      </c>
    </row>
    <row r="119" spans="1:35" ht="38.25" x14ac:dyDescent="0.25">
      <c r="A119" s="89" t="s">
        <v>868</v>
      </c>
      <c r="B119" s="89" t="s">
        <v>123</v>
      </c>
      <c r="C119" s="89" t="str">
        <f t="shared" si="2"/>
        <v>A.09.4.2 119</v>
      </c>
      <c r="D119" s="90" t="s">
        <v>28</v>
      </c>
      <c r="E119" s="89" t="s">
        <v>8</v>
      </c>
      <c r="F119" s="91" t="s">
        <v>126</v>
      </c>
      <c r="G119" s="91"/>
      <c r="H119" s="91"/>
      <c r="I119" s="91"/>
      <c r="K119" s="89" t="s">
        <v>17</v>
      </c>
      <c r="L119" s="89" t="s">
        <v>17</v>
      </c>
      <c r="M119" s="89" t="s">
        <v>17</v>
      </c>
      <c r="N119" s="89" t="s">
        <v>17</v>
      </c>
      <c r="O119" s="89" t="s">
        <v>305</v>
      </c>
      <c r="P119" s="89" t="s">
        <v>305</v>
      </c>
      <c r="Q119" s="89" t="s">
        <v>17</v>
      </c>
      <c r="R119" s="89" t="s">
        <v>17</v>
      </c>
      <c r="S119" s="89" t="s">
        <v>10</v>
      </c>
      <c r="T119" s="89" t="s">
        <v>17</v>
      </c>
      <c r="U119" s="89" t="s">
        <v>17</v>
      </c>
      <c r="V119" s="89" t="s">
        <v>10</v>
      </c>
      <c r="W119" s="89" t="s">
        <v>17</v>
      </c>
      <c r="X119" s="89" t="s">
        <v>17</v>
      </c>
      <c r="AH119" s="89" t="str">
        <f>IFERROR(VLOOKUP($Y119,#REF!,AH$1,FALSE),"")</f>
        <v/>
      </c>
      <c r="AI119" s="89" t="str">
        <f>IFERROR(VLOOKUP($Y119,#REF!,AI$1,FALSE),"")</f>
        <v/>
      </c>
    </row>
    <row r="120" spans="1:35" ht="25.5" x14ac:dyDescent="0.25">
      <c r="A120" s="89" t="s">
        <v>868</v>
      </c>
      <c r="B120" s="89" t="s">
        <v>123</v>
      </c>
      <c r="C120" s="89" t="str">
        <f t="shared" si="2"/>
        <v>A.09.4.2 120</v>
      </c>
      <c r="D120" s="90" t="s">
        <v>32</v>
      </c>
      <c r="E120" s="89" t="s">
        <v>13</v>
      </c>
      <c r="F120" s="91" t="s">
        <v>128</v>
      </c>
      <c r="G120" s="91"/>
      <c r="H120" s="91"/>
      <c r="I120" s="91"/>
      <c r="K120" s="89" t="s">
        <v>17</v>
      </c>
      <c r="L120" s="89" t="s">
        <v>17</v>
      </c>
      <c r="M120" s="89" t="s">
        <v>17</v>
      </c>
      <c r="N120" s="89" t="s">
        <v>17</v>
      </c>
      <c r="O120" s="89" t="s">
        <v>305</v>
      </c>
      <c r="P120" s="89" t="s">
        <v>305</v>
      </c>
      <c r="Q120" s="89" t="s">
        <v>17</v>
      </c>
      <c r="R120" s="89" t="s">
        <v>17</v>
      </c>
      <c r="S120" s="89" t="s">
        <v>17</v>
      </c>
      <c r="T120" s="89" t="s">
        <v>17</v>
      </c>
      <c r="V120" s="89" t="s">
        <v>10</v>
      </c>
      <c r="W120" s="89" t="s">
        <v>17</v>
      </c>
      <c r="X120" s="89" t="s">
        <v>17</v>
      </c>
      <c r="AH120" s="89" t="str">
        <f>IFERROR(VLOOKUP($Y120,#REF!,AH$1,FALSE),"")</f>
        <v/>
      </c>
      <c r="AI120" s="89" t="str">
        <f>IFERROR(VLOOKUP($Y120,#REF!,AI$1,FALSE),"")</f>
        <v/>
      </c>
    </row>
    <row r="121" spans="1:35" ht="51" x14ac:dyDescent="0.25">
      <c r="A121" s="89" t="s">
        <v>868</v>
      </c>
      <c r="B121" s="89" t="s">
        <v>123</v>
      </c>
      <c r="C121" s="89" t="str">
        <f t="shared" si="2"/>
        <v>A.09.4.2 121</v>
      </c>
      <c r="D121" s="90" t="s">
        <v>606</v>
      </c>
      <c r="E121" s="89" t="s">
        <v>8</v>
      </c>
      <c r="F121" s="91" t="s">
        <v>486</v>
      </c>
      <c r="G121" s="91" t="s">
        <v>485</v>
      </c>
      <c r="H121" s="91"/>
      <c r="I121" s="91"/>
      <c r="K121" s="89" t="s">
        <v>17</v>
      </c>
      <c r="L121" s="89" t="s">
        <v>17</v>
      </c>
      <c r="M121" s="89" t="s">
        <v>17</v>
      </c>
      <c r="N121" s="89" t="s">
        <v>17</v>
      </c>
      <c r="O121" s="89" t="s">
        <v>305</v>
      </c>
      <c r="P121" s="89" t="s">
        <v>305</v>
      </c>
      <c r="Q121" s="89" t="s">
        <v>17</v>
      </c>
      <c r="R121" s="89" t="s">
        <v>17</v>
      </c>
      <c r="S121" s="89" t="s">
        <v>17</v>
      </c>
      <c r="T121" s="89" t="s">
        <v>17</v>
      </c>
      <c r="U121" s="89" t="s">
        <v>17</v>
      </c>
      <c r="V121" s="89" t="s">
        <v>17</v>
      </c>
      <c r="W121" s="89" t="s">
        <v>17</v>
      </c>
      <c r="X121" s="89" t="s">
        <v>17</v>
      </c>
      <c r="Y121" s="95"/>
      <c r="AH121" s="89" t="str">
        <f>IFERROR(VLOOKUP($Y121,#REF!,AH$1,FALSE),"")</f>
        <v/>
      </c>
      <c r="AI121" s="89" t="str">
        <f>IFERROR(VLOOKUP($Y121,#REF!,AI$1,FALSE),"")</f>
        <v/>
      </c>
    </row>
    <row r="122" spans="1:35" ht="25.5" x14ac:dyDescent="0.25">
      <c r="A122" s="89" t="s">
        <v>868</v>
      </c>
      <c r="B122" s="89" t="s">
        <v>130</v>
      </c>
      <c r="C122" s="89" t="str">
        <f t="shared" si="2"/>
        <v>A.09.4.3 122</v>
      </c>
      <c r="D122" s="90" t="s">
        <v>612</v>
      </c>
      <c r="E122" s="89" t="s">
        <v>309</v>
      </c>
      <c r="F122" s="91" t="s">
        <v>310</v>
      </c>
      <c r="G122" s="20" t="s">
        <v>633</v>
      </c>
      <c r="H122" s="91"/>
      <c r="I122" s="91"/>
      <c r="K122" s="89" t="s">
        <v>17</v>
      </c>
      <c r="L122" s="89" t="s">
        <v>17</v>
      </c>
      <c r="M122" s="89" t="s">
        <v>17</v>
      </c>
      <c r="N122" s="89" t="s">
        <v>17</v>
      </c>
      <c r="O122" s="89" t="s">
        <v>305</v>
      </c>
      <c r="P122" s="89" t="s">
        <v>305</v>
      </c>
      <c r="Q122" s="89" t="s">
        <v>17</v>
      </c>
      <c r="R122" s="89" t="s">
        <v>17</v>
      </c>
      <c r="S122" s="89" t="s">
        <v>17</v>
      </c>
      <c r="T122" s="89" t="s">
        <v>17</v>
      </c>
      <c r="U122" s="89" t="s">
        <v>17</v>
      </c>
      <c r="W122" s="89" t="s">
        <v>17</v>
      </c>
      <c r="X122" s="89" t="s">
        <v>17</v>
      </c>
      <c r="Y122" s="96"/>
      <c r="AH122" s="89" t="str">
        <f>IFERROR(VLOOKUP($Y122,#REF!,AH$1,FALSE),"")</f>
        <v/>
      </c>
      <c r="AI122" s="89" t="str">
        <f>IFERROR(VLOOKUP($Y122,#REF!,AI$1,FALSE),"")</f>
        <v/>
      </c>
    </row>
    <row r="123" spans="1:35" x14ac:dyDescent="0.25">
      <c r="A123" s="89" t="s">
        <v>868</v>
      </c>
      <c r="B123" s="89" t="s">
        <v>130</v>
      </c>
      <c r="C123" s="89" t="str">
        <f t="shared" si="2"/>
        <v>A.09.4.3 123</v>
      </c>
      <c r="D123" s="90" t="s">
        <v>9</v>
      </c>
      <c r="E123" s="89" t="s">
        <v>13</v>
      </c>
      <c r="F123" s="91" t="s">
        <v>131</v>
      </c>
      <c r="G123" s="91"/>
      <c r="H123" s="91"/>
      <c r="I123" s="91"/>
      <c r="K123" s="89" t="s">
        <v>17</v>
      </c>
      <c r="L123" s="89" t="s">
        <v>17</v>
      </c>
      <c r="M123" s="89" t="s">
        <v>17</v>
      </c>
      <c r="N123" s="89" t="s">
        <v>17</v>
      </c>
      <c r="O123" s="89" t="s">
        <v>305</v>
      </c>
      <c r="P123" s="89" t="s">
        <v>305</v>
      </c>
      <c r="Q123" s="89" t="s">
        <v>17</v>
      </c>
      <c r="R123" s="89" t="s">
        <v>17</v>
      </c>
      <c r="S123" s="89" t="s">
        <v>17</v>
      </c>
      <c r="T123" s="89" t="s">
        <v>17</v>
      </c>
      <c r="U123" s="89" t="s">
        <v>17</v>
      </c>
      <c r="V123" s="89" t="s">
        <v>10</v>
      </c>
      <c r="W123" s="89" t="s">
        <v>17</v>
      </c>
      <c r="X123" s="89" t="s">
        <v>17</v>
      </c>
      <c r="AH123" s="89" t="str">
        <f>IFERROR(VLOOKUP($Y123,#REF!,AH$1,FALSE),"")</f>
        <v/>
      </c>
      <c r="AI123" s="89" t="str">
        <f>IFERROR(VLOOKUP($Y123,#REF!,AI$1,FALSE),"")</f>
        <v/>
      </c>
    </row>
    <row r="124" spans="1:35" ht="25.5" x14ac:dyDescent="0.25">
      <c r="A124" s="89" t="s">
        <v>868</v>
      </c>
      <c r="B124" s="89" t="s">
        <v>132</v>
      </c>
      <c r="C124" s="89" t="str">
        <f t="shared" si="2"/>
        <v>A.09.5.1 124</v>
      </c>
      <c r="D124" s="90" t="s">
        <v>612</v>
      </c>
      <c r="E124" s="89" t="s">
        <v>309</v>
      </c>
      <c r="F124" s="91" t="s">
        <v>134</v>
      </c>
      <c r="G124" s="20" t="s">
        <v>634</v>
      </c>
      <c r="H124" s="91"/>
      <c r="I124" s="91"/>
      <c r="K124" s="89" t="s">
        <v>17</v>
      </c>
      <c r="L124" s="89" t="s">
        <v>17</v>
      </c>
      <c r="M124" s="89" t="s">
        <v>17</v>
      </c>
      <c r="N124" s="89" t="s">
        <v>17</v>
      </c>
      <c r="O124" s="89" t="s">
        <v>305</v>
      </c>
      <c r="P124" s="89" t="s">
        <v>305</v>
      </c>
      <c r="Q124" s="89" t="s">
        <v>10</v>
      </c>
      <c r="R124" s="89" t="s">
        <v>10</v>
      </c>
      <c r="S124" s="89" t="s">
        <v>876</v>
      </c>
      <c r="T124" s="89" t="s">
        <v>10</v>
      </c>
      <c r="U124" s="89" t="s">
        <v>10</v>
      </c>
      <c r="V124" s="89" t="s">
        <v>17</v>
      </c>
      <c r="W124" s="89" t="s">
        <v>305</v>
      </c>
      <c r="X124" s="89" t="s">
        <v>10</v>
      </c>
      <c r="Y124" s="96"/>
      <c r="AH124" s="89" t="str">
        <f>IFERROR(VLOOKUP($Y124,#REF!,AH$1,FALSE),"")</f>
        <v/>
      </c>
      <c r="AI124" s="89" t="str">
        <f>IFERROR(VLOOKUP($Y124,#REF!,AI$1,FALSE),"")</f>
        <v/>
      </c>
    </row>
    <row r="125" spans="1:35" ht="63.75" x14ac:dyDescent="0.25">
      <c r="A125" s="89" t="s">
        <v>868</v>
      </c>
      <c r="B125" s="89" t="s">
        <v>132</v>
      </c>
      <c r="C125" s="89" t="str">
        <f t="shared" si="2"/>
        <v>A.09.5.1 125</v>
      </c>
      <c r="D125" s="90" t="s">
        <v>601</v>
      </c>
      <c r="E125" s="89" t="s">
        <v>8</v>
      </c>
      <c r="F125" s="91" t="s">
        <v>488</v>
      </c>
      <c r="G125" s="91" t="s">
        <v>487</v>
      </c>
      <c r="H125" s="91"/>
      <c r="I125" s="91"/>
      <c r="K125" s="89" t="s">
        <v>17</v>
      </c>
      <c r="L125" s="89" t="s">
        <v>17</v>
      </c>
      <c r="M125" s="89" t="s">
        <v>17</v>
      </c>
      <c r="N125" s="89" t="s">
        <v>17</v>
      </c>
      <c r="O125" s="89" t="s">
        <v>305</v>
      </c>
      <c r="P125" s="89" t="s">
        <v>305</v>
      </c>
      <c r="Q125" s="89" t="s">
        <v>10</v>
      </c>
      <c r="R125" s="89" t="s">
        <v>10</v>
      </c>
      <c r="S125" s="89" t="s">
        <v>10</v>
      </c>
      <c r="T125" s="89" t="s">
        <v>10</v>
      </c>
      <c r="U125" s="89" t="s">
        <v>10</v>
      </c>
      <c r="V125" s="89" t="s">
        <v>17</v>
      </c>
      <c r="W125" s="89" t="s">
        <v>305</v>
      </c>
      <c r="X125" s="89" t="s">
        <v>10</v>
      </c>
      <c r="Y125" s="95"/>
      <c r="AH125" s="89" t="str">
        <f>IFERROR(VLOOKUP($Y125,#REF!,AH$1,FALSE),"")</f>
        <v/>
      </c>
      <c r="AI125" s="89" t="str">
        <f>IFERROR(VLOOKUP($Y125,#REF!,AI$1,FALSE),"")</f>
        <v/>
      </c>
    </row>
    <row r="126" spans="1:35" ht="63.75" x14ac:dyDescent="0.25">
      <c r="A126" s="89" t="s">
        <v>868</v>
      </c>
      <c r="B126" s="89" t="s">
        <v>132</v>
      </c>
      <c r="C126" s="89" t="str">
        <f t="shared" si="2"/>
        <v>A.09.5.1 126</v>
      </c>
      <c r="D126" s="90" t="s">
        <v>602</v>
      </c>
      <c r="E126" s="89" t="s">
        <v>8</v>
      </c>
      <c r="F126" s="91" t="s">
        <v>490</v>
      </c>
      <c r="G126" s="91" t="s">
        <v>489</v>
      </c>
      <c r="H126" s="91"/>
      <c r="I126" s="91"/>
      <c r="K126" s="89" t="s">
        <v>17</v>
      </c>
      <c r="L126" s="89" t="s">
        <v>17</v>
      </c>
      <c r="M126" s="89" t="s">
        <v>17</v>
      </c>
      <c r="N126" s="89" t="s">
        <v>17</v>
      </c>
      <c r="O126" s="89" t="s">
        <v>305</v>
      </c>
      <c r="P126" s="89" t="s">
        <v>305</v>
      </c>
      <c r="Q126" s="89" t="s">
        <v>10</v>
      </c>
      <c r="R126" s="89" t="s">
        <v>10</v>
      </c>
      <c r="S126" s="89" t="s">
        <v>10</v>
      </c>
      <c r="T126" s="89" t="s">
        <v>10</v>
      </c>
      <c r="U126" s="89" t="s">
        <v>10</v>
      </c>
      <c r="V126" s="89" t="s">
        <v>17</v>
      </c>
      <c r="W126" s="89" t="s">
        <v>305</v>
      </c>
      <c r="X126" s="89" t="s">
        <v>10</v>
      </c>
      <c r="Y126" s="95"/>
      <c r="AH126" s="89" t="str">
        <f>IFERROR(VLOOKUP($Y126,#REF!,AH$1,FALSE),"")</f>
        <v/>
      </c>
      <c r="AI126" s="89" t="str">
        <f>IFERROR(VLOOKUP($Y126,#REF!,AI$1,FALSE),"")</f>
        <v/>
      </c>
    </row>
    <row r="127" spans="1:35" ht="25.5" x14ac:dyDescent="0.25">
      <c r="A127" s="89" t="s">
        <v>868</v>
      </c>
      <c r="B127" s="89" t="s">
        <v>132</v>
      </c>
      <c r="C127" s="89" t="str">
        <f t="shared" si="2"/>
        <v>A.09.5.1 127</v>
      </c>
      <c r="D127" s="90" t="s">
        <v>603</v>
      </c>
      <c r="E127" s="89" t="s">
        <v>8</v>
      </c>
      <c r="F127" s="91" t="s">
        <v>492</v>
      </c>
      <c r="G127" s="91" t="s">
        <v>491</v>
      </c>
      <c r="H127" s="91"/>
      <c r="I127" s="91"/>
      <c r="K127" s="89" t="s">
        <v>17</v>
      </c>
      <c r="L127" s="89" t="s">
        <v>17</v>
      </c>
      <c r="M127" s="89" t="s">
        <v>17</v>
      </c>
      <c r="N127" s="89" t="s">
        <v>17</v>
      </c>
      <c r="O127" s="89" t="s">
        <v>305</v>
      </c>
      <c r="P127" s="89" t="s">
        <v>305</v>
      </c>
      <c r="Q127" s="89" t="s">
        <v>10</v>
      </c>
      <c r="R127" s="89" t="s">
        <v>10</v>
      </c>
      <c r="S127" s="89" t="s">
        <v>876</v>
      </c>
      <c r="T127" s="89" t="s">
        <v>10</v>
      </c>
      <c r="U127" s="89" t="s">
        <v>10</v>
      </c>
      <c r="V127" s="89" t="s">
        <v>17</v>
      </c>
      <c r="W127" s="89" t="s">
        <v>305</v>
      </c>
      <c r="X127" s="89" t="s">
        <v>10</v>
      </c>
      <c r="Y127" s="95"/>
      <c r="AH127" s="89" t="str">
        <f>IFERROR(VLOOKUP($Y127,#REF!,AH$1,FALSE),"")</f>
        <v/>
      </c>
      <c r="AI127" s="89" t="str">
        <f>IFERROR(VLOOKUP($Y127,#REF!,AI$1,FALSE),"")</f>
        <v/>
      </c>
    </row>
    <row r="128" spans="1:35" ht="38.25" x14ac:dyDescent="0.25">
      <c r="A128" s="89" t="s">
        <v>868</v>
      </c>
      <c r="B128" s="89" t="s">
        <v>132</v>
      </c>
      <c r="C128" s="89" t="str">
        <f t="shared" si="2"/>
        <v>A.09.5.1 128</v>
      </c>
      <c r="D128" s="90" t="s">
        <v>14</v>
      </c>
      <c r="E128" s="89" t="s">
        <v>13</v>
      </c>
      <c r="F128" s="91" t="s">
        <v>133</v>
      </c>
      <c r="G128" s="91"/>
      <c r="H128" s="91"/>
      <c r="I128" s="91"/>
      <c r="K128" s="89" t="s">
        <v>17</v>
      </c>
      <c r="L128" s="89" t="s">
        <v>17</v>
      </c>
      <c r="M128" s="89" t="s">
        <v>17</v>
      </c>
      <c r="N128" s="89" t="s">
        <v>17</v>
      </c>
      <c r="O128" s="89" t="s">
        <v>305</v>
      </c>
      <c r="P128" s="89" t="s">
        <v>305</v>
      </c>
      <c r="Q128" s="89" t="s">
        <v>10</v>
      </c>
      <c r="R128" s="89" t="s">
        <v>10</v>
      </c>
      <c r="S128" s="89" t="s">
        <v>876</v>
      </c>
      <c r="T128" s="89" t="s">
        <v>10</v>
      </c>
      <c r="U128" s="89" t="s">
        <v>10</v>
      </c>
      <c r="V128" s="89" t="s">
        <v>10</v>
      </c>
      <c r="W128" s="89" t="s">
        <v>305</v>
      </c>
      <c r="X128" s="89" t="s">
        <v>10</v>
      </c>
      <c r="AH128" s="89" t="str">
        <f>IFERROR(VLOOKUP($Y128,#REF!,AH$1,FALSE),"")</f>
        <v/>
      </c>
      <c r="AI128" s="89" t="str">
        <f>IFERROR(VLOOKUP($Y128,#REF!,AI$1,FALSE),"")</f>
        <v/>
      </c>
    </row>
    <row r="129" spans="1:35" ht="25.5" x14ac:dyDescent="0.25">
      <c r="A129" s="89" t="s">
        <v>868</v>
      </c>
      <c r="B129" s="89" t="s">
        <v>135</v>
      </c>
      <c r="C129" s="89" t="str">
        <f t="shared" si="2"/>
        <v>A.09.5.2 129</v>
      </c>
      <c r="D129" s="90" t="s">
        <v>612</v>
      </c>
      <c r="E129" s="89" t="s">
        <v>309</v>
      </c>
      <c r="F129" s="91" t="s">
        <v>136</v>
      </c>
      <c r="G129" s="20" t="s">
        <v>635</v>
      </c>
      <c r="H129" s="91"/>
      <c r="I129" s="91"/>
      <c r="K129" s="89" t="s">
        <v>17</v>
      </c>
      <c r="L129" s="89" t="s">
        <v>17</v>
      </c>
      <c r="M129" s="89" t="s">
        <v>17</v>
      </c>
      <c r="N129" s="89" t="s">
        <v>17</v>
      </c>
      <c r="O129" s="89" t="s">
        <v>305</v>
      </c>
      <c r="P129" s="89" t="s">
        <v>305</v>
      </c>
      <c r="Q129" s="89" t="s">
        <v>10</v>
      </c>
      <c r="R129" s="89" t="s">
        <v>10</v>
      </c>
      <c r="S129" s="89" t="s">
        <v>876</v>
      </c>
      <c r="T129" s="89" t="s">
        <v>10</v>
      </c>
      <c r="U129" s="89" t="s">
        <v>10</v>
      </c>
      <c r="V129" s="89" t="s">
        <v>17</v>
      </c>
      <c r="W129" s="89" t="s">
        <v>305</v>
      </c>
      <c r="X129" s="89" t="s">
        <v>10</v>
      </c>
      <c r="Y129" s="96"/>
      <c r="AH129" s="89" t="str">
        <f>IFERROR(VLOOKUP($Y129,#REF!,AH$1,FALSE),"")</f>
        <v/>
      </c>
      <c r="AI129" s="89" t="str">
        <f>IFERROR(VLOOKUP($Y129,#REF!,AI$1,FALSE),"")</f>
        <v/>
      </c>
    </row>
    <row r="130" spans="1:35" ht="63.75" x14ac:dyDescent="0.25">
      <c r="A130" s="89" t="s">
        <v>868</v>
      </c>
      <c r="B130" s="89" t="s">
        <v>135</v>
      </c>
      <c r="C130" s="89" t="str">
        <f t="shared" ref="C130:C193" si="3">CONCATENATE(B130," ",TEXT(ROW(B130),"000"))</f>
        <v>A.09.5.2 130</v>
      </c>
      <c r="D130" s="90" t="s">
        <v>601</v>
      </c>
      <c r="E130" s="89" t="s">
        <v>8</v>
      </c>
      <c r="F130" s="91" t="s">
        <v>494</v>
      </c>
      <c r="G130" s="91" t="s">
        <v>493</v>
      </c>
      <c r="H130" s="91"/>
      <c r="I130" s="91"/>
      <c r="K130" s="89" t="s">
        <v>17</v>
      </c>
      <c r="L130" s="89" t="s">
        <v>17</v>
      </c>
      <c r="M130" s="89" t="s">
        <v>17</v>
      </c>
      <c r="N130" s="89" t="s">
        <v>17</v>
      </c>
      <c r="O130" s="89" t="s">
        <v>305</v>
      </c>
      <c r="P130" s="89" t="s">
        <v>305</v>
      </c>
      <c r="Q130" s="89" t="s">
        <v>10</v>
      </c>
      <c r="R130" s="89" t="s">
        <v>10</v>
      </c>
      <c r="S130" s="89" t="s">
        <v>876</v>
      </c>
      <c r="T130" s="89" t="s">
        <v>10</v>
      </c>
      <c r="U130" s="89" t="s">
        <v>10</v>
      </c>
      <c r="V130" s="89" t="s">
        <v>17</v>
      </c>
      <c r="W130" s="89" t="s">
        <v>305</v>
      </c>
      <c r="X130" s="89" t="s">
        <v>10</v>
      </c>
      <c r="Y130" s="95"/>
      <c r="AH130" s="89" t="str">
        <f>IFERROR(VLOOKUP($Y130,#REF!,AH$1,FALSE),"")</f>
        <v/>
      </c>
      <c r="AI130" s="89" t="str">
        <f>IFERROR(VLOOKUP($Y130,#REF!,AI$1,FALSE),"")</f>
        <v/>
      </c>
    </row>
    <row r="131" spans="1:35" ht="38.25" x14ac:dyDescent="0.25">
      <c r="A131" s="89" t="s">
        <v>868</v>
      </c>
      <c r="B131" s="89" t="s">
        <v>135</v>
      </c>
      <c r="C131" s="89" t="str">
        <f t="shared" si="3"/>
        <v>A.09.5.2 131</v>
      </c>
      <c r="D131" s="90" t="s">
        <v>11</v>
      </c>
      <c r="E131" s="89" t="s">
        <v>13</v>
      </c>
      <c r="F131" s="91" t="s">
        <v>133</v>
      </c>
      <c r="G131" s="91"/>
      <c r="H131" s="91"/>
      <c r="I131" s="91"/>
      <c r="K131" s="89" t="s">
        <v>17</v>
      </c>
      <c r="L131" s="89" t="s">
        <v>17</v>
      </c>
      <c r="M131" s="89" t="s">
        <v>17</v>
      </c>
      <c r="N131" s="89" t="s">
        <v>17</v>
      </c>
      <c r="O131" s="89" t="s">
        <v>305</v>
      </c>
      <c r="P131" s="89" t="s">
        <v>305</v>
      </c>
      <c r="Q131" s="89" t="s">
        <v>10</v>
      </c>
      <c r="R131" s="89" t="s">
        <v>10</v>
      </c>
      <c r="S131" s="89" t="s">
        <v>876</v>
      </c>
      <c r="T131" s="89" t="s">
        <v>10</v>
      </c>
      <c r="U131" s="89" t="s">
        <v>10</v>
      </c>
      <c r="V131" s="89" t="s">
        <v>10</v>
      </c>
      <c r="W131" s="89" t="s">
        <v>305</v>
      </c>
      <c r="X131" s="89" t="s">
        <v>10</v>
      </c>
      <c r="AH131" s="89" t="str">
        <f>IFERROR(VLOOKUP($Y131,#REF!,AH$1,FALSE),"")</f>
        <v/>
      </c>
      <c r="AI131" s="89" t="str">
        <f>IFERROR(VLOOKUP($Y131,#REF!,AI$1,FALSE),"")</f>
        <v/>
      </c>
    </row>
    <row r="132" spans="1:35" x14ac:dyDescent="0.25">
      <c r="A132" s="89" t="s">
        <v>868</v>
      </c>
      <c r="B132" s="89" t="s">
        <v>137</v>
      </c>
      <c r="C132" s="89" t="str">
        <f t="shared" si="3"/>
        <v>A.10.1.1 132</v>
      </c>
      <c r="D132" s="90" t="s">
        <v>612</v>
      </c>
      <c r="E132" s="89" t="s">
        <v>309</v>
      </c>
      <c r="F132" s="91" t="s">
        <v>142</v>
      </c>
      <c r="G132" s="20" t="s">
        <v>636</v>
      </c>
      <c r="H132" s="91"/>
      <c r="I132" s="91"/>
      <c r="K132" s="89" t="s">
        <v>17</v>
      </c>
      <c r="L132" s="89" t="s">
        <v>305</v>
      </c>
      <c r="M132" s="89" t="s">
        <v>305</v>
      </c>
      <c r="N132" s="89" t="s">
        <v>305</v>
      </c>
      <c r="O132" s="89" t="s">
        <v>17</v>
      </c>
      <c r="P132" s="89" t="s">
        <v>17</v>
      </c>
      <c r="R132" s="89" t="s">
        <v>17</v>
      </c>
      <c r="S132" s="89" t="s">
        <v>17</v>
      </c>
      <c r="T132" s="89" t="s">
        <v>17</v>
      </c>
      <c r="U132" s="89" t="s">
        <v>17</v>
      </c>
      <c r="V132" s="89" t="s">
        <v>17</v>
      </c>
      <c r="W132" s="89" t="s">
        <v>305</v>
      </c>
      <c r="X132" s="89" t="s">
        <v>17</v>
      </c>
      <c r="Y132" s="96"/>
      <c r="AH132" s="89" t="str">
        <f>IFERROR(VLOOKUP($Y132,#REF!,AH$1,FALSE),"")</f>
        <v/>
      </c>
      <c r="AI132" s="89" t="str">
        <f>IFERROR(VLOOKUP($Y132,#REF!,AI$1,FALSE),"")</f>
        <v/>
      </c>
    </row>
    <row r="133" spans="1:35" ht="38.25" x14ac:dyDescent="0.25">
      <c r="A133" s="89" t="s">
        <v>868</v>
      </c>
      <c r="B133" s="89" t="s">
        <v>137</v>
      </c>
      <c r="C133" s="89" t="str">
        <f t="shared" si="3"/>
        <v>A.10.1.1 133</v>
      </c>
      <c r="D133" s="90" t="s">
        <v>601</v>
      </c>
      <c r="E133" s="89" t="s">
        <v>8</v>
      </c>
      <c r="F133" s="91" t="s">
        <v>496</v>
      </c>
      <c r="G133" s="91" t="s">
        <v>495</v>
      </c>
      <c r="H133" s="91"/>
      <c r="I133" s="91"/>
      <c r="K133" s="89" t="s">
        <v>17</v>
      </c>
      <c r="L133" s="89" t="s">
        <v>305</v>
      </c>
      <c r="M133" s="89" t="s">
        <v>305</v>
      </c>
      <c r="N133" s="89" t="s">
        <v>305</v>
      </c>
      <c r="O133" s="89" t="s">
        <v>17</v>
      </c>
      <c r="P133" s="89" t="s">
        <v>17</v>
      </c>
      <c r="R133" s="89" t="s">
        <v>17</v>
      </c>
      <c r="S133" s="89" t="s">
        <v>17</v>
      </c>
      <c r="T133" s="89" t="s">
        <v>17</v>
      </c>
      <c r="U133" s="89" t="s">
        <v>17</v>
      </c>
      <c r="V133" s="89" t="s">
        <v>17</v>
      </c>
      <c r="W133" s="89" t="s">
        <v>305</v>
      </c>
      <c r="X133" s="89" t="s">
        <v>17</v>
      </c>
      <c r="Y133" s="95"/>
      <c r="AH133" s="89" t="str">
        <f>IFERROR(VLOOKUP($Y133,#REF!,AH$1,FALSE),"")</f>
        <v/>
      </c>
      <c r="AI133" s="89" t="str">
        <f>IFERROR(VLOOKUP($Y133,#REF!,AI$1,FALSE),"")</f>
        <v/>
      </c>
    </row>
    <row r="134" spans="1:35" x14ac:dyDescent="0.25">
      <c r="A134" s="89" t="s">
        <v>868</v>
      </c>
      <c r="B134" s="89" t="s">
        <v>137</v>
      </c>
      <c r="C134" s="89" t="str">
        <f t="shared" si="3"/>
        <v>A.10.1.1 134</v>
      </c>
      <c r="D134" s="90" t="s">
        <v>81</v>
      </c>
      <c r="E134" s="89" t="s">
        <v>13</v>
      </c>
      <c r="F134" s="91" t="s">
        <v>139</v>
      </c>
      <c r="G134" s="91"/>
      <c r="H134" s="91"/>
      <c r="I134" s="91"/>
      <c r="K134" s="89" t="s">
        <v>17</v>
      </c>
      <c r="L134" s="89" t="s">
        <v>305</v>
      </c>
      <c r="M134" s="89" t="s">
        <v>305</v>
      </c>
      <c r="N134" s="89" t="s">
        <v>305</v>
      </c>
      <c r="O134" s="89" t="s">
        <v>17</v>
      </c>
      <c r="P134" s="89" t="s">
        <v>17</v>
      </c>
      <c r="R134" s="89" t="s">
        <v>17</v>
      </c>
      <c r="S134" s="89" t="s">
        <v>17</v>
      </c>
      <c r="T134" s="89" t="s">
        <v>17</v>
      </c>
      <c r="U134" s="89" t="s">
        <v>17</v>
      </c>
      <c r="V134" s="89" t="s">
        <v>10</v>
      </c>
      <c r="W134" s="89" t="s">
        <v>305</v>
      </c>
      <c r="X134" s="89" t="s">
        <v>17</v>
      </c>
      <c r="AH134" s="89" t="str">
        <f>IFERROR(VLOOKUP($Y134,#REF!,AH$1,FALSE),"")</f>
        <v/>
      </c>
      <c r="AI134" s="89" t="str">
        <f>IFERROR(VLOOKUP($Y134,#REF!,AI$1,FALSE),"")</f>
        <v/>
      </c>
    </row>
    <row r="135" spans="1:35" x14ac:dyDescent="0.25">
      <c r="A135" s="89" t="s">
        <v>868</v>
      </c>
      <c r="B135" s="89" t="s">
        <v>137</v>
      </c>
      <c r="C135" s="89" t="str">
        <f t="shared" si="3"/>
        <v>A.10.1.1 135</v>
      </c>
      <c r="D135" s="90" t="s">
        <v>602</v>
      </c>
      <c r="E135" s="89" t="s">
        <v>8</v>
      </c>
      <c r="F135" s="91" t="s">
        <v>498</v>
      </c>
      <c r="G135" s="91" t="s">
        <v>497</v>
      </c>
      <c r="H135" s="91"/>
      <c r="I135" s="91"/>
      <c r="K135" s="89" t="s">
        <v>17</v>
      </c>
      <c r="L135" s="89" t="s">
        <v>305</v>
      </c>
      <c r="M135" s="89" t="s">
        <v>305</v>
      </c>
      <c r="N135" s="89" t="s">
        <v>305</v>
      </c>
      <c r="O135" s="89" t="s">
        <v>17</v>
      </c>
      <c r="P135" s="89" t="s">
        <v>17</v>
      </c>
      <c r="R135" s="89" t="s">
        <v>17</v>
      </c>
      <c r="S135" s="89" t="s">
        <v>17</v>
      </c>
      <c r="T135" s="89" t="s">
        <v>17</v>
      </c>
      <c r="V135" s="89" t="s">
        <v>17</v>
      </c>
      <c r="W135" s="89" t="s">
        <v>305</v>
      </c>
      <c r="X135" s="89" t="s">
        <v>17</v>
      </c>
      <c r="Y135" s="95"/>
      <c r="AH135" s="89" t="str">
        <f>IFERROR(VLOOKUP($Y135,#REF!,AH$1,FALSE),"")</f>
        <v/>
      </c>
      <c r="AI135" s="89" t="str">
        <f>IFERROR(VLOOKUP($Y135,#REF!,AI$1,FALSE),"")</f>
        <v/>
      </c>
    </row>
    <row r="136" spans="1:35" x14ac:dyDescent="0.25">
      <c r="A136" s="89" t="s">
        <v>868</v>
      </c>
      <c r="B136" s="89" t="s">
        <v>137</v>
      </c>
      <c r="C136" s="89" t="str">
        <f t="shared" si="3"/>
        <v>A.10.1.1 136</v>
      </c>
      <c r="D136" s="90" t="s">
        <v>83</v>
      </c>
      <c r="E136" s="89" t="s">
        <v>13</v>
      </c>
      <c r="F136" s="91" t="s">
        <v>140</v>
      </c>
      <c r="G136" s="91"/>
      <c r="H136" s="91"/>
      <c r="I136" s="91"/>
      <c r="K136" s="89" t="s">
        <v>17</v>
      </c>
      <c r="L136" s="89" t="s">
        <v>305</v>
      </c>
      <c r="M136" s="89" t="s">
        <v>305</v>
      </c>
      <c r="N136" s="89" t="s">
        <v>305</v>
      </c>
      <c r="O136" s="89" t="s">
        <v>17</v>
      </c>
      <c r="P136" s="89" t="s">
        <v>17</v>
      </c>
      <c r="R136" s="89" t="s">
        <v>17</v>
      </c>
      <c r="S136" s="89" t="s">
        <v>17</v>
      </c>
      <c r="T136" s="89" t="s">
        <v>17</v>
      </c>
      <c r="U136" s="89" t="s">
        <v>17</v>
      </c>
      <c r="V136" s="89" t="s">
        <v>10</v>
      </c>
      <c r="W136" s="89" t="s">
        <v>305</v>
      </c>
      <c r="X136" s="89" t="s">
        <v>17</v>
      </c>
      <c r="AH136" s="89" t="str">
        <f>IFERROR(VLOOKUP($Y136,#REF!,AH$1,FALSE),"")</f>
        <v/>
      </c>
      <c r="AI136" s="89" t="str">
        <f>IFERROR(VLOOKUP($Y136,#REF!,AI$1,FALSE),"")</f>
        <v/>
      </c>
    </row>
    <row r="137" spans="1:35" ht="51" x14ac:dyDescent="0.25">
      <c r="A137" s="89" t="s">
        <v>868</v>
      </c>
      <c r="B137" s="89" t="s">
        <v>137</v>
      </c>
      <c r="C137" s="89" t="str">
        <f t="shared" si="3"/>
        <v>A.10.1.1 137</v>
      </c>
      <c r="D137" s="90" t="s">
        <v>603</v>
      </c>
      <c r="E137" s="89" t="s">
        <v>8</v>
      </c>
      <c r="F137" s="91" t="s">
        <v>500</v>
      </c>
      <c r="G137" s="91" t="s">
        <v>499</v>
      </c>
      <c r="H137" s="91"/>
      <c r="I137" s="91"/>
      <c r="K137" s="89" t="s">
        <v>17</v>
      </c>
      <c r="L137" s="89" t="s">
        <v>305</v>
      </c>
      <c r="M137" s="89" t="s">
        <v>305</v>
      </c>
      <c r="N137" s="89" t="s">
        <v>305</v>
      </c>
      <c r="O137" s="128" t="s">
        <v>17</v>
      </c>
      <c r="P137" s="89" t="s">
        <v>17</v>
      </c>
      <c r="S137" s="128" t="s">
        <v>876</v>
      </c>
      <c r="V137" s="89" t="s">
        <v>17</v>
      </c>
      <c r="W137" s="89" t="s">
        <v>305</v>
      </c>
      <c r="Y137" s="95"/>
      <c r="AH137" s="89" t="str">
        <f>IFERROR(VLOOKUP($Y137,#REF!,AH$1,FALSE),"")</f>
        <v/>
      </c>
      <c r="AI137" s="89" t="str">
        <f>IFERROR(VLOOKUP($Y137,#REF!,AI$1,FALSE),"")</f>
        <v/>
      </c>
    </row>
    <row r="138" spans="1:35" ht="51" x14ac:dyDescent="0.25">
      <c r="A138" s="89" t="s">
        <v>868</v>
      </c>
      <c r="B138" s="89" t="s">
        <v>137</v>
      </c>
      <c r="C138" s="89" t="str">
        <f t="shared" si="3"/>
        <v>A.10.1.1 138</v>
      </c>
      <c r="D138" s="90" t="s">
        <v>604</v>
      </c>
      <c r="E138" s="89" t="s">
        <v>8</v>
      </c>
      <c r="F138" s="91" t="s">
        <v>138</v>
      </c>
      <c r="G138" s="91" t="s">
        <v>501</v>
      </c>
      <c r="H138" s="91"/>
      <c r="I138" s="91"/>
      <c r="K138" s="89" t="s">
        <v>17</v>
      </c>
      <c r="L138" s="89" t="s">
        <v>305</v>
      </c>
      <c r="M138" s="89" t="s">
        <v>305</v>
      </c>
      <c r="N138" s="89" t="s">
        <v>305</v>
      </c>
      <c r="O138" s="89" t="s">
        <v>17</v>
      </c>
      <c r="P138" s="89" t="s">
        <v>17</v>
      </c>
      <c r="R138" s="89" t="s">
        <v>17</v>
      </c>
      <c r="S138" s="89" t="s">
        <v>10</v>
      </c>
      <c r="T138" s="89" t="s">
        <v>17</v>
      </c>
      <c r="V138" s="89" t="s">
        <v>17</v>
      </c>
      <c r="W138" s="89" t="s">
        <v>305</v>
      </c>
      <c r="X138" s="89" t="s">
        <v>17</v>
      </c>
      <c r="Y138" s="95"/>
      <c r="AH138" s="89" t="str">
        <f>IFERROR(VLOOKUP($Y138,#REF!,AH$1,FALSE),"")</f>
        <v/>
      </c>
      <c r="AI138" s="89" t="str">
        <f>IFERROR(VLOOKUP($Y138,#REF!,AI$1,FALSE),"")</f>
        <v/>
      </c>
    </row>
    <row r="139" spans="1:35" ht="51" x14ac:dyDescent="0.25">
      <c r="A139" s="89" t="s">
        <v>868</v>
      </c>
      <c r="B139" s="89" t="s">
        <v>137</v>
      </c>
      <c r="C139" s="89" t="str">
        <f t="shared" si="3"/>
        <v>A.10.1.1 139</v>
      </c>
      <c r="D139" s="90" t="s">
        <v>605</v>
      </c>
      <c r="E139" s="89" t="s">
        <v>8</v>
      </c>
      <c r="F139" s="91" t="s">
        <v>503</v>
      </c>
      <c r="G139" s="91" t="s">
        <v>502</v>
      </c>
      <c r="H139" s="91"/>
      <c r="I139" s="91"/>
      <c r="K139" s="89" t="s">
        <v>17</v>
      </c>
      <c r="L139" s="89" t="s">
        <v>305</v>
      </c>
      <c r="M139" s="89" t="s">
        <v>305</v>
      </c>
      <c r="N139" s="89" t="s">
        <v>305</v>
      </c>
      <c r="O139" s="89" t="s">
        <v>17</v>
      </c>
      <c r="P139" s="89" t="s">
        <v>17</v>
      </c>
      <c r="R139" s="89" t="s">
        <v>17</v>
      </c>
      <c r="S139" s="89" t="s">
        <v>17</v>
      </c>
      <c r="T139" s="89" t="s">
        <v>17</v>
      </c>
      <c r="U139" s="89" t="s">
        <v>17</v>
      </c>
      <c r="V139" s="89" t="s">
        <v>17</v>
      </c>
      <c r="W139" s="89" t="s">
        <v>305</v>
      </c>
      <c r="X139" s="89" t="s">
        <v>17</v>
      </c>
      <c r="Y139" s="95"/>
      <c r="AH139" s="89" t="str">
        <f>IFERROR(VLOOKUP($Y139,#REF!,AH$1,FALSE),"")</f>
        <v/>
      </c>
      <c r="AI139" s="89" t="str">
        <f>IFERROR(VLOOKUP($Y139,#REF!,AI$1,FALSE),"")</f>
        <v/>
      </c>
    </row>
    <row r="140" spans="1:35" ht="25.5" x14ac:dyDescent="0.25">
      <c r="A140" s="89" t="s">
        <v>868</v>
      </c>
      <c r="B140" s="89" t="s">
        <v>137</v>
      </c>
      <c r="C140" s="89" t="str">
        <f t="shared" si="3"/>
        <v>A.10.1.1 140</v>
      </c>
      <c r="D140" s="90" t="s">
        <v>606</v>
      </c>
      <c r="E140" s="89" t="s">
        <v>8</v>
      </c>
      <c r="F140" s="91" t="s">
        <v>505</v>
      </c>
      <c r="G140" s="91" t="s">
        <v>504</v>
      </c>
      <c r="H140" s="91"/>
      <c r="I140" s="91"/>
      <c r="K140" s="89" t="s">
        <v>17</v>
      </c>
      <c r="L140" s="89" t="s">
        <v>305</v>
      </c>
      <c r="M140" s="89" t="s">
        <v>305</v>
      </c>
      <c r="N140" s="89" t="s">
        <v>305</v>
      </c>
      <c r="O140" s="89" t="s">
        <v>17</v>
      </c>
      <c r="P140" s="89" t="s">
        <v>17</v>
      </c>
      <c r="R140" s="89" t="s">
        <v>17</v>
      </c>
      <c r="S140" s="89" t="s">
        <v>17</v>
      </c>
      <c r="T140" s="89" t="s">
        <v>17</v>
      </c>
      <c r="U140" s="89" t="s">
        <v>17</v>
      </c>
      <c r="V140" s="89" t="s">
        <v>17</v>
      </c>
      <c r="W140" s="89" t="s">
        <v>305</v>
      </c>
      <c r="X140" s="89" t="s">
        <v>17</v>
      </c>
      <c r="Y140" s="95"/>
      <c r="AH140" s="89" t="str">
        <f>IFERROR(VLOOKUP($Y140,#REF!,AH$1,FALSE),"")</f>
        <v/>
      </c>
      <c r="AI140" s="89" t="str">
        <f>IFERROR(VLOOKUP($Y140,#REF!,AI$1,FALSE),"")</f>
        <v/>
      </c>
    </row>
    <row r="141" spans="1:35" ht="114.75" x14ac:dyDescent="0.25">
      <c r="A141" s="89" t="s">
        <v>868</v>
      </c>
      <c r="B141" s="89" t="s">
        <v>137</v>
      </c>
      <c r="C141" s="89" t="str">
        <f t="shared" si="3"/>
        <v>A.10.1.1 141</v>
      </c>
      <c r="D141" s="90" t="s">
        <v>28</v>
      </c>
      <c r="E141" s="89" t="s">
        <v>8</v>
      </c>
      <c r="F141" s="91" t="s">
        <v>507</v>
      </c>
      <c r="G141" s="91" t="s">
        <v>506</v>
      </c>
      <c r="H141" s="91"/>
      <c r="I141" s="91"/>
      <c r="K141" s="89" t="s">
        <v>17</v>
      </c>
      <c r="L141" s="89" t="s">
        <v>305</v>
      </c>
      <c r="M141" s="89" t="s">
        <v>305</v>
      </c>
      <c r="N141" s="89" t="s">
        <v>305</v>
      </c>
      <c r="O141" s="89" t="s">
        <v>17</v>
      </c>
      <c r="P141" s="89" t="s">
        <v>17</v>
      </c>
      <c r="R141" s="89" t="s">
        <v>17</v>
      </c>
      <c r="S141" s="89" t="s">
        <v>10</v>
      </c>
      <c r="T141" s="89" t="s">
        <v>17</v>
      </c>
      <c r="V141" s="89" t="s">
        <v>17</v>
      </c>
      <c r="W141" s="89" t="s">
        <v>305</v>
      </c>
      <c r="X141" s="89" t="s">
        <v>17</v>
      </c>
      <c r="Y141" s="95"/>
      <c r="AH141" s="89" t="str">
        <f>IFERROR(VLOOKUP($Y141,#REF!,AH$1,FALSE),"")</f>
        <v/>
      </c>
      <c r="AI141" s="89" t="str">
        <f>IFERROR(VLOOKUP($Y141,#REF!,AI$1,FALSE),"")</f>
        <v/>
      </c>
    </row>
    <row r="142" spans="1:35" ht="38.25" x14ac:dyDescent="0.25">
      <c r="A142" s="89" t="s">
        <v>868</v>
      </c>
      <c r="B142" s="89" t="s">
        <v>137</v>
      </c>
      <c r="C142" s="89" t="str">
        <f t="shared" si="3"/>
        <v>A.10.1.1 142</v>
      </c>
      <c r="D142" s="90" t="s">
        <v>608</v>
      </c>
      <c r="E142" s="89" t="s">
        <v>8</v>
      </c>
      <c r="F142" s="91" t="s">
        <v>509</v>
      </c>
      <c r="G142" s="91" t="s">
        <v>508</v>
      </c>
      <c r="H142" s="91"/>
      <c r="I142" s="91"/>
      <c r="K142" s="89" t="s">
        <v>17</v>
      </c>
      <c r="L142" s="89" t="s">
        <v>305</v>
      </c>
      <c r="M142" s="89" t="s">
        <v>305</v>
      </c>
      <c r="N142" s="89" t="s">
        <v>305</v>
      </c>
      <c r="O142" s="89" t="s">
        <v>17</v>
      </c>
      <c r="P142" s="89" t="s">
        <v>17</v>
      </c>
      <c r="R142" s="89" t="s">
        <v>17</v>
      </c>
      <c r="S142" s="89" t="s">
        <v>17</v>
      </c>
      <c r="T142" s="89" t="s">
        <v>17</v>
      </c>
      <c r="U142" s="89" t="s">
        <v>17</v>
      </c>
      <c r="V142" s="89" t="s">
        <v>17</v>
      </c>
      <c r="W142" s="89" t="s">
        <v>305</v>
      </c>
      <c r="X142" s="89" t="s">
        <v>17</v>
      </c>
      <c r="Y142" s="95"/>
      <c r="AH142" s="89" t="str">
        <f>IFERROR(VLOOKUP($Y142,#REF!,AH$1,FALSE),"")</f>
        <v/>
      </c>
      <c r="AI142" s="89" t="str">
        <f>IFERROR(VLOOKUP($Y142,#REF!,AI$1,FALSE),"")</f>
        <v/>
      </c>
    </row>
    <row r="143" spans="1:35" ht="38.25" x14ac:dyDescent="0.25">
      <c r="A143" s="89" t="s">
        <v>868</v>
      </c>
      <c r="B143" s="89" t="s">
        <v>137</v>
      </c>
      <c r="C143" s="89" t="str">
        <f t="shared" si="3"/>
        <v>A.10.1.1 143</v>
      </c>
      <c r="D143" s="90" t="s">
        <v>30</v>
      </c>
      <c r="E143" s="89" t="s">
        <v>13</v>
      </c>
      <c r="F143" s="91" t="s">
        <v>141</v>
      </c>
      <c r="G143" s="91"/>
      <c r="H143" s="91"/>
      <c r="I143" s="91"/>
      <c r="K143" s="89" t="s">
        <v>17</v>
      </c>
      <c r="L143" s="89" t="s">
        <v>305</v>
      </c>
      <c r="M143" s="89" t="s">
        <v>305</v>
      </c>
      <c r="N143" s="89" t="s">
        <v>305</v>
      </c>
      <c r="O143" s="89" t="s">
        <v>17</v>
      </c>
      <c r="P143" s="89" t="s">
        <v>17</v>
      </c>
      <c r="R143" s="89" t="s">
        <v>17</v>
      </c>
      <c r="S143" s="89" t="s">
        <v>10</v>
      </c>
      <c r="T143" s="89" t="s">
        <v>17</v>
      </c>
      <c r="U143" s="89" t="s">
        <v>17</v>
      </c>
      <c r="V143" s="89" t="s">
        <v>10</v>
      </c>
      <c r="W143" s="89" t="s">
        <v>305</v>
      </c>
      <c r="X143" s="89" t="s">
        <v>17</v>
      </c>
      <c r="AH143" s="89" t="str">
        <f>IFERROR(VLOOKUP($Y143,#REF!,AH$1,FALSE),"")</f>
        <v/>
      </c>
      <c r="AI143" s="89" t="str">
        <f>IFERROR(VLOOKUP($Y143,#REF!,AI$1,FALSE),"")</f>
        <v/>
      </c>
    </row>
    <row r="144" spans="1:35" ht="76.5" x14ac:dyDescent="0.25">
      <c r="A144" s="89" t="s">
        <v>868</v>
      </c>
      <c r="B144" s="89" t="s">
        <v>137</v>
      </c>
      <c r="C144" s="89" t="str">
        <f t="shared" si="3"/>
        <v>A.10.1.1 144</v>
      </c>
      <c r="D144" s="90" t="s">
        <v>609</v>
      </c>
      <c r="E144" s="89" t="s">
        <v>8</v>
      </c>
      <c r="F144" s="91" t="s">
        <v>511</v>
      </c>
      <c r="G144" s="91" t="s">
        <v>510</v>
      </c>
      <c r="H144" s="91"/>
      <c r="I144" s="91"/>
      <c r="K144" s="89" t="s">
        <v>17</v>
      </c>
      <c r="L144" s="89" t="s">
        <v>305</v>
      </c>
      <c r="M144" s="89" t="s">
        <v>305</v>
      </c>
      <c r="N144" s="89" t="s">
        <v>305</v>
      </c>
      <c r="O144" s="89" t="s">
        <v>17</v>
      </c>
      <c r="P144" s="89" t="s">
        <v>17</v>
      </c>
      <c r="R144" s="89" t="s">
        <v>17</v>
      </c>
      <c r="S144" s="89" t="s">
        <v>17</v>
      </c>
      <c r="T144" s="89" t="s">
        <v>17</v>
      </c>
      <c r="V144" s="89" t="s">
        <v>17</v>
      </c>
      <c r="W144" s="89" t="s">
        <v>305</v>
      </c>
      <c r="X144" s="89" t="s">
        <v>17</v>
      </c>
      <c r="Y144" s="95"/>
      <c r="AH144" s="89" t="str">
        <f>IFERROR(VLOOKUP($Y144,#REF!,AH$1,FALSE),"")</f>
        <v/>
      </c>
      <c r="AI144" s="89" t="str">
        <f>IFERROR(VLOOKUP($Y144,#REF!,AI$1,FALSE),"")</f>
        <v/>
      </c>
    </row>
    <row r="145" spans="1:35" ht="25.5" x14ac:dyDescent="0.25">
      <c r="A145" s="89" t="s">
        <v>868</v>
      </c>
      <c r="B145" s="89" t="s">
        <v>143</v>
      </c>
      <c r="C145" s="89" t="str">
        <f t="shared" si="3"/>
        <v>A.10.1.2 145</v>
      </c>
      <c r="D145" s="90" t="s">
        <v>612</v>
      </c>
      <c r="E145" s="89" t="s">
        <v>309</v>
      </c>
      <c r="F145" s="91" t="s">
        <v>1467</v>
      </c>
      <c r="G145" s="20" t="s">
        <v>1488</v>
      </c>
      <c r="H145" s="91"/>
      <c r="I145" s="91"/>
      <c r="K145" s="89" t="s">
        <v>17</v>
      </c>
      <c r="L145" s="89" t="s">
        <v>305</v>
      </c>
      <c r="M145" s="89" t="s">
        <v>305</v>
      </c>
      <c r="N145" s="89" t="s">
        <v>305</v>
      </c>
      <c r="O145" s="89" t="s">
        <v>17</v>
      </c>
      <c r="P145" s="89" t="s">
        <v>17</v>
      </c>
      <c r="Q145" s="89" t="s">
        <v>17</v>
      </c>
      <c r="R145" s="89" t="s">
        <v>17</v>
      </c>
      <c r="S145" s="89" t="s">
        <v>10</v>
      </c>
      <c r="T145" s="89" t="s">
        <v>17</v>
      </c>
      <c r="U145" s="89" t="s">
        <v>17</v>
      </c>
      <c r="V145" s="89" t="s">
        <v>17</v>
      </c>
      <c r="W145" s="89" t="s">
        <v>305</v>
      </c>
      <c r="X145" s="89" t="s">
        <v>17</v>
      </c>
      <c r="Y145" s="96"/>
      <c r="AH145" s="89" t="str">
        <f>IFERROR(VLOOKUP($Y145,#REF!,AH$1,FALSE),"")</f>
        <v/>
      </c>
      <c r="AI145" s="89" t="str">
        <f>IFERROR(VLOOKUP($Y145,#REF!,AI$1,FALSE),"")</f>
        <v/>
      </c>
    </row>
    <row r="146" spans="1:35" ht="25.5" x14ac:dyDescent="0.25">
      <c r="A146" s="89" t="s">
        <v>868</v>
      </c>
      <c r="B146" s="89" t="s">
        <v>143</v>
      </c>
      <c r="C146" s="89" t="str">
        <f t="shared" si="3"/>
        <v>A.10.1.2 146</v>
      </c>
      <c r="D146" s="90" t="s">
        <v>601</v>
      </c>
      <c r="E146" s="89" t="s">
        <v>8</v>
      </c>
      <c r="F146" s="91" t="s">
        <v>513</v>
      </c>
      <c r="G146" s="91" t="s">
        <v>512</v>
      </c>
      <c r="H146" s="91"/>
      <c r="I146" s="91"/>
      <c r="K146" s="89" t="s">
        <v>17</v>
      </c>
      <c r="L146" s="89" t="s">
        <v>305</v>
      </c>
      <c r="M146" s="89" t="s">
        <v>305</v>
      </c>
      <c r="N146" s="89" t="s">
        <v>305</v>
      </c>
      <c r="O146" s="89" t="s">
        <v>17</v>
      </c>
      <c r="P146" s="89" t="s">
        <v>17</v>
      </c>
      <c r="Q146" s="89" t="s">
        <v>17</v>
      </c>
      <c r="R146" s="89" t="s">
        <v>17</v>
      </c>
      <c r="S146" s="89" t="s">
        <v>10</v>
      </c>
      <c r="T146" s="89" t="s">
        <v>17</v>
      </c>
      <c r="U146" s="89" t="s">
        <v>17</v>
      </c>
      <c r="V146" s="89" t="s">
        <v>17</v>
      </c>
      <c r="W146" s="89" t="s">
        <v>305</v>
      </c>
      <c r="X146" s="89" t="s">
        <v>17</v>
      </c>
      <c r="Y146" s="95"/>
      <c r="AH146" s="89" t="str">
        <f>IFERROR(VLOOKUP($Y146,#REF!,AH$1,FALSE),"")</f>
        <v/>
      </c>
      <c r="AI146" s="89" t="str">
        <f>IFERROR(VLOOKUP($Y146,#REF!,AI$1,FALSE),"")</f>
        <v/>
      </c>
    </row>
    <row r="147" spans="1:35" ht="38.25" x14ac:dyDescent="0.25">
      <c r="A147" s="89" t="s">
        <v>868</v>
      </c>
      <c r="B147" s="89" t="s">
        <v>143</v>
      </c>
      <c r="C147" s="89" t="str">
        <f t="shared" si="3"/>
        <v>A.10.1.2 147</v>
      </c>
      <c r="D147" s="90" t="s">
        <v>11</v>
      </c>
      <c r="E147" s="89" t="s">
        <v>8</v>
      </c>
      <c r="F147" s="91" t="s">
        <v>144</v>
      </c>
      <c r="G147" s="91"/>
      <c r="H147" s="91"/>
      <c r="I147" s="91"/>
      <c r="K147" s="89" t="s">
        <v>17</v>
      </c>
      <c r="L147" s="89" t="s">
        <v>305</v>
      </c>
      <c r="M147" s="89" t="s">
        <v>305</v>
      </c>
      <c r="N147" s="89" t="s">
        <v>305</v>
      </c>
      <c r="O147" s="89" t="s">
        <v>17</v>
      </c>
      <c r="P147" s="89" t="s">
        <v>17</v>
      </c>
      <c r="Q147" s="89" t="s">
        <v>17</v>
      </c>
      <c r="R147" s="89" t="s">
        <v>17</v>
      </c>
      <c r="S147" s="89" t="s">
        <v>10</v>
      </c>
      <c r="T147" s="89" t="s">
        <v>17</v>
      </c>
      <c r="U147" s="89" t="s">
        <v>17</v>
      </c>
      <c r="V147" s="89" t="s">
        <v>10</v>
      </c>
      <c r="W147" s="89" t="s">
        <v>305</v>
      </c>
      <c r="X147" s="89" t="s">
        <v>17</v>
      </c>
      <c r="AH147" s="89" t="str">
        <f>IFERROR(VLOOKUP($Y147,#REF!,AH$1,FALSE),"")</f>
        <v/>
      </c>
      <c r="AI147" s="89" t="str">
        <f>IFERROR(VLOOKUP($Y147,#REF!,AI$1,FALSE),"")</f>
        <v/>
      </c>
    </row>
    <row r="148" spans="1:35" ht="127.5" x14ac:dyDescent="0.25">
      <c r="A148" s="89" t="s">
        <v>868</v>
      </c>
      <c r="B148" s="89" t="s">
        <v>143</v>
      </c>
      <c r="C148" s="89" t="str">
        <f t="shared" si="3"/>
        <v>A.10.1.2 148</v>
      </c>
      <c r="D148" s="90" t="s">
        <v>603</v>
      </c>
      <c r="E148" s="89" t="s">
        <v>8</v>
      </c>
      <c r="F148" s="91" t="s">
        <v>662</v>
      </c>
      <c r="G148" s="91" t="s">
        <v>514</v>
      </c>
      <c r="H148" s="91"/>
      <c r="I148" s="91"/>
      <c r="K148" s="89" t="s">
        <v>17</v>
      </c>
      <c r="L148" s="89" t="s">
        <v>305</v>
      </c>
      <c r="M148" s="89" t="s">
        <v>305</v>
      </c>
      <c r="N148" s="89" t="s">
        <v>305</v>
      </c>
      <c r="O148" s="89" t="s">
        <v>17</v>
      </c>
      <c r="P148" s="89" t="s">
        <v>17</v>
      </c>
      <c r="Q148" s="89" t="s">
        <v>17</v>
      </c>
      <c r="R148" s="89" t="s">
        <v>17</v>
      </c>
      <c r="S148" s="89" t="s">
        <v>10</v>
      </c>
      <c r="T148" s="89" t="s">
        <v>17</v>
      </c>
      <c r="U148" s="89" t="s">
        <v>17</v>
      </c>
      <c r="V148" s="89" t="s">
        <v>17</v>
      </c>
      <c r="W148" s="89" t="s">
        <v>305</v>
      </c>
      <c r="X148" s="89" t="s">
        <v>17</v>
      </c>
      <c r="Y148" s="95"/>
      <c r="AH148" s="89" t="str">
        <f>IFERROR(VLOOKUP($Y148,#REF!,AH$1,FALSE),"")</f>
        <v/>
      </c>
      <c r="AI148" s="89" t="str">
        <f>IFERROR(VLOOKUP($Y148,#REF!,AI$1,FALSE),"")</f>
        <v/>
      </c>
    </row>
    <row r="149" spans="1:35" x14ac:dyDescent="0.25">
      <c r="A149" s="89" t="s">
        <v>868</v>
      </c>
      <c r="B149" s="89" t="s">
        <v>143</v>
      </c>
      <c r="C149" s="89" t="str">
        <f t="shared" si="3"/>
        <v>A.10.1.2 149</v>
      </c>
      <c r="D149" s="90" t="s">
        <v>604</v>
      </c>
      <c r="E149" s="89" t="s">
        <v>8</v>
      </c>
      <c r="F149" s="91" t="s">
        <v>516</v>
      </c>
      <c r="G149" s="91" t="s">
        <v>515</v>
      </c>
      <c r="H149" s="91"/>
      <c r="I149" s="91"/>
      <c r="K149" s="89" t="s">
        <v>17</v>
      </c>
      <c r="L149" s="89" t="s">
        <v>305</v>
      </c>
      <c r="M149" s="89" t="s">
        <v>305</v>
      </c>
      <c r="N149" s="89" t="s">
        <v>305</v>
      </c>
      <c r="O149" s="89" t="s">
        <v>17</v>
      </c>
      <c r="P149" s="89" t="s">
        <v>17</v>
      </c>
      <c r="Q149" s="89" t="s">
        <v>17</v>
      </c>
      <c r="R149" s="89" t="s">
        <v>17</v>
      </c>
      <c r="S149" s="89" t="s">
        <v>10</v>
      </c>
      <c r="T149" s="89" t="s">
        <v>17</v>
      </c>
      <c r="U149" s="89" t="s">
        <v>17</v>
      </c>
      <c r="V149" s="89" t="s">
        <v>17</v>
      </c>
      <c r="W149" s="89" t="s">
        <v>305</v>
      </c>
      <c r="X149" s="89" t="s">
        <v>17</v>
      </c>
      <c r="Y149" s="95"/>
      <c r="AH149" s="89" t="str">
        <f>IFERROR(VLOOKUP($Y149,#REF!,AH$1,FALSE),"")</f>
        <v/>
      </c>
      <c r="AI149" s="89" t="str">
        <f>IFERROR(VLOOKUP($Y149,#REF!,AI$1,FALSE),"")</f>
        <v/>
      </c>
    </row>
    <row r="150" spans="1:35" ht="38.25" x14ac:dyDescent="0.25">
      <c r="A150" s="89" t="s">
        <v>868</v>
      </c>
      <c r="B150" s="89" t="s">
        <v>143</v>
      </c>
      <c r="C150" s="89" t="str">
        <f t="shared" si="3"/>
        <v>A.10.1.2 150</v>
      </c>
      <c r="D150" s="90" t="s">
        <v>605</v>
      </c>
      <c r="E150" s="89" t="s">
        <v>8</v>
      </c>
      <c r="F150" s="91" t="s">
        <v>518</v>
      </c>
      <c r="G150" s="91" t="s">
        <v>517</v>
      </c>
      <c r="H150" s="91"/>
      <c r="I150" s="91"/>
      <c r="K150" s="89" t="s">
        <v>17</v>
      </c>
      <c r="L150" s="89" t="s">
        <v>305</v>
      </c>
      <c r="M150" s="89" t="s">
        <v>305</v>
      </c>
      <c r="N150" s="89" t="s">
        <v>305</v>
      </c>
      <c r="O150" s="89" t="s">
        <v>17</v>
      </c>
      <c r="P150" s="89" t="s">
        <v>17</v>
      </c>
      <c r="Q150" s="89" t="s">
        <v>17</v>
      </c>
      <c r="R150" s="89" t="s">
        <v>17</v>
      </c>
      <c r="S150" s="89" t="s">
        <v>10</v>
      </c>
      <c r="T150" s="89" t="s">
        <v>17</v>
      </c>
      <c r="U150" s="89" t="s">
        <v>17</v>
      </c>
      <c r="V150" s="89" t="s">
        <v>17</v>
      </c>
      <c r="W150" s="89" t="s">
        <v>305</v>
      </c>
      <c r="X150" s="89" t="s">
        <v>17</v>
      </c>
      <c r="Y150" s="95"/>
      <c r="AH150" s="89" t="str">
        <f>IFERROR(VLOOKUP($Y150,#REF!,AH$1,FALSE),"")</f>
        <v/>
      </c>
      <c r="AI150" s="89" t="str">
        <f>IFERROR(VLOOKUP($Y150,#REF!,AI$1,FALSE),"")</f>
        <v/>
      </c>
    </row>
    <row r="151" spans="1:35" ht="25.5" x14ac:dyDescent="0.25">
      <c r="A151" s="89" t="s">
        <v>868</v>
      </c>
      <c r="B151" s="89" t="s">
        <v>143</v>
      </c>
      <c r="C151" s="89" t="str">
        <f t="shared" si="3"/>
        <v>A.10.1.2 151</v>
      </c>
      <c r="D151" s="90" t="s">
        <v>606</v>
      </c>
      <c r="E151" s="89" t="s">
        <v>8</v>
      </c>
      <c r="F151" s="91" t="s">
        <v>520</v>
      </c>
      <c r="G151" s="91" t="s">
        <v>519</v>
      </c>
      <c r="H151" s="91"/>
      <c r="I151" s="91"/>
      <c r="K151" s="89" t="s">
        <v>17</v>
      </c>
      <c r="L151" s="89" t="s">
        <v>305</v>
      </c>
      <c r="M151" s="89" t="s">
        <v>305</v>
      </c>
      <c r="N151" s="89" t="s">
        <v>305</v>
      </c>
      <c r="O151" s="89" t="s">
        <v>17</v>
      </c>
      <c r="P151" s="89" t="s">
        <v>17</v>
      </c>
      <c r="Q151" s="89" t="s">
        <v>17</v>
      </c>
      <c r="R151" s="89" t="s">
        <v>17</v>
      </c>
      <c r="S151" s="89" t="s">
        <v>10</v>
      </c>
      <c r="T151" s="89" t="s">
        <v>17</v>
      </c>
      <c r="U151" s="89" t="s">
        <v>17</v>
      </c>
      <c r="V151" s="89" t="s">
        <v>17</v>
      </c>
      <c r="W151" s="89" t="s">
        <v>305</v>
      </c>
      <c r="X151" s="89" t="s">
        <v>17</v>
      </c>
      <c r="Y151" s="95"/>
      <c r="AH151" s="89" t="str">
        <f>IFERROR(VLOOKUP($Y151,#REF!,AH$1,FALSE),"")</f>
        <v/>
      </c>
      <c r="AI151" s="89" t="str">
        <f>IFERROR(VLOOKUP($Y151,#REF!,AI$1,FALSE),"")</f>
        <v/>
      </c>
    </row>
    <row r="152" spans="1:35" ht="38.25" x14ac:dyDescent="0.25">
      <c r="A152" s="89" t="s">
        <v>868</v>
      </c>
      <c r="B152" s="89" t="s">
        <v>143</v>
      </c>
      <c r="C152" s="89" t="str">
        <f t="shared" si="3"/>
        <v>A.10.1.2 152</v>
      </c>
      <c r="D152" s="90" t="s">
        <v>32</v>
      </c>
      <c r="E152" s="89" t="s">
        <v>13</v>
      </c>
      <c r="F152" s="91" t="s">
        <v>145</v>
      </c>
      <c r="G152" s="91"/>
      <c r="H152" s="91"/>
      <c r="I152" s="91"/>
      <c r="K152" s="89" t="s">
        <v>17</v>
      </c>
      <c r="L152" s="89" t="s">
        <v>305</v>
      </c>
      <c r="M152" s="89" t="s">
        <v>305</v>
      </c>
      <c r="N152" s="89" t="s">
        <v>305</v>
      </c>
      <c r="O152" s="89" t="s">
        <v>17</v>
      </c>
      <c r="P152" s="89" t="s">
        <v>17</v>
      </c>
      <c r="Q152" s="89" t="s">
        <v>17</v>
      </c>
      <c r="R152" s="89" t="s">
        <v>17</v>
      </c>
      <c r="S152" s="89" t="s">
        <v>10</v>
      </c>
      <c r="T152" s="89" t="s">
        <v>17</v>
      </c>
      <c r="U152" s="89" t="s">
        <v>17</v>
      </c>
      <c r="V152" s="89" t="s">
        <v>10</v>
      </c>
      <c r="W152" s="89" t="s">
        <v>305</v>
      </c>
      <c r="X152" s="89" t="s">
        <v>17</v>
      </c>
      <c r="AH152" s="89" t="str">
        <f>IFERROR(VLOOKUP($Y152,#REF!,AH$1,FALSE),"")</f>
        <v/>
      </c>
      <c r="AI152" s="89" t="str">
        <f>IFERROR(VLOOKUP($Y152,#REF!,AI$1,FALSE),"")</f>
        <v/>
      </c>
    </row>
    <row r="153" spans="1:35" x14ac:dyDescent="0.25">
      <c r="A153" s="89" t="s">
        <v>868</v>
      </c>
      <c r="B153" s="89" t="s">
        <v>146</v>
      </c>
      <c r="C153" s="89" t="str">
        <f t="shared" si="3"/>
        <v>A.11.1.4 153</v>
      </c>
      <c r="D153" s="90"/>
      <c r="E153" s="89" t="s">
        <v>309</v>
      </c>
      <c r="F153" s="91" t="s">
        <v>10</v>
      </c>
      <c r="G153" s="91"/>
      <c r="H153" s="91"/>
      <c r="I153" s="91"/>
      <c r="K153" s="89" t="s">
        <v>305</v>
      </c>
      <c r="L153" s="89" t="s">
        <v>305</v>
      </c>
      <c r="M153" s="89" t="s">
        <v>17</v>
      </c>
      <c r="N153" s="89" t="s">
        <v>17</v>
      </c>
      <c r="O153" s="89" t="s">
        <v>305</v>
      </c>
      <c r="P153" s="89" t="s">
        <v>305</v>
      </c>
      <c r="Q153" s="89" t="s">
        <v>17</v>
      </c>
      <c r="R153" s="89" t="s">
        <v>10</v>
      </c>
      <c r="S153" s="89" t="s">
        <v>10</v>
      </c>
      <c r="T153" s="89" t="s">
        <v>10</v>
      </c>
      <c r="U153" s="89" t="s">
        <v>10</v>
      </c>
      <c r="V153" s="89" t="s">
        <v>10</v>
      </c>
      <c r="W153" s="89" t="s">
        <v>305</v>
      </c>
      <c r="X153" s="89" t="s">
        <v>10</v>
      </c>
      <c r="Y153" s="96"/>
      <c r="AH153" s="89" t="str">
        <f>IFERROR(VLOOKUP($Y153,#REF!,AH$1,FALSE),"")</f>
        <v/>
      </c>
      <c r="AI153" s="89" t="str">
        <f>IFERROR(VLOOKUP($Y153,#REF!,AI$1,FALSE),"")</f>
        <v/>
      </c>
    </row>
    <row r="154" spans="1:35" ht="38.25" x14ac:dyDescent="0.25">
      <c r="A154" s="89" t="s">
        <v>868</v>
      </c>
      <c r="B154" s="89" t="s">
        <v>146</v>
      </c>
      <c r="C154" s="89" t="str">
        <f t="shared" si="3"/>
        <v>A.11.1.4 154</v>
      </c>
      <c r="D154" s="90" t="s">
        <v>9</v>
      </c>
      <c r="E154" s="89" t="s">
        <v>13</v>
      </c>
      <c r="F154" s="91" t="s">
        <v>147</v>
      </c>
      <c r="G154" s="91"/>
      <c r="H154" s="91"/>
      <c r="I154" s="91"/>
      <c r="K154" s="89" t="s">
        <v>305</v>
      </c>
      <c r="L154" s="89" t="s">
        <v>305</v>
      </c>
      <c r="M154" s="89" t="s">
        <v>17</v>
      </c>
      <c r="N154" s="89" t="s">
        <v>17</v>
      </c>
      <c r="O154" s="89" t="s">
        <v>305</v>
      </c>
      <c r="P154" s="89" t="s">
        <v>305</v>
      </c>
      <c r="Q154" s="89" t="s">
        <v>17</v>
      </c>
      <c r="R154" s="89" t="s">
        <v>10</v>
      </c>
      <c r="S154" s="89" t="s">
        <v>10</v>
      </c>
      <c r="T154" s="89" t="s">
        <v>10</v>
      </c>
      <c r="U154" s="89" t="s">
        <v>10</v>
      </c>
      <c r="V154" s="89" t="s">
        <v>10</v>
      </c>
      <c r="W154" s="89" t="s">
        <v>305</v>
      </c>
      <c r="X154" s="89" t="s">
        <v>10</v>
      </c>
      <c r="AH154" s="89" t="str">
        <f>IFERROR(VLOOKUP($Y154,#REF!,AH$1,FALSE),"")</f>
        <v/>
      </c>
      <c r="AI154" s="89" t="str">
        <f>IFERROR(VLOOKUP($Y154,#REF!,AI$1,FALSE),"")</f>
        <v/>
      </c>
    </row>
    <row r="155" spans="1:35" x14ac:dyDescent="0.25">
      <c r="A155" s="89" t="s">
        <v>868</v>
      </c>
      <c r="B155" s="89" t="s">
        <v>148</v>
      </c>
      <c r="C155" s="89" t="str">
        <f t="shared" si="3"/>
        <v>A.11.2.1 155</v>
      </c>
      <c r="D155" s="90" t="s">
        <v>612</v>
      </c>
      <c r="E155" s="89" t="s">
        <v>309</v>
      </c>
      <c r="F155" s="91" t="s">
        <v>157</v>
      </c>
      <c r="G155" s="20" t="s">
        <v>637</v>
      </c>
      <c r="H155" s="91"/>
      <c r="I155" s="91"/>
      <c r="K155" s="89" t="s">
        <v>17</v>
      </c>
      <c r="L155" s="89" t="s">
        <v>305</v>
      </c>
      <c r="M155" s="89" t="s">
        <v>17</v>
      </c>
      <c r="N155" s="89" t="s">
        <v>17</v>
      </c>
      <c r="O155" s="89" t="s">
        <v>305</v>
      </c>
      <c r="P155" s="89" t="s">
        <v>305</v>
      </c>
      <c r="Q155" s="89" t="s">
        <v>17</v>
      </c>
      <c r="R155" s="89" t="s">
        <v>10</v>
      </c>
      <c r="S155" s="89" t="s">
        <v>305</v>
      </c>
      <c r="T155" s="89" t="s">
        <v>10</v>
      </c>
      <c r="U155" s="89" t="s">
        <v>10</v>
      </c>
      <c r="V155" s="89" t="s">
        <v>17</v>
      </c>
      <c r="W155" s="89" t="s">
        <v>305</v>
      </c>
      <c r="X155" s="89" t="s">
        <v>10</v>
      </c>
      <c r="Y155" s="96"/>
      <c r="AH155" s="89" t="str">
        <f>IFERROR(VLOOKUP($Y155,#REF!,AH$1,FALSE),"")</f>
        <v/>
      </c>
      <c r="AI155" s="89" t="str">
        <f>IFERROR(VLOOKUP($Y155,#REF!,AI$1,FALSE),"")</f>
        <v/>
      </c>
    </row>
    <row r="156" spans="1:35" ht="38.25" x14ac:dyDescent="0.25">
      <c r="A156" s="89" t="s">
        <v>868</v>
      </c>
      <c r="B156" s="89" t="s">
        <v>148</v>
      </c>
      <c r="C156" s="89" t="str">
        <f t="shared" si="3"/>
        <v>A.11.2.1 156</v>
      </c>
      <c r="D156" s="90" t="s">
        <v>9</v>
      </c>
      <c r="E156" s="89" t="s">
        <v>13</v>
      </c>
      <c r="F156" s="91" t="s">
        <v>155</v>
      </c>
      <c r="G156" s="91"/>
      <c r="H156" s="91"/>
      <c r="I156" s="91"/>
      <c r="K156" s="89" t="s">
        <v>17</v>
      </c>
      <c r="L156" s="89" t="s">
        <v>305</v>
      </c>
      <c r="M156" s="89" t="s">
        <v>17</v>
      </c>
      <c r="N156" s="89" t="s">
        <v>17</v>
      </c>
      <c r="O156" s="89" t="s">
        <v>305</v>
      </c>
      <c r="P156" s="89" t="s">
        <v>305</v>
      </c>
      <c r="Q156" s="89" t="s">
        <v>17</v>
      </c>
      <c r="R156" s="89" t="s">
        <v>10</v>
      </c>
      <c r="S156" s="89" t="s">
        <v>305</v>
      </c>
      <c r="T156" s="89" t="s">
        <v>10</v>
      </c>
      <c r="U156" s="89" t="s">
        <v>10</v>
      </c>
      <c r="V156" s="89" t="s">
        <v>10</v>
      </c>
      <c r="W156" s="89" t="s">
        <v>305</v>
      </c>
      <c r="X156" s="89" t="s">
        <v>10</v>
      </c>
      <c r="AH156" s="89" t="str">
        <f>IFERROR(VLOOKUP($Y156,#REF!,AH$1,FALSE),"")</f>
        <v/>
      </c>
      <c r="AI156" s="89" t="str">
        <f>IFERROR(VLOOKUP($Y156,#REF!,AI$1,FALSE),"")</f>
        <v/>
      </c>
    </row>
    <row r="157" spans="1:35" ht="25.5" x14ac:dyDescent="0.25">
      <c r="A157" s="89" t="s">
        <v>868</v>
      </c>
      <c r="B157" s="89" t="s">
        <v>148</v>
      </c>
      <c r="C157" s="89" t="str">
        <f t="shared" si="3"/>
        <v>A.11.2.1 157</v>
      </c>
      <c r="D157" s="90" t="s">
        <v>81</v>
      </c>
      <c r="E157" s="89" t="s">
        <v>13</v>
      </c>
      <c r="F157" s="91" t="s">
        <v>156</v>
      </c>
      <c r="G157" s="91"/>
      <c r="H157" s="91"/>
      <c r="I157" s="91"/>
      <c r="K157" s="89" t="s">
        <v>17</v>
      </c>
      <c r="L157" s="89" t="s">
        <v>305</v>
      </c>
      <c r="M157" s="89" t="s">
        <v>17</v>
      </c>
      <c r="N157" s="89" t="s">
        <v>17</v>
      </c>
      <c r="O157" s="89" t="s">
        <v>305</v>
      </c>
      <c r="P157" s="89" t="s">
        <v>305</v>
      </c>
      <c r="Q157" s="89" t="s">
        <v>17</v>
      </c>
      <c r="R157" s="89" t="s">
        <v>10</v>
      </c>
      <c r="S157" s="89" t="s">
        <v>305</v>
      </c>
      <c r="T157" s="89" t="s">
        <v>10</v>
      </c>
      <c r="U157" s="89" t="s">
        <v>10</v>
      </c>
      <c r="V157" s="89" t="s">
        <v>10</v>
      </c>
      <c r="W157" s="89" t="s">
        <v>305</v>
      </c>
      <c r="X157" s="89" t="s">
        <v>10</v>
      </c>
      <c r="AH157" s="89" t="str">
        <f>IFERROR(VLOOKUP($Y157,#REF!,AH$1,FALSE),"")</f>
        <v/>
      </c>
      <c r="AI157" s="89" t="str">
        <f>IFERROR(VLOOKUP($Y157,#REF!,AI$1,FALSE),"")</f>
        <v/>
      </c>
    </row>
    <row r="158" spans="1:35" ht="38.25" x14ac:dyDescent="0.25">
      <c r="A158" s="89" t="s">
        <v>868</v>
      </c>
      <c r="B158" s="89" t="s">
        <v>148</v>
      </c>
      <c r="C158" s="89" t="str">
        <f t="shared" si="3"/>
        <v>A.11.2.1 158</v>
      </c>
      <c r="D158" s="90" t="s">
        <v>601</v>
      </c>
      <c r="E158" s="89" t="s">
        <v>8</v>
      </c>
      <c r="F158" s="91" t="s">
        <v>522</v>
      </c>
      <c r="G158" s="91" t="s">
        <v>521</v>
      </c>
      <c r="H158" s="91"/>
      <c r="I158" s="91"/>
      <c r="K158" s="89" t="s">
        <v>17</v>
      </c>
      <c r="L158" s="89" t="s">
        <v>305</v>
      </c>
      <c r="M158" s="89" t="s">
        <v>17</v>
      </c>
      <c r="N158" s="89" t="s">
        <v>17</v>
      </c>
      <c r="O158" s="89" t="s">
        <v>305</v>
      </c>
      <c r="P158" s="89" t="s">
        <v>305</v>
      </c>
      <c r="Q158" s="89" t="s">
        <v>17</v>
      </c>
      <c r="R158" s="89" t="s">
        <v>10</v>
      </c>
      <c r="S158" s="89" t="s">
        <v>305</v>
      </c>
      <c r="T158" s="89" t="s">
        <v>10</v>
      </c>
      <c r="U158" s="89" t="s">
        <v>10</v>
      </c>
      <c r="V158" s="89" t="s">
        <v>17</v>
      </c>
      <c r="W158" s="89" t="s">
        <v>305</v>
      </c>
      <c r="X158" s="89" t="s">
        <v>10</v>
      </c>
      <c r="Y158" s="95"/>
      <c r="AH158" s="89" t="str">
        <f>IFERROR(VLOOKUP($Y158,#REF!,AH$1,FALSE),"")</f>
        <v/>
      </c>
      <c r="AI158" s="89" t="str">
        <f>IFERROR(VLOOKUP($Y158,#REF!,AI$1,FALSE),"")</f>
        <v/>
      </c>
    </row>
    <row r="159" spans="1:35" ht="76.5" x14ac:dyDescent="0.25">
      <c r="A159" s="89" t="s">
        <v>868</v>
      </c>
      <c r="B159" s="89" t="s">
        <v>148</v>
      </c>
      <c r="C159" s="89" t="str">
        <f t="shared" si="3"/>
        <v>A.11.2.1 159</v>
      </c>
      <c r="D159" s="90" t="s">
        <v>602</v>
      </c>
      <c r="E159" s="89" t="s">
        <v>8</v>
      </c>
      <c r="F159" s="91" t="s">
        <v>524</v>
      </c>
      <c r="G159" s="91" t="s">
        <v>523</v>
      </c>
      <c r="H159" s="91"/>
      <c r="I159" s="91"/>
      <c r="K159" s="89" t="s">
        <v>17</v>
      </c>
      <c r="L159" s="89" t="s">
        <v>305</v>
      </c>
      <c r="M159" s="89" t="s">
        <v>17</v>
      </c>
      <c r="N159" s="89" t="s">
        <v>17</v>
      </c>
      <c r="O159" s="89" t="s">
        <v>305</v>
      </c>
      <c r="P159" s="89" t="s">
        <v>305</v>
      </c>
      <c r="Q159" s="89" t="s">
        <v>17</v>
      </c>
      <c r="R159" s="89" t="s">
        <v>10</v>
      </c>
      <c r="S159" s="89" t="s">
        <v>305</v>
      </c>
      <c r="T159" s="89" t="s">
        <v>10</v>
      </c>
      <c r="U159" s="89" t="s">
        <v>10</v>
      </c>
      <c r="V159" s="89" t="s">
        <v>17</v>
      </c>
      <c r="W159" s="89" t="s">
        <v>305</v>
      </c>
      <c r="X159" s="89" t="s">
        <v>10</v>
      </c>
      <c r="Y159" s="95"/>
      <c r="AH159" s="89" t="str">
        <f>IFERROR(VLOOKUP($Y159,#REF!,AH$1,FALSE),"")</f>
        <v/>
      </c>
      <c r="AI159" s="89" t="str">
        <f>IFERROR(VLOOKUP($Y159,#REF!,AI$1,FALSE),"")</f>
        <v/>
      </c>
    </row>
    <row r="160" spans="1:35" ht="25.5" x14ac:dyDescent="0.25">
      <c r="A160" s="89" t="s">
        <v>868</v>
      </c>
      <c r="B160" s="89" t="s">
        <v>148</v>
      </c>
      <c r="C160" s="89" t="str">
        <f t="shared" si="3"/>
        <v>A.11.2.1 160</v>
      </c>
      <c r="D160" s="90" t="s">
        <v>14</v>
      </c>
      <c r="E160" s="89" t="s">
        <v>8</v>
      </c>
      <c r="F160" s="91" t="s">
        <v>149</v>
      </c>
      <c r="G160" s="91"/>
      <c r="H160" s="91"/>
      <c r="I160" s="91"/>
      <c r="K160" s="89" t="s">
        <v>17</v>
      </c>
      <c r="L160" s="89" t="s">
        <v>305</v>
      </c>
      <c r="M160" s="89" t="s">
        <v>17</v>
      </c>
      <c r="N160" s="89" t="s">
        <v>17</v>
      </c>
      <c r="O160" s="89" t="s">
        <v>305</v>
      </c>
      <c r="P160" s="89" t="s">
        <v>305</v>
      </c>
      <c r="Q160" s="89" t="s">
        <v>17</v>
      </c>
      <c r="R160" s="89" t="s">
        <v>10</v>
      </c>
      <c r="S160" s="89" t="s">
        <v>305</v>
      </c>
      <c r="T160" s="89" t="s">
        <v>10</v>
      </c>
      <c r="U160" s="89" t="s">
        <v>10</v>
      </c>
      <c r="V160" s="89" t="s">
        <v>10</v>
      </c>
      <c r="W160" s="89" t="s">
        <v>305</v>
      </c>
      <c r="X160" s="89" t="s">
        <v>10</v>
      </c>
      <c r="AH160" s="89" t="str">
        <f>IFERROR(VLOOKUP($Y160,#REF!,AH$1,FALSE),"")</f>
        <v/>
      </c>
      <c r="AI160" s="89" t="str">
        <f>IFERROR(VLOOKUP($Y160,#REF!,AI$1,FALSE),"")</f>
        <v/>
      </c>
    </row>
    <row r="161" spans="1:35" ht="38.25" x14ac:dyDescent="0.25">
      <c r="A161" s="89" t="s">
        <v>868</v>
      </c>
      <c r="B161" s="89" t="s">
        <v>148</v>
      </c>
      <c r="C161" s="89" t="str">
        <f t="shared" si="3"/>
        <v>A.11.2.1 161</v>
      </c>
      <c r="D161" s="90" t="s">
        <v>15</v>
      </c>
      <c r="E161" s="89" t="s">
        <v>8</v>
      </c>
      <c r="F161" s="91" t="s">
        <v>150</v>
      </c>
      <c r="G161" s="91"/>
      <c r="H161" s="91"/>
      <c r="I161" s="91"/>
      <c r="K161" s="89" t="s">
        <v>17</v>
      </c>
      <c r="L161" s="89" t="s">
        <v>305</v>
      </c>
      <c r="M161" s="89" t="s">
        <v>17</v>
      </c>
      <c r="N161" s="89" t="s">
        <v>17</v>
      </c>
      <c r="O161" s="89" t="s">
        <v>305</v>
      </c>
      <c r="P161" s="89" t="s">
        <v>305</v>
      </c>
      <c r="Q161" s="89" t="s">
        <v>17</v>
      </c>
      <c r="R161" s="89" t="s">
        <v>10</v>
      </c>
      <c r="S161" s="89" t="s">
        <v>305</v>
      </c>
      <c r="T161" s="89" t="s">
        <v>10</v>
      </c>
      <c r="U161" s="89" t="s">
        <v>10</v>
      </c>
      <c r="V161" s="89" t="s">
        <v>10</v>
      </c>
      <c r="W161" s="89" t="s">
        <v>305</v>
      </c>
      <c r="X161" s="89" t="s">
        <v>10</v>
      </c>
      <c r="AH161" s="89" t="str">
        <f>IFERROR(VLOOKUP($Y161,#REF!,AH$1,FALSE),"")</f>
        <v/>
      </c>
      <c r="AI161" s="89" t="str">
        <f>IFERROR(VLOOKUP($Y161,#REF!,AI$1,FALSE),"")</f>
        <v/>
      </c>
    </row>
    <row r="162" spans="1:35" ht="38.25" x14ac:dyDescent="0.25">
      <c r="A162" s="89" t="s">
        <v>868</v>
      </c>
      <c r="B162" s="89" t="s">
        <v>148</v>
      </c>
      <c r="C162" s="89" t="str">
        <f t="shared" si="3"/>
        <v>A.11.2.1 162</v>
      </c>
      <c r="D162" s="90" t="s">
        <v>28</v>
      </c>
      <c r="E162" s="89" t="s">
        <v>8</v>
      </c>
      <c r="F162" s="91" t="s">
        <v>151</v>
      </c>
      <c r="G162" s="91"/>
      <c r="H162" s="91"/>
      <c r="I162" s="91"/>
      <c r="K162" s="89" t="s">
        <v>17</v>
      </c>
      <c r="L162" s="89" t="s">
        <v>305</v>
      </c>
      <c r="M162" s="89" t="s">
        <v>17</v>
      </c>
      <c r="N162" s="89" t="s">
        <v>17</v>
      </c>
      <c r="O162" s="89" t="s">
        <v>305</v>
      </c>
      <c r="P162" s="89" t="s">
        <v>305</v>
      </c>
      <c r="Q162" s="89" t="s">
        <v>17</v>
      </c>
      <c r="R162" s="89" t="s">
        <v>10</v>
      </c>
      <c r="S162" s="89" t="s">
        <v>305</v>
      </c>
      <c r="T162" s="89" t="s">
        <v>10</v>
      </c>
      <c r="U162" s="89" t="s">
        <v>10</v>
      </c>
      <c r="V162" s="89" t="s">
        <v>10</v>
      </c>
      <c r="W162" s="89" t="s">
        <v>305</v>
      </c>
      <c r="X162" s="89" t="s">
        <v>10</v>
      </c>
      <c r="AH162" s="89" t="str">
        <f>IFERROR(VLOOKUP($Y162,#REF!,AH$1,FALSE),"")</f>
        <v/>
      </c>
      <c r="AI162" s="89" t="str">
        <f>IFERROR(VLOOKUP($Y162,#REF!,AI$1,FALSE),"")</f>
        <v/>
      </c>
    </row>
    <row r="163" spans="1:35" ht="25.5" x14ac:dyDescent="0.25">
      <c r="A163" s="89" t="s">
        <v>868</v>
      </c>
      <c r="B163" s="89" t="s">
        <v>148</v>
      </c>
      <c r="C163" s="89" t="str">
        <f t="shared" si="3"/>
        <v>A.11.2.1 163</v>
      </c>
      <c r="D163" s="90" t="s">
        <v>32</v>
      </c>
      <c r="E163" s="89" t="s">
        <v>8</v>
      </c>
      <c r="F163" s="91" t="s">
        <v>152</v>
      </c>
      <c r="G163" s="91"/>
      <c r="H163" s="91"/>
      <c r="I163" s="91"/>
      <c r="K163" s="89" t="s">
        <v>17</v>
      </c>
      <c r="L163" s="89" t="s">
        <v>305</v>
      </c>
      <c r="M163" s="89" t="s">
        <v>17</v>
      </c>
      <c r="N163" s="89" t="s">
        <v>17</v>
      </c>
      <c r="O163" s="89" t="s">
        <v>305</v>
      </c>
      <c r="P163" s="89" t="s">
        <v>305</v>
      </c>
      <c r="Q163" s="89" t="s">
        <v>17</v>
      </c>
      <c r="R163" s="89" t="s">
        <v>10</v>
      </c>
      <c r="S163" s="89" t="s">
        <v>305</v>
      </c>
      <c r="T163" s="89" t="s">
        <v>10</v>
      </c>
      <c r="U163" s="89" t="s">
        <v>10</v>
      </c>
      <c r="V163" s="89" t="s">
        <v>10</v>
      </c>
      <c r="W163" s="89" t="s">
        <v>305</v>
      </c>
      <c r="X163" s="89" t="s">
        <v>10</v>
      </c>
      <c r="AH163" s="89" t="str">
        <f>IFERROR(VLOOKUP($Y163,#REF!,AH$1,FALSE),"")</f>
        <v/>
      </c>
      <c r="AI163" s="89" t="str">
        <f>IFERROR(VLOOKUP($Y163,#REF!,AI$1,FALSE),"")</f>
        <v/>
      </c>
    </row>
    <row r="164" spans="1:35" ht="25.5" x14ac:dyDescent="0.25">
      <c r="A164" s="89" t="s">
        <v>868</v>
      </c>
      <c r="B164" s="89" t="s">
        <v>148</v>
      </c>
      <c r="C164" s="89" t="str">
        <f t="shared" si="3"/>
        <v>A.11.2.1 164</v>
      </c>
      <c r="D164" s="90" t="s">
        <v>30</v>
      </c>
      <c r="E164" s="89" t="s">
        <v>8</v>
      </c>
      <c r="F164" s="91" t="s">
        <v>153</v>
      </c>
      <c r="G164" s="91"/>
      <c r="H164" s="91"/>
      <c r="I164" s="91"/>
      <c r="K164" s="89" t="s">
        <v>17</v>
      </c>
      <c r="L164" s="89" t="s">
        <v>305</v>
      </c>
      <c r="M164" s="89" t="s">
        <v>17</v>
      </c>
      <c r="N164" s="89" t="s">
        <v>17</v>
      </c>
      <c r="O164" s="89" t="s">
        <v>305</v>
      </c>
      <c r="P164" s="89" t="s">
        <v>305</v>
      </c>
      <c r="Q164" s="89" t="s">
        <v>17</v>
      </c>
      <c r="R164" s="89" t="s">
        <v>10</v>
      </c>
      <c r="S164" s="89" t="s">
        <v>305</v>
      </c>
      <c r="T164" s="89" t="s">
        <v>10</v>
      </c>
      <c r="U164" s="89" t="s">
        <v>10</v>
      </c>
      <c r="V164" s="89" t="s">
        <v>10</v>
      </c>
      <c r="W164" s="89" t="s">
        <v>305</v>
      </c>
      <c r="X164" s="89" t="s">
        <v>10</v>
      </c>
      <c r="AH164" s="89" t="str">
        <f>IFERROR(VLOOKUP($Y164,#REF!,AH$1,FALSE),"")</f>
        <v/>
      </c>
      <c r="AI164" s="89" t="str">
        <f>IFERROR(VLOOKUP($Y164,#REF!,AI$1,FALSE),"")</f>
        <v/>
      </c>
    </row>
    <row r="165" spans="1:35" x14ac:dyDescent="0.25">
      <c r="A165" s="89" t="s">
        <v>868</v>
      </c>
      <c r="B165" s="89" t="s">
        <v>148</v>
      </c>
      <c r="C165" s="89" t="str">
        <f t="shared" si="3"/>
        <v>A.11.2.1 165</v>
      </c>
      <c r="D165" s="90" t="s">
        <v>34</v>
      </c>
      <c r="E165" s="89" t="s">
        <v>8</v>
      </c>
      <c r="F165" s="91" t="s">
        <v>154</v>
      </c>
      <c r="G165" s="91"/>
      <c r="H165" s="91"/>
      <c r="I165" s="91"/>
      <c r="K165" s="89" t="s">
        <v>17</v>
      </c>
      <c r="L165" s="89" t="s">
        <v>305</v>
      </c>
      <c r="M165" s="89" t="s">
        <v>17</v>
      </c>
      <c r="N165" s="89" t="s">
        <v>17</v>
      </c>
      <c r="O165" s="89" t="s">
        <v>305</v>
      </c>
      <c r="P165" s="89" t="s">
        <v>305</v>
      </c>
      <c r="Q165" s="89" t="s">
        <v>17</v>
      </c>
      <c r="R165" s="89" t="s">
        <v>10</v>
      </c>
      <c r="S165" s="89" t="s">
        <v>305</v>
      </c>
      <c r="T165" s="89" t="s">
        <v>10</v>
      </c>
      <c r="U165" s="89" t="s">
        <v>10</v>
      </c>
      <c r="V165" s="89" t="s">
        <v>10</v>
      </c>
      <c r="W165" s="89" t="s">
        <v>305</v>
      </c>
      <c r="X165" s="89" t="s">
        <v>10</v>
      </c>
      <c r="AH165" s="89" t="str">
        <f>IFERROR(VLOOKUP($Y165,#REF!,AH$1,FALSE),"")</f>
        <v/>
      </c>
      <c r="AI165" s="89" t="str">
        <f>IFERROR(VLOOKUP($Y165,#REF!,AI$1,FALSE),"")</f>
        <v/>
      </c>
    </row>
    <row r="166" spans="1:35" x14ac:dyDescent="0.25">
      <c r="A166" s="89" t="s">
        <v>868</v>
      </c>
      <c r="B166" s="89" t="s">
        <v>158</v>
      </c>
      <c r="C166" s="89" t="str">
        <f t="shared" si="3"/>
        <v>A.11.2.5 166</v>
      </c>
      <c r="D166" s="90"/>
      <c r="E166" s="89" t="s">
        <v>309</v>
      </c>
      <c r="F166" s="91" t="s">
        <v>10</v>
      </c>
      <c r="G166" s="91"/>
      <c r="H166" s="91"/>
      <c r="I166" s="91"/>
      <c r="K166" s="89" t="s">
        <v>17</v>
      </c>
      <c r="L166" s="89" t="s">
        <v>305</v>
      </c>
      <c r="M166" s="89" t="s">
        <v>17</v>
      </c>
      <c r="N166" s="89" t="s">
        <v>17</v>
      </c>
      <c r="O166" s="89" t="s">
        <v>305</v>
      </c>
      <c r="P166" s="89" t="s">
        <v>305</v>
      </c>
      <c r="Q166" s="89" t="s">
        <v>10</v>
      </c>
      <c r="R166" s="89" t="s">
        <v>10</v>
      </c>
      <c r="S166" s="89" t="s">
        <v>10</v>
      </c>
      <c r="T166" s="89" t="s">
        <v>10</v>
      </c>
      <c r="U166" s="89" t="s">
        <v>10</v>
      </c>
      <c r="V166" s="89" t="s">
        <v>10</v>
      </c>
      <c r="W166" s="89" t="s">
        <v>305</v>
      </c>
      <c r="X166" s="89" t="s">
        <v>10</v>
      </c>
      <c r="Y166" s="96"/>
      <c r="AH166" s="89" t="str">
        <f>IFERROR(VLOOKUP($Y166,#REF!,AH$1,FALSE),"")</f>
        <v/>
      </c>
      <c r="AI166" s="89" t="str">
        <f>IFERROR(VLOOKUP($Y166,#REF!,AI$1,FALSE),"")</f>
        <v/>
      </c>
    </row>
    <row r="167" spans="1:35" ht="25.5" x14ac:dyDescent="0.25">
      <c r="A167" s="89" t="s">
        <v>868</v>
      </c>
      <c r="B167" s="89" t="s">
        <v>158</v>
      </c>
      <c r="C167" s="89" t="str">
        <f t="shared" si="3"/>
        <v>A.11.2.5 167</v>
      </c>
      <c r="D167" s="90" t="s">
        <v>9</v>
      </c>
      <c r="E167" s="89" t="s">
        <v>13</v>
      </c>
      <c r="F167" s="91" t="s">
        <v>159</v>
      </c>
      <c r="G167" s="91"/>
      <c r="H167" s="91"/>
      <c r="I167" s="91"/>
      <c r="K167" s="89" t="s">
        <v>17</v>
      </c>
      <c r="L167" s="89" t="s">
        <v>305</v>
      </c>
      <c r="M167" s="89" t="s">
        <v>17</v>
      </c>
      <c r="N167" s="89" t="s">
        <v>17</v>
      </c>
      <c r="O167" s="89" t="s">
        <v>305</v>
      </c>
      <c r="P167" s="89" t="s">
        <v>305</v>
      </c>
      <c r="Q167" s="89" t="s">
        <v>10</v>
      </c>
      <c r="R167" s="89" t="s">
        <v>10</v>
      </c>
      <c r="S167" s="89" t="s">
        <v>10</v>
      </c>
      <c r="T167" s="89" t="s">
        <v>10</v>
      </c>
      <c r="U167" s="89" t="s">
        <v>10</v>
      </c>
      <c r="V167" s="89" t="s">
        <v>10</v>
      </c>
      <c r="W167" s="89" t="s">
        <v>305</v>
      </c>
      <c r="X167" s="89" t="s">
        <v>10</v>
      </c>
      <c r="AH167" s="89" t="str">
        <f>IFERROR(VLOOKUP($Y167,#REF!,AH$1,FALSE),"")</f>
        <v/>
      </c>
      <c r="AI167" s="89" t="str">
        <f>IFERROR(VLOOKUP($Y167,#REF!,AI$1,FALSE),"")</f>
        <v/>
      </c>
    </row>
    <row r="168" spans="1:35" ht="25.5" x14ac:dyDescent="0.25">
      <c r="A168" s="89" t="s">
        <v>868</v>
      </c>
      <c r="B168" s="89" t="s">
        <v>160</v>
      </c>
      <c r="C168" s="89" t="str">
        <f t="shared" si="3"/>
        <v>A.11.2.7 168</v>
      </c>
      <c r="D168" s="90" t="s">
        <v>612</v>
      </c>
      <c r="E168" s="89" t="s">
        <v>309</v>
      </c>
      <c r="F168" s="91" t="s">
        <v>163</v>
      </c>
      <c r="G168" s="20" t="s">
        <v>638</v>
      </c>
      <c r="H168" s="91"/>
      <c r="I168" s="91"/>
      <c r="K168" s="89" t="s">
        <v>17</v>
      </c>
      <c r="L168" s="89" t="s">
        <v>305</v>
      </c>
      <c r="M168" s="89" t="s">
        <v>305</v>
      </c>
      <c r="N168" s="89" t="s">
        <v>17</v>
      </c>
      <c r="O168" s="89" t="s">
        <v>305</v>
      </c>
      <c r="P168" s="89" t="s">
        <v>305</v>
      </c>
      <c r="Q168" s="89" t="s">
        <v>17</v>
      </c>
      <c r="R168" s="89" t="s">
        <v>10</v>
      </c>
      <c r="S168" s="89" t="s">
        <v>10</v>
      </c>
      <c r="T168" s="89" t="s">
        <v>10</v>
      </c>
      <c r="U168" s="89" t="s">
        <v>10</v>
      </c>
      <c r="W168" s="89" t="s">
        <v>305</v>
      </c>
      <c r="X168" s="89" t="s">
        <v>10</v>
      </c>
      <c r="Y168" s="96"/>
      <c r="AH168" s="89" t="str">
        <f>IFERROR(VLOOKUP($Y168,#REF!,AH$1,FALSE),"")</f>
        <v/>
      </c>
      <c r="AI168" s="89" t="str">
        <f>IFERROR(VLOOKUP($Y168,#REF!,AI$1,FALSE),"")</f>
        <v/>
      </c>
    </row>
    <row r="169" spans="1:35" ht="38.25" x14ac:dyDescent="0.25">
      <c r="A169" s="89" t="s">
        <v>868</v>
      </c>
      <c r="B169" s="89" t="s">
        <v>160</v>
      </c>
      <c r="C169" s="89" t="str">
        <f t="shared" si="3"/>
        <v>A.11.2.7 169</v>
      </c>
      <c r="D169" s="90" t="s">
        <v>9</v>
      </c>
      <c r="E169" s="89" t="s">
        <v>8</v>
      </c>
      <c r="F169" s="91" t="s">
        <v>161</v>
      </c>
      <c r="G169" s="91"/>
      <c r="H169" s="91"/>
      <c r="I169" s="91"/>
      <c r="K169" s="89" t="s">
        <v>17</v>
      </c>
      <c r="L169" s="89" t="s">
        <v>305</v>
      </c>
      <c r="M169" s="89" t="s">
        <v>305</v>
      </c>
      <c r="N169" s="89" t="s">
        <v>17</v>
      </c>
      <c r="O169" s="89" t="s">
        <v>305</v>
      </c>
      <c r="P169" s="89" t="s">
        <v>305</v>
      </c>
      <c r="Q169" s="89" t="s">
        <v>17</v>
      </c>
      <c r="R169" s="89" t="s">
        <v>10</v>
      </c>
      <c r="S169" s="89" t="s">
        <v>10</v>
      </c>
      <c r="T169" s="89" t="s">
        <v>10</v>
      </c>
      <c r="U169" s="89" t="s">
        <v>10</v>
      </c>
      <c r="W169" s="89" t="s">
        <v>305</v>
      </c>
      <c r="X169" s="89" t="s">
        <v>10</v>
      </c>
      <c r="AH169" s="89" t="str">
        <f>IFERROR(VLOOKUP($Y169,#REF!,AH$1,FALSE),"")</f>
        <v/>
      </c>
      <c r="AI169" s="89" t="str">
        <f>IFERROR(VLOOKUP($Y169,#REF!,AI$1,FALSE),"")</f>
        <v/>
      </c>
    </row>
    <row r="170" spans="1:35" ht="38.25" x14ac:dyDescent="0.25">
      <c r="A170" s="89" t="s">
        <v>868</v>
      </c>
      <c r="B170" s="89" t="s">
        <v>160</v>
      </c>
      <c r="C170" s="89" t="str">
        <f t="shared" si="3"/>
        <v>A.11.2.7 170</v>
      </c>
      <c r="D170" s="90" t="s">
        <v>11</v>
      </c>
      <c r="E170" s="89" t="s">
        <v>13</v>
      </c>
      <c r="F170" s="91" t="s">
        <v>162</v>
      </c>
      <c r="G170" s="91"/>
      <c r="H170" s="91"/>
      <c r="I170" s="91"/>
      <c r="K170" s="89" t="s">
        <v>17</v>
      </c>
      <c r="L170" s="89" t="s">
        <v>305</v>
      </c>
      <c r="M170" s="89" t="s">
        <v>305</v>
      </c>
      <c r="N170" s="89" t="s">
        <v>17</v>
      </c>
      <c r="O170" s="89" t="s">
        <v>305</v>
      </c>
      <c r="P170" s="89" t="s">
        <v>305</v>
      </c>
      <c r="Q170" s="89" t="s">
        <v>17</v>
      </c>
      <c r="R170" s="89" t="s">
        <v>10</v>
      </c>
      <c r="S170" s="89" t="s">
        <v>10</v>
      </c>
      <c r="T170" s="89" t="s">
        <v>10</v>
      </c>
      <c r="U170" s="89" t="s">
        <v>10</v>
      </c>
      <c r="V170" s="89" t="s">
        <v>10</v>
      </c>
      <c r="W170" s="89" t="s">
        <v>305</v>
      </c>
      <c r="X170" s="89" t="s">
        <v>10</v>
      </c>
      <c r="AH170" s="89" t="str">
        <f>IFERROR(VLOOKUP($Y170,#REF!,AH$1,FALSE),"")</f>
        <v/>
      </c>
      <c r="AI170" s="89" t="str">
        <f>IFERROR(VLOOKUP($Y170,#REF!,AI$1,FALSE),"")</f>
        <v/>
      </c>
    </row>
    <row r="171" spans="1:35" x14ac:dyDescent="0.25">
      <c r="A171" s="89" t="s">
        <v>868</v>
      </c>
      <c r="B171" s="89" t="s">
        <v>164</v>
      </c>
      <c r="C171" s="89" t="str">
        <f t="shared" si="3"/>
        <v>A.11.2.8 171</v>
      </c>
      <c r="D171" s="90"/>
      <c r="E171" s="89" t="s">
        <v>309</v>
      </c>
      <c r="F171" s="91" t="s">
        <v>10</v>
      </c>
      <c r="G171" s="91"/>
      <c r="H171" s="91"/>
      <c r="I171" s="91"/>
      <c r="K171" s="89" t="s">
        <v>17</v>
      </c>
      <c r="L171" s="89" t="s">
        <v>305</v>
      </c>
      <c r="M171" s="89" t="s">
        <v>17</v>
      </c>
      <c r="N171" s="89" t="s">
        <v>17</v>
      </c>
      <c r="O171" s="89" t="s">
        <v>305</v>
      </c>
      <c r="P171" s="89" t="s">
        <v>305</v>
      </c>
      <c r="Q171" s="89" t="s">
        <v>10</v>
      </c>
      <c r="R171" s="89" t="s">
        <v>10</v>
      </c>
      <c r="S171" s="89" t="s">
        <v>10</v>
      </c>
      <c r="T171" s="89" t="s">
        <v>10</v>
      </c>
      <c r="U171" s="89" t="s">
        <v>10</v>
      </c>
      <c r="V171" s="89" t="s">
        <v>10</v>
      </c>
      <c r="W171" s="89" t="s">
        <v>305</v>
      </c>
      <c r="X171" s="89" t="s">
        <v>10</v>
      </c>
      <c r="Y171" s="96"/>
      <c r="AH171" s="89" t="str">
        <f>IFERROR(VLOOKUP($Y171,#REF!,AH$1,FALSE),"")</f>
        <v/>
      </c>
      <c r="AI171" s="89" t="str">
        <f>IFERROR(VLOOKUP($Y171,#REF!,AI$1,FALSE),"")</f>
        <v/>
      </c>
    </row>
    <row r="172" spans="1:35" ht="25.5" x14ac:dyDescent="0.25">
      <c r="A172" s="89" t="s">
        <v>868</v>
      </c>
      <c r="B172" s="89" t="s">
        <v>164</v>
      </c>
      <c r="C172" s="89" t="str">
        <f t="shared" si="3"/>
        <v>A.11.2.8 172</v>
      </c>
      <c r="D172" s="90" t="s">
        <v>9</v>
      </c>
      <c r="E172" s="89" t="s">
        <v>13</v>
      </c>
      <c r="F172" s="91" t="s">
        <v>165</v>
      </c>
      <c r="G172" s="91"/>
      <c r="H172" s="91"/>
      <c r="I172" s="91"/>
      <c r="K172" s="89" t="s">
        <v>17</v>
      </c>
      <c r="L172" s="89" t="s">
        <v>305</v>
      </c>
      <c r="M172" s="89" t="s">
        <v>17</v>
      </c>
      <c r="N172" s="89" t="s">
        <v>17</v>
      </c>
      <c r="O172" s="89" t="s">
        <v>305</v>
      </c>
      <c r="P172" s="89" t="s">
        <v>305</v>
      </c>
      <c r="Q172" s="89" t="s">
        <v>10</v>
      </c>
      <c r="R172" s="89" t="s">
        <v>10</v>
      </c>
      <c r="S172" s="89" t="s">
        <v>10</v>
      </c>
      <c r="T172" s="89" t="s">
        <v>10</v>
      </c>
      <c r="U172" s="89" t="s">
        <v>10</v>
      </c>
      <c r="V172" s="89" t="s">
        <v>10</v>
      </c>
      <c r="W172" s="89" t="s">
        <v>305</v>
      </c>
      <c r="X172" s="89" t="s">
        <v>10</v>
      </c>
      <c r="AH172" s="89" t="str">
        <f>IFERROR(VLOOKUP($Y172,#REF!,AH$1,FALSE),"")</f>
        <v/>
      </c>
      <c r="AI172" s="89" t="str">
        <f>IFERROR(VLOOKUP($Y172,#REF!,AI$1,FALSE),"")</f>
        <v/>
      </c>
    </row>
    <row r="173" spans="1:35" ht="63.75" x14ac:dyDescent="0.25">
      <c r="A173" s="89" t="s">
        <v>868</v>
      </c>
      <c r="B173" s="89" t="s">
        <v>166</v>
      </c>
      <c r="C173" s="89" t="str">
        <f t="shared" si="3"/>
        <v>A.12.1.1 173</v>
      </c>
      <c r="D173" s="90" t="s">
        <v>612</v>
      </c>
      <c r="E173" s="89" t="s">
        <v>309</v>
      </c>
      <c r="F173" s="91" t="s">
        <v>1464</v>
      </c>
      <c r="G173" s="20" t="s">
        <v>1465</v>
      </c>
      <c r="H173" s="91"/>
      <c r="I173" s="91"/>
      <c r="K173" s="89" t="s">
        <v>17</v>
      </c>
      <c r="L173" s="89" t="s">
        <v>17</v>
      </c>
      <c r="M173" s="89" t="s">
        <v>17</v>
      </c>
      <c r="N173" s="89" t="s">
        <v>305</v>
      </c>
      <c r="O173" s="89" t="s">
        <v>17</v>
      </c>
      <c r="P173" s="89" t="s">
        <v>17</v>
      </c>
      <c r="Q173" s="89" t="s">
        <v>17</v>
      </c>
      <c r="R173" s="89" t="s">
        <v>17</v>
      </c>
      <c r="S173" s="89" t="s">
        <v>17</v>
      </c>
      <c r="T173" s="89" t="s">
        <v>17</v>
      </c>
      <c r="V173" s="89" t="s">
        <v>17</v>
      </c>
      <c r="W173" s="89" t="s">
        <v>305</v>
      </c>
      <c r="X173" s="89" t="s">
        <v>17</v>
      </c>
      <c r="Y173" s="96"/>
      <c r="AH173" s="89" t="str">
        <f>IFERROR(VLOOKUP($Y173,#REF!,AH$1,FALSE),"")</f>
        <v/>
      </c>
      <c r="AI173" s="89" t="str">
        <f>IFERROR(VLOOKUP($Y173,#REF!,AI$1,FALSE),"")</f>
        <v/>
      </c>
    </row>
    <row r="174" spans="1:35" ht="25.5" x14ac:dyDescent="0.25">
      <c r="A174" s="89" t="s">
        <v>868</v>
      </c>
      <c r="B174" s="89" t="s">
        <v>166</v>
      </c>
      <c r="C174" s="89" t="str">
        <f t="shared" si="3"/>
        <v>A.12.1.1 174</v>
      </c>
      <c r="D174" s="90" t="s">
        <v>601</v>
      </c>
      <c r="E174" s="89" t="s">
        <v>8</v>
      </c>
      <c r="F174" s="91" t="s">
        <v>526</v>
      </c>
      <c r="G174" s="91" t="s">
        <v>525</v>
      </c>
      <c r="H174" s="91"/>
      <c r="I174" s="91"/>
      <c r="K174" s="89" t="s">
        <v>17</v>
      </c>
      <c r="L174" s="89" t="s">
        <v>17</v>
      </c>
      <c r="M174" s="89" t="s">
        <v>17</v>
      </c>
      <c r="N174" s="89" t="s">
        <v>305</v>
      </c>
      <c r="O174" s="89" t="s">
        <v>17</v>
      </c>
      <c r="P174" s="89" t="s">
        <v>17</v>
      </c>
      <c r="Q174" s="89" t="s">
        <v>17</v>
      </c>
      <c r="R174" s="89" t="s">
        <v>17</v>
      </c>
      <c r="S174" s="89" t="s">
        <v>17</v>
      </c>
      <c r="T174" s="89" t="s">
        <v>17</v>
      </c>
      <c r="V174" s="89" t="s">
        <v>17</v>
      </c>
      <c r="W174" s="89" t="s">
        <v>305</v>
      </c>
      <c r="X174" s="89" t="s">
        <v>17</v>
      </c>
      <c r="Y174" s="95"/>
      <c r="AH174" s="89" t="str">
        <f>IFERROR(VLOOKUP($Y174,#REF!,AH$1,FALSE),"")</f>
        <v/>
      </c>
      <c r="AI174" s="89" t="str">
        <f>IFERROR(VLOOKUP($Y174,#REF!,AI$1,FALSE),"")</f>
        <v/>
      </c>
    </row>
    <row r="175" spans="1:35" ht="25.5" x14ac:dyDescent="0.25">
      <c r="A175" s="89" t="s">
        <v>868</v>
      </c>
      <c r="B175" s="89" t="s">
        <v>166</v>
      </c>
      <c r="C175" s="89" t="str">
        <f t="shared" si="3"/>
        <v>A.12.1.1 175</v>
      </c>
      <c r="D175" s="90" t="s">
        <v>602</v>
      </c>
      <c r="E175" s="89" t="s">
        <v>8</v>
      </c>
      <c r="F175" s="91" t="s">
        <v>528</v>
      </c>
      <c r="G175" s="91" t="s">
        <v>527</v>
      </c>
      <c r="H175" s="91"/>
      <c r="I175" s="91"/>
      <c r="K175" s="89" t="s">
        <v>17</v>
      </c>
      <c r="L175" s="89" t="s">
        <v>17</v>
      </c>
      <c r="M175" s="89" t="s">
        <v>17</v>
      </c>
      <c r="N175" s="89" t="s">
        <v>305</v>
      </c>
      <c r="O175" s="89" t="s">
        <v>17</v>
      </c>
      <c r="P175" s="89" t="s">
        <v>17</v>
      </c>
      <c r="Q175" s="89" t="s">
        <v>17</v>
      </c>
      <c r="R175" s="89" t="s">
        <v>17</v>
      </c>
      <c r="S175" s="89" t="s">
        <v>17</v>
      </c>
      <c r="T175" s="89" t="s">
        <v>17</v>
      </c>
      <c r="V175" s="89" t="s">
        <v>17</v>
      </c>
      <c r="W175" s="89" t="s">
        <v>305</v>
      </c>
      <c r="X175" s="89" t="s">
        <v>17</v>
      </c>
      <c r="Y175" s="95"/>
      <c r="AH175" s="89" t="str">
        <f>IFERROR(VLOOKUP($Y175,#REF!,AH$1,FALSE),"")</f>
        <v/>
      </c>
      <c r="AI175" s="89" t="str">
        <f>IFERROR(VLOOKUP($Y175,#REF!,AI$1,FALSE),"")</f>
        <v/>
      </c>
    </row>
    <row r="176" spans="1:35" ht="25.5" x14ac:dyDescent="0.25">
      <c r="A176" s="89" t="s">
        <v>868</v>
      </c>
      <c r="B176" s="89" t="s">
        <v>166</v>
      </c>
      <c r="C176" s="89" t="str">
        <f t="shared" si="3"/>
        <v>A.12.1.1 176</v>
      </c>
      <c r="D176" s="90" t="s">
        <v>603</v>
      </c>
      <c r="E176" s="89" t="s">
        <v>8</v>
      </c>
      <c r="F176" s="91" t="s">
        <v>530</v>
      </c>
      <c r="G176" s="91" t="s">
        <v>529</v>
      </c>
      <c r="H176" s="91"/>
      <c r="I176" s="91"/>
      <c r="K176" s="89" t="s">
        <v>17</v>
      </c>
      <c r="L176" s="89" t="s">
        <v>17</v>
      </c>
      <c r="M176" s="89" t="s">
        <v>17</v>
      </c>
      <c r="N176" s="89" t="s">
        <v>305</v>
      </c>
      <c r="O176" s="89" t="s">
        <v>17</v>
      </c>
      <c r="P176" s="89" t="s">
        <v>17</v>
      </c>
      <c r="Q176" s="89" t="s">
        <v>17</v>
      </c>
      <c r="R176" s="89" t="s">
        <v>17</v>
      </c>
      <c r="S176" s="89" t="s">
        <v>17</v>
      </c>
      <c r="T176" s="89" t="s">
        <v>17</v>
      </c>
      <c r="V176" s="89" t="s">
        <v>17</v>
      </c>
      <c r="W176" s="89" t="s">
        <v>305</v>
      </c>
      <c r="X176" s="89" t="s">
        <v>17</v>
      </c>
      <c r="Y176" s="95"/>
      <c r="AH176" s="89" t="str">
        <f>IFERROR(VLOOKUP($Y176,#REF!,AH$1,FALSE),"")</f>
        <v/>
      </c>
      <c r="AI176" s="89" t="str">
        <f>IFERROR(VLOOKUP($Y176,#REF!,AI$1,FALSE),"")</f>
        <v/>
      </c>
    </row>
    <row r="177" spans="1:35" ht="51" x14ac:dyDescent="0.25">
      <c r="A177" s="89" t="s">
        <v>868</v>
      </c>
      <c r="B177" s="89" t="s">
        <v>166</v>
      </c>
      <c r="C177" s="89" t="str">
        <f t="shared" si="3"/>
        <v>A.12.1.1 177</v>
      </c>
      <c r="D177" s="90" t="s">
        <v>604</v>
      </c>
      <c r="E177" s="89" t="s">
        <v>8</v>
      </c>
      <c r="F177" s="91" t="s">
        <v>532</v>
      </c>
      <c r="G177" s="91" t="s">
        <v>531</v>
      </c>
      <c r="H177" s="91"/>
      <c r="I177" s="91"/>
      <c r="K177" s="89" t="s">
        <v>17</v>
      </c>
      <c r="L177" s="89" t="s">
        <v>17</v>
      </c>
      <c r="M177" s="89" t="s">
        <v>17</v>
      </c>
      <c r="N177" s="89" t="s">
        <v>305</v>
      </c>
      <c r="O177" s="89" t="s">
        <v>17</v>
      </c>
      <c r="P177" s="89" t="s">
        <v>17</v>
      </c>
      <c r="Q177" s="89" t="s">
        <v>17</v>
      </c>
      <c r="R177" s="89" t="s">
        <v>17</v>
      </c>
      <c r="S177" s="89" t="s">
        <v>17</v>
      </c>
      <c r="T177" s="89" t="s">
        <v>17</v>
      </c>
      <c r="V177" s="89" t="s">
        <v>17</v>
      </c>
      <c r="W177" s="89" t="s">
        <v>305</v>
      </c>
      <c r="X177" s="89" t="s">
        <v>17</v>
      </c>
      <c r="Y177" s="95"/>
      <c r="AH177" s="89" t="str">
        <f>IFERROR(VLOOKUP($Y177,#REF!,AH$1,FALSE),"")</f>
        <v/>
      </c>
      <c r="AI177" s="89" t="str">
        <f>IFERROR(VLOOKUP($Y177,#REF!,AI$1,FALSE),"")</f>
        <v/>
      </c>
    </row>
    <row r="178" spans="1:35" x14ac:dyDescent="0.25">
      <c r="A178" s="89" t="s">
        <v>868</v>
      </c>
      <c r="B178" s="89" t="s">
        <v>166</v>
      </c>
      <c r="C178" s="89" t="str">
        <f t="shared" si="3"/>
        <v>A.12.1.1 178</v>
      </c>
      <c r="D178" s="90" t="s">
        <v>605</v>
      </c>
      <c r="E178" s="89" t="s">
        <v>8</v>
      </c>
      <c r="F178" s="91" t="s">
        <v>534</v>
      </c>
      <c r="G178" s="91" t="s">
        <v>533</v>
      </c>
      <c r="H178" s="91"/>
      <c r="I178" s="91"/>
      <c r="K178" s="89" t="s">
        <v>17</v>
      </c>
      <c r="L178" s="89" t="s">
        <v>17</v>
      </c>
      <c r="M178" s="89" t="s">
        <v>17</v>
      </c>
      <c r="N178" s="89" t="s">
        <v>305</v>
      </c>
      <c r="O178" s="89" t="s">
        <v>17</v>
      </c>
      <c r="P178" s="89" t="s">
        <v>17</v>
      </c>
      <c r="Q178" s="89" t="s">
        <v>17</v>
      </c>
      <c r="R178" s="89" t="s">
        <v>17</v>
      </c>
      <c r="S178" s="89" t="s">
        <v>17</v>
      </c>
      <c r="T178" s="89" t="s">
        <v>17</v>
      </c>
      <c r="V178" s="89" t="s">
        <v>17</v>
      </c>
      <c r="W178" s="89" t="s">
        <v>305</v>
      </c>
      <c r="X178" s="89" t="s">
        <v>17</v>
      </c>
      <c r="Y178" s="95"/>
      <c r="AH178" s="89" t="str">
        <f>IFERROR(VLOOKUP($Y178,#REF!,AH$1,FALSE),"")</f>
        <v/>
      </c>
      <c r="AI178" s="89" t="str">
        <f>IFERROR(VLOOKUP($Y178,#REF!,AI$1,FALSE),"")</f>
        <v/>
      </c>
    </row>
    <row r="179" spans="1:35" ht="25.5" x14ac:dyDescent="0.25">
      <c r="A179" s="89" t="s">
        <v>868</v>
      </c>
      <c r="B179" s="89" t="s">
        <v>166</v>
      </c>
      <c r="C179" s="89" t="str">
        <f t="shared" si="3"/>
        <v>A.12.1.1 179</v>
      </c>
      <c r="D179" s="90" t="s">
        <v>32</v>
      </c>
      <c r="E179" s="89" t="s">
        <v>8</v>
      </c>
      <c r="F179" s="91" t="s">
        <v>167</v>
      </c>
      <c r="G179" s="91"/>
      <c r="H179" s="91"/>
      <c r="I179" s="91"/>
      <c r="K179" s="89" t="s">
        <v>17</v>
      </c>
      <c r="L179" s="89" t="s">
        <v>17</v>
      </c>
      <c r="M179" s="89" t="s">
        <v>17</v>
      </c>
      <c r="N179" s="89" t="s">
        <v>305</v>
      </c>
      <c r="O179" s="89" t="s">
        <v>17</v>
      </c>
      <c r="P179" s="89" t="s">
        <v>17</v>
      </c>
      <c r="Q179" s="89" t="s">
        <v>17</v>
      </c>
      <c r="R179" s="89" t="s">
        <v>17</v>
      </c>
      <c r="S179" s="89" t="s">
        <v>17</v>
      </c>
      <c r="T179" s="89" t="s">
        <v>17</v>
      </c>
      <c r="U179" s="89" t="s">
        <v>17</v>
      </c>
      <c r="V179" s="89" t="s">
        <v>10</v>
      </c>
      <c r="W179" s="89" t="s">
        <v>305</v>
      </c>
      <c r="X179" s="89" t="s">
        <v>17</v>
      </c>
      <c r="AH179" s="89" t="str">
        <f>IFERROR(VLOOKUP($Y179,#REF!,AH$1,FALSE),"")</f>
        <v/>
      </c>
      <c r="AI179" s="89" t="str">
        <f>IFERROR(VLOOKUP($Y179,#REF!,AI$1,FALSE),"")</f>
        <v/>
      </c>
    </row>
    <row r="180" spans="1:35" ht="25.5" x14ac:dyDescent="0.25">
      <c r="A180" s="89" t="s">
        <v>868</v>
      </c>
      <c r="B180" s="89" t="s">
        <v>166</v>
      </c>
      <c r="C180" s="89" t="str">
        <f t="shared" si="3"/>
        <v>A.12.1.1 180</v>
      </c>
      <c r="D180" s="90" t="s">
        <v>30</v>
      </c>
      <c r="E180" s="89" t="s">
        <v>8</v>
      </c>
      <c r="F180" s="91" t="s">
        <v>168</v>
      </c>
      <c r="G180" s="91"/>
      <c r="H180" s="91"/>
      <c r="I180" s="91"/>
      <c r="K180" s="89" t="s">
        <v>17</v>
      </c>
      <c r="L180" s="89" t="s">
        <v>17</v>
      </c>
      <c r="M180" s="89" t="s">
        <v>17</v>
      </c>
      <c r="N180" s="89" t="s">
        <v>305</v>
      </c>
      <c r="O180" s="89" t="s">
        <v>17</v>
      </c>
      <c r="P180" s="89" t="s">
        <v>17</v>
      </c>
      <c r="Q180" s="89" t="s">
        <v>17</v>
      </c>
      <c r="R180" s="89" t="s">
        <v>17</v>
      </c>
      <c r="S180" s="89" t="s">
        <v>17</v>
      </c>
      <c r="T180" s="89" t="s">
        <v>17</v>
      </c>
      <c r="U180" s="89" t="s">
        <v>17</v>
      </c>
      <c r="V180" s="89" t="s">
        <v>10</v>
      </c>
      <c r="W180" s="89" t="s">
        <v>305</v>
      </c>
      <c r="X180" s="89" t="s">
        <v>17</v>
      </c>
      <c r="AH180" s="89" t="str">
        <f>IFERROR(VLOOKUP($Y180,#REF!,AH$1,FALSE),"")</f>
        <v/>
      </c>
      <c r="AI180" s="89" t="str">
        <f>IFERROR(VLOOKUP($Y180,#REF!,AI$1,FALSE),"")</f>
        <v/>
      </c>
    </row>
    <row r="181" spans="1:35" ht="25.5" x14ac:dyDescent="0.25">
      <c r="A181" s="89" t="s">
        <v>868</v>
      </c>
      <c r="B181" s="89" t="s">
        <v>166</v>
      </c>
      <c r="C181" s="89" t="str">
        <f t="shared" si="3"/>
        <v>A.12.1.1 181</v>
      </c>
      <c r="D181" s="90" t="s">
        <v>34</v>
      </c>
      <c r="E181" s="89" t="s">
        <v>13</v>
      </c>
      <c r="F181" s="91" t="s">
        <v>169</v>
      </c>
      <c r="G181" s="91"/>
      <c r="H181" s="91"/>
      <c r="I181" s="91"/>
      <c r="K181" s="89" t="s">
        <v>17</v>
      </c>
      <c r="L181" s="89" t="s">
        <v>17</v>
      </c>
      <c r="M181" s="89" t="s">
        <v>17</v>
      </c>
      <c r="N181" s="89" t="s">
        <v>305</v>
      </c>
      <c r="O181" s="89" t="s">
        <v>17</v>
      </c>
      <c r="P181" s="89" t="s">
        <v>17</v>
      </c>
      <c r="Q181" s="89" t="s">
        <v>17</v>
      </c>
      <c r="R181" s="89" t="s">
        <v>17</v>
      </c>
      <c r="S181" s="89" t="s">
        <v>17</v>
      </c>
      <c r="T181" s="89" t="s">
        <v>17</v>
      </c>
      <c r="U181" s="89" t="s">
        <v>17</v>
      </c>
      <c r="V181" s="89" t="s">
        <v>10</v>
      </c>
      <c r="W181" s="89" t="s">
        <v>305</v>
      </c>
      <c r="X181" s="89" t="s">
        <v>17</v>
      </c>
      <c r="AH181" s="89" t="str">
        <f>IFERROR(VLOOKUP($Y181,#REF!,AH$1,FALSE),"")</f>
        <v/>
      </c>
      <c r="AI181" s="89" t="str">
        <f>IFERROR(VLOOKUP($Y181,#REF!,AI$1,FALSE),"")</f>
        <v/>
      </c>
    </row>
    <row r="182" spans="1:35" x14ac:dyDescent="0.25">
      <c r="A182" s="89" t="s">
        <v>868</v>
      </c>
      <c r="B182" s="89" t="s">
        <v>170</v>
      </c>
      <c r="C182" s="89" t="str">
        <f t="shared" si="3"/>
        <v>A.12.1.3 182</v>
      </c>
      <c r="D182" s="90" t="s">
        <v>612</v>
      </c>
      <c r="E182" s="89" t="s">
        <v>309</v>
      </c>
      <c r="F182" s="91" t="s">
        <v>311</v>
      </c>
      <c r="G182" s="91"/>
      <c r="H182" s="91"/>
      <c r="I182" s="91"/>
      <c r="K182" s="89" t="s">
        <v>305</v>
      </c>
      <c r="L182" s="89" t="s">
        <v>305</v>
      </c>
      <c r="M182" s="89" t="s">
        <v>17</v>
      </c>
      <c r="N182" s="89" t="s">
        <v>305</v>
      </c>
      <c r="O182" s="89" t="s">
        <v>305</v>
      </c>
      <c r="P182" s="89" t="s">
        <v>305</v>
      </c>
      <c r="Q182" s="89" t="s">
        <v>10</v>
      </c>
      <c r="R182" s="89" t="s">
        <v>17</v>
      </c>
      <c r="S182" s="89" t="s">
        <v>10</v>
      </c>
      <c r="T182" s="89" t="s">
        <v>17</v>
      </c>
      <c r="U182" s="89" t="s">
        <v>17</v>
      </c>
      <c r="V182" s="89" t="s">
        <v>10</v>
      </c>
      <c r="W182" s="89" t="s">
        <v>305</v>
      </c>
      <c r="X182" s="89" t="s">
        <v>17</v>
      </c>
      <c r="Y182" s="96"/>
      <c r="AH182" s="89" t="str">
        <f>IFERROR(VLOOKUP($Y182,#REF!,AH$1,FALSE),"")</f>
        <v/>
      </c>
      <c r="AI182" s="89" t="str">
        <f>IFERROR(VLOOKUP($Y182,#REF!,AI$1,FALSE),"")</f>
        <v/>
      </c>
    </row>
    <row r="183" spans="1:35" ht="25.5" x14ac:dyDescent="0.25">
      <c r="A183" s="89" t="s">
        <v>868</v>
      </c>
      <c r="B183" s="89" t="s">
        <v>170</v>
      </c>
      <c r="C183" s="89" t="str">
        <f t="shared" si="3"/>
        <v>A.12.1.3 183</v>
      </c>
      <c r="D183" s="90" t="s">
        <v>9</v>
      </c>
      <c r="E183" s="89" t="s">
        <v>13</v>
      </c>
      <c r="F183" s="91" t="s">
        <v>171</v>
      </c>
      <c r="G183" s="91"/>
      <c r="H183" s="91"/>
      <c r="I183" s="91"/>
      <c r="K183" s="89" t="s">
        <v>305</v>
      </c>
      <c r="L183" s="89" t="s">
        <v>305</v>
      </c>
      <c r="M183" s="89" t="s">
        <v>17</v>
      </c>
      <c r="N183" s="89" t="s">
        <v>305</v>
      </c>
      <c r="O183" s="89" t="s">
        <v>305</v>
      </c>
      <c r="P183" s="89" t="s">
        <v>305</v>
      </c>
      <c r="Q183" s="89" t="s">
        <v>10</v>
      </c>
      <c r="R183" s="89" t="s">
        <v>17</v>
      </c>
      <c r="S183" s="89" t="s">
        <v>10</v>
      </c>
      <c r="T183" s="89" t="s">
        <v>17</v>
      </c>
      <c r="U183" s="89" t="s">
        <v>17</v>
      </c>
      <c r="V183" s="89" t="s">
        <v>10</v>
      </c>
      <c r="W183" s="89" t="s">
        <v>305</v>
      </c>
      <c r="X183" s="89" t="s">
        <v>17</v>
      </c>
      <c r="AH183" s="89" t="str">
        <f>IFERROR(VLOOKUP($Y183,#REF!,AH$1,FALSE),"")</f>
        <v/>
      </c>
      <c r="AI183" s="89" t="str">
        <f>IFERROR(VLOOKUP($Y183,#REF!,AI$1,FALSE),"")</f>
        <v/>
      </c>
    </row>
    <row r="184" spans="1:35" ht="25.5" x14ac:dyDescent="0.25">
      <c r="A184" s="89" t="s">
        <v>868</v>
      </c>
      <c r="B184" s="89" t="s">
        <v>172</v>
      </c>
      <c r="C184" s="89" t="str">
        <f t="shared" si="3"/>
        <v>A.12.1.4 184</v>
      </c>
      <c r="D184" s="90" t="s">
        <v>612</v>
      </c>
      <c r="E184" s="89" t="s">
        <v>309</v>
      </c>
      <c r="F184" s="91" t="s">
        <v>173</v>
      </c>
      <c r="G184" s="20" t="s">
        <v>639</v>
      </c>
      <c r="H184" s="91"/>
      <c r="I184" s="91"/>
      <c r="K184" s="89" t="s">
        <v>17</v>
      </c>
      <c r="L184" s="89" t="s">
        <v>17</v>
      </c>
      <c r="M184" s="89" t="s">
        <v>17</v>
      </c>
      <c r="N184" s="89" t="s">
        <v>305</v>
      </c>
      <c r="O184" s="89" t="s">
        <v>17</v>
      </c>
      <c r="P184" s="89" t="s">
        <v>17</v>
      </c>
      <c r="Q184" s="89" t="s">
        <v>10</v>
      </c>
      <c r="R184" s="89" t="s">
        <v>17</v>
      </c>
      <c r="S184" s="89" t="s">
        <v>17</v>
      </c>
      <c r="T184" s="89" t="s">
        <v>17</v>
      </c>
      <c r="V184" s="89" t="s">
        <v>17</v>
      </c>
      <c r="W184" s="89" t="s">
        <v>305</v>
      </c>
      <c r="X184" s="89" t="s">
        <v>17</v>
      </c>
      <c r="Y184" s="96"/>
      <c r="AH184" s="89" t="str">
        <f>IFERROR(VLOOKUP($Y184,#REF!,AH$1,FALSE),"")</f>
        <v/>
      </c>
      <c r="AI184" s="89" t="str">
        <f>IFERROR(VLOOKUP($Y184,#REF!,AI$1,FALSE),"")</f>
        <v/>
      </c>
    </row>
    <row r="185" spans="1:35" ht="89.25" x14ac:dyDescent="0.25">
      <c r="A185" s="89" t="s">
        <v>868</v>
      </c>
      <c r="B185" s="89" t="s">
        <v>172</v>
      </c>
      <c r="C185" s="89" t="str">
        <f t="shared" si="3"/>
        <v>A.12.1.4 185</v>
      </c>
      <c r="D185" s="90" t="s">
        <v>601</v>
      </c>
      <c r="E185" s="89" t="s">
        <v>8</v>
      </c>
      <c r="F185" s="91" t="s">
        <v>536</v>
      </c>
      <c r="G185" s="91" t="s">
        <v>535</v>
      </c>
      <c r="H185" s="91"/>
      <c r="I185" s="91"/>
      <c r="K185" s="89" t="s">
        <v>17</v>
      </c>
      <c r="L185" s="89" t="s">
        <v>17</v>
      </c>
      <c r="M185" s="89" t="s">
        <v>17</v>
      </c>
      <c r="N185" s="89" t="s">
        <v>305</v>
      </c>
      <c r="O185" s="89" t="s">
        <v>17</v>
      </c>
      <c r="P185" s="89" t="s">
        <v>17</v>
      </c>
      <c r="Q185" s="89" t="s">
        <v>10</v>
      </c>
      <c r="R185" s="89" t="s">
        <v>17</v>
      </c>
      <c r="S185" s="89" t="s">
        <v>17</v>
      </c>
      <c r="T185" s="89" t="s">
        <v>17</v>
      </c>
      <c r="V185" s="89" t="s">
        <v>17</v>
      </c>
      <c r="W185" s="89" t="s">
        <v>305</v>
      </c>
      <c r="X185" s="89" t="s">
        <v>17</v>
      </c>
      <c r="Y185" s="95"/>
      <c r="AH185" s="89" t="str">
        <f>IFERROR(VLOOKUP($Y185,#REF!,AH$1,FALSE),"")</f>
        <v/>
      </c>
      <c r="AI185" s="89" t="str">
        <f>IFERROR(VLOOKUP($Y185,#REF!,AI$1,FALSE),"")</f>
        <v/>
      </c>
    </row>
    <row r="186" spans="1:35" ht="38.25" x14ac:dyDescent="0.25">
      <c r="A186" s="89" t="s">
        <v>868</v>
      </c>
      <c r="B186" s="89" t="s">
        <v>174</v>
      </c>
      <c r="C186" s="89" t="str">
        <f t="shared" si="3"/>
        <v>A.12.1.5 186</v>
      </c>
      <c r="D186" s="90" t="s">
        <v>612</v>
      </c>
      <c r="E186" s="89" t="s">
        <v>309</v>
      </c>
      <c r="F186" s="91" t="s">
        <v>1459</v>
      </c>
      <c r="G186" s="20" t="s">
        <v>640</v>
      </c>
      <c r="H186" s="91"/>
      <c r="I186" s="91"/>
      <c r="K186" s="89" t="s">
        <v>17</v>
      </c>
      <c r="L186" s="89" t="s">
        <v>17</v>
      </c>
      <c r="M186" s="89" t="s">
        <v>17</v>
      </c>
      <c r="N186" s="89" t="s">
        <v>17</v>
      </c>
      <c r="O186" s="89" t="s">
        <v>305</v>
      </c>
      <c r="P186" s="89" t="s">
        <v>305</v>
      </c>
      <c r="Q186" s="89" t="s">
        <v>10</v>
      </c>
      <c r="R186" s="89" t="s">
        <v>10</v>
      </c>
      <c r="S186" s="89" t="s">
        <v>876</v>
      </c>
      <c r="T186" s="89" t="s">
        <v>10</v>
      </c>
      <c r="U186" s="89" t="s">
        <v>10</v>
      </c>
      <c r="V186" s="89" t="s">
        <v>17</v>
      </c>
      <c r="W186" s="89" t="s">
        <v>305</v>
      </c>
      <c r="X186" s="89" t="s">
        <v>10</v>
      </c>
      <c r="Y186" s="96"/>
      <c r="AH186" s="89" t="str">
        <f>IFERROR(VLOOKUP($Y186,#REF!,AH$1,FALSE),"")</f>
        <v/>
      </c>
      <c r="AI186" s="89" t="str">
        <f>IFERROR(VLOOKUP($Y186,#REF!,AI$1,FALSE),"")</f>
        <v/>
      </c>
    </row>
    <row r="187" spans="1:35" ht="63.75" x14ac:dyDescent="0.25">
      <c r="A187" s="89" t="s">
        <v>868</v>
      </c>
      <c r="B187" s="89" t="s">
        <v>174</v>
      </c>
      <c r="C187" s="89" t="str">
        <f t="shared" si="3"/>
        <v>A.12.1.5 187</v>
      </c>
      <c r="D187" s="90" t="s">
        <v>601</v>
      </c>
      <c r="E187" s="89" t="s">
        <v>8</v>
      </c>
      <c r="F187" s="91" t="s">
        <v>538</v>
      </c>
      <c r="G187" s="91" t="s">
        <v>537</v>
      </c>
      <c r="H187" s="91"/>
      <c r="I187" s="91"/>
      <c r="K187" s="89" t="s">
        <v>17</v>
      </c>
      <c r="L187" s="89" t="s">
        <v>17</v>
      </c>
      <c r="M187" s="89" t="s">
        <v>17</v>
      </c>
      <c r="N187" s="89" t="s">
        <v>17</v>
      </c>
      <c r="O187" s="89" t="s">
        <v>305</v>
      </c>
      <c r="P187" s="89" t="s">
        <v>305</v>
      </c>
      <c r="Q187" s="89" t="s">
        <v>10</v>
      </c>
      <c r="R187" s="89" t="s">
        <v>10</v>
      </c>
      <c r="S187" s="89" t="s">
        <v>876</v>
      </c>
      <c r="T187" s="89" t="s">
        <v>10</v>
      </c>
      <c r="U187" s="89" t="s">
        <v>10</v>
      </c>
      <c r="V187" s="89" t="s">
        <v>17</v>
      </c>
      <c r="W187" s="89" t="s">
        <v>305</v>
      </c>
      <c r="X187" s="89" t="s">
        <v>10</v>
      </c>
      <c r="Y187" s="95"/>
      <c r="AH187" s="89" t="str">
        <f>IFERROR(VLOOKUP($Y187,#REF!,AH$1,FALSE),"")</f>
        <v/>
      </c>
      <c r="AI187" s="89" t="str">
        <f>IFERROR(VLOOKUP($Y187,#REF!,AI$1,FALSE),"")</f>
        <v/>
      </c>
    </row>
    <row r="188" spans="1:35" ht="25.5" x14ac:dyDescent="0.25">
      <c r="A188" s="89" t="s">
        <v>868</v>
      </c>
      <c r="B188" s="89" t="s">
        <v>174</v>
      </c>
      <c r="C188" s="89" t="str">
        <f t="shared" si="3"/>
        <v>A.12.1.5 188</v>
      </c>
      <c r="D188" s="90" t="s">
        <v>602</v>
      </c>
      <c r="E188" s="89" t="s">
        <v>8</v>
      </c>
      <c r="F188" s="91" t="s">
        <v>175</v>
      </c>
      <c r="G188" s="91" t="s">
        <v>539</v>
      </c>
      <c r="H188" s="91"/>
      <c r="I188" s="91"/>
      <c r="K188" s="89" t="s">
        <v>17</v>
      </c>
      <c r="L188" s="89" t="s">
        <v>17</v>
      </c>
      <c r="M188" s="89" t="s">
        <v>17</v>
      </c>
      <c r="N188" s="89" t="s">
        <v>17</v>
      </c>
      <c r="O188" s="89" t="s">
        <v>305</v>
      </c>
      <c r="P188" s="89" t="s">
        <v>305</v>
      </c>
      <c r="Q188" s="89" t="s">
        <v>10</v>
      </c>
      <c r="R188" s="89" t="s">
        <v>10</v>
      </c>
      <c r="S188" s="89" t="s">
        <v>876</v>
      </c>
      <c r="T188" s="89" t="s">
        <v>10</v>
      </c>
      <c r="U188" s="89" t="s">
        <v>10</v>
      </c>
      <c r="V188" s="89" t="s">
        <v>17</v>
      </c>
      <c r="W188" s="89" t="s">
        <v>305</v>
      </c>
      <c r="X188" s="89" t="s">
        <v>10</v>
      </c>
      <c r="Y188" s="95"/>
      <c r="AH188" s="89" t="str">
        <f>IFERROR(VLOOKUP($Y188,#REF!,AH$1,FALSE),"")</f>
        <v/>
      </c>
      <c r="AI188" s="89" t="str">
        <f>IFERROR(VLOOKUP($Y188,#REF!,AI$1,FALSE),"")</f>
        <v/>
      </c>
    </row>
    <row r="189" spans="1:35" ht="38.25" x14ac:dyDescent="0.25">
      <c r="A189" s="89" t="s">
        <v>868</v>
      </c>
      <c r="B189" s="89" t="s">
        <v>174</v>
      </c>
      <c r="C189" s="89" t="str">
        <f t="shared" si="3"/>
        <v>A.12.1.5 189</v>
      </c>
      <c r="D189" s="90" t="s">
        <v>12</v>
      </c>
      <c r="E189" s="89" t="s">
        <v>13</v>
      </c>
      <c r="F189" s="91" t="s">
        <v>47</v>
      </c>
      <c r="G189" s="91"/>
      <c r="H189" s="91"/>
      <c r="I189" s="91"/>
      <c r="K189" s="89" t="s">
        <v>17</v>
      </c>
      <c r="L189" s="89" t="s">
        <v>17</v>
      </c>
      <c r="M189" s="89" t="s">
        <v>17</v>
      </c>
      <c r="N189" s="89" t="s">
        <v>17</v>
      </c>
      <c r="O189" s="89" t="s">
        <v>305</v>
      </c>
      <c r="P189" s="89" t="s">
        <v>305</v>
      </c>
      <c r="Q189" s="89" t="s">
        <v>10</v>
      </c>
      <c r="R189" s="89" t="s">
        <v>10</v>
      </c>
      <c r="S189" s="89" t="s">
        <v>876</v>
      </c>
      <c r="T189" s="89" t="s">
        <v>10</v>
      </c>
      <c r="U189" s="89" t="s">
        <v>10</v>
      </c>
      <c r="V189" s="89" t="s">
        <v>10</v>
      </c>
      <c r="W189" s="89" t="s">
        <v>305</v>
      </c>
      <c r="X189" s="89" t="s">
        <v>10</v>
      </c>
      <c r="AH189" s="89" t="str">
        <f>IFERROR(VLOOKUP($Y189,#REF!,AH$1,FALSE),"")</f>
        <v/>
      </c>
      <c r="AI189" s="89" t="str">
        <f>IFERROR(VLOOKUP($Y189,#REF!,AI$1,FALSE),"")</f>
        <v/>
      </c>
    </row>
    <row r="190" spans="1:35" ht="38.25" x14ac:dyDescent="0.25">
      <c r="A190" s="89" t="s">
        <v>868</v>
      </c>
      <c r="B190" s="89" t="s">
        <v>176</v>
      </c>
      <c r="C190" s="89" t="str">
        <f t="shared" si="3"/>
        <v>A.12.2.1 190</v>
      </c>
      <c r="D190" s="90" t="s">
        <v>612</v>
      </c>
      <c r="E190" s="89" t="s">
        <v>309</v>
      </c>
      <c r="F190" s="91" t="s">
        <v>182</v>
      </c>
      <c r="G190" s="20" t="s">
        <v>665</v>
      </c>
      <c r="H190" s="91"/>
      <c r="I190" s="91"/>
      <c r="K190" s="89" t="s">
        <v>17</v>
      </c>
      <c r="L190" s="89" t="s">
        <v>17</v>
      </c>
      <c r="M190" s="89" t="s">
        <v>17</v>
      </c>
      <c r="N190" s="89" t="s">
        <v>17</v>
      </c>
      <c r="O190" s="89" t="s">
        <v>305</v>
      </c>
      <c r="P190" s="89" t="s">
        <v>305</v>
      </c>
      <c r="Q190" s="89" t="s">
        <v>17</v>
      </c>
      <c r="R190" s="89" t="s">
        <v>17</v>
      </c>
      <c r="S190" s="89" t="s">
        <v>17</v>
      </c>
      <c r="T190" s="89" t="s">
        <v>17</v>
      </c>
      <c r="V190" s="89" t="s">
        <v>17</v>
      </c>
      <c r="W190" s="89" t="s">
        <v>305</v>
      </c>
      <c r="X190" s="89" t="s">
        <v>17</v>
      </c>
      <c r="Y190" s="96"/>
      <c r="AH190" s="89" t="str">
        <f>IFERROR(VLOOKUP($Y190,#REF!,AH$1,FALSE),"")</f>
        <v/>
      </c>
      <c r="AI190" s="89" t="str">
        <f>IFERROR(VLOOKUP($Y190,#REF!,AI$1,FALSE),"")</f>
        <v/>
      </c>
    </row>
    <row r="191" spans="1:35" ht="63.75" x14ac:dyDescent="0.25">
      <c r="A191" s="89" t="s">
        <v>868</v>
      </c>
      <c r="B191" s="89" t="s">
        <v>176</v>
      </c>
      <c r="C191" s="89" t="str">
        <f t="shared" si="3"/>
        <v>A.12.2.1 191</v>
      </c>
      <c r="D191" s="90" t="s">
        <v>601</v>
      </c>
      <c r="E191" s="89" t="s">
        <v>8</v>
      </c>
      <c r="F191" s="91" t="s">
        <v>541</v>
      </c>
      <c r="G191" s="91" t="s">
        <v>540</v>
      </c>
      <c r="H191" s="91"/>
      <c r="I191" s="91"/>
      <c r="K191" s="89" t="s">
        <v>17</v>
      </c>
      <c r="L191" s="89" t="s">
        <v>17</v>
      </c>
      <c r="M191" s="89" t="s">
        <v>17</v>
      </c>
      <c r="N191" s="89" t="s">
        <v>17</v>
      </c>
      <c r="O191" s="89" t="s">
        <v>305</v>
      </c>
      <c r="P191" s="89" t="s">
        <v>305</v>
      </c>
      <c r="Q191" s="89" t="s">
        <v>17</v>
      </c>
      <c r="R191" s="89" t="s">
        <v>17</v>
      </c>
      <c r="S191" s="89" t="s">
        <v>17</v>
      </c>
      <c r="T191" s="89" t="s">
        <v>17</v>
      </c>
      <c r="V191" s="89" t="s">
        <v>17</v>
      </c>
      <c r="W191" s="89" t="s">
        <v>305</v>
      </c>
      <c r="X191" s="89" t="s">
        <v>17</v>
      </c>
      <c r="Y191" s="95"/>
      <c r="AH191" s="89" t="str">
        <f>IFERROR(VLOOKUP($Y191,#REF!,AH$1,FALSE),"")</f>
        <v/>
      </c>
      <c r="AI191" s="89" t="str">
        <f>IFERROR(VLOOKUP($Y191,#REF!,AI$1,FALSE),"")</f>
        <v/>
      </c>
    </row>
    <row r="192" spans="1:35" ht="38.25" x14ac:dyDescent="0.25">
      <c r="A192" s="89" t="s">
        <v>868</v>
      </c>
      <c r="B192" s="89" t="s">
        <v>176</v>
      </c>
      <c r="C192" s="89" t="str">
        <f t="shared" si="3"/>
        <v>A.12.2.1 192</v>
      </c>
      <c r="D192" s="90" t="s">
        <v>11</v>
      </c>
      <c r="E192" s="89" t="s">
        <v>13</v>
      </c>
      <c r="F192" s="91" t="s">
        <v>180</v>
      </c>
      <c r="G192" s="91"/>
      <c r="H192" s="91"/>
      <c r="I192" s="91"/>
      <c r="K192" s="89" t="s">
        <v>17</v>
      </c>
      <c r="L192" s="89" t="s">
        <v>17</v>
      </c>
      <c r="M192" s="89" t="s">
        <v>17</v>
      </c>
      <c r="N192" s="89" t="s">
        <v>17</v>
      </c>
      <c r="O192" s="89" t="s">
        <v>305</v>
      </c>
      <c r="P192" s="89" t="s">
        <v>305</v>
      </c>
      <c r="Q192" s="89" t="s">
        <v>17</v>
      </c>
      <c r="R192" s="89" t="s">
        <v>10</v>
      </c>
      <c r="S192" s="89" t="s">
        <v>10</v>
      </c>
      <c r="T192" s="89" t="s">
        <v>10</v>
      </c>
      <c r="U192" s="89" t="s">
        <v>10</v>
      </c>
      <c r="V192" s="89" t="s">
        <v>10</v>
      </c>
      <c r="W192" s="89" t="s">
        <v>305</v>
      </c>
      <c r="X192" s="89" t="s">
        <v>10</v>
      </c>
      <c r="AH192" s="89" t="str">
        <f>IFERROR(VLOOKUP($Y192,#REF!,AH$1,FALSE),"")</f>
        <v/>
      </c>
      <c r="AI192" s="89" t="str">
        <f>IFERROR(VLOOKUP($Y192,#REF!,AI$1,FALSE),"")</f>
        <v/>
      </c>
    </row>
    <row r="193" spans="1:35" ht="38.25" x14ac:dyDescent="0.25">
      <c r="A193" s="89" t="s">
        <v>868</v>
      </c>
      <c r="B193" s="89" t="s">
        <v>176</v>
      </c>
      <c r="C193" s="89" t="str">
        <f t="shared" si="3"/>
        <v>A.12.2.1 193</v>
      </c>
      <c r="D193" s="90" t="s">
        <v>12</v>
      </c>
      <c r="E193" s="89" t="s">
        <v>8</v>
      </c>
      <c r="F193" s="91" t="s">
        <v>177</v>
      </c>
      <c r="G193" s="91"/>
      <c r="H193" s="91"/>
      <c r="I193" s="91"/>
      <c r="K193" s="89" t="s">
        <v>17</v>
      </c>
      <c r="L193" s="89" t="s">
        <v>17</v>
      </c>
      <c r="M193" s="89" t="s">
        <v>17</v>
      </c>
      <c r="N193" s="89" t="s">
        <v>17</v>
      </c>
      <c r="O193" s="89" t="s">
        <v>305</v>
      </c>
      <c r="P193" s="89" t="s">
        <v>305</v>
      </c>
      <c r="Q193" s="89" t="s">
        <v>17</v>
      </c>
      <c r="R193" s="89" t="s">
        <v>10</v>
      </c>
      <c r="S193" s="89" t="s">
        <v>10</v>
      </c>
      <c r="T193" s="89" t="s">
        <v>10</v>
      </c>
      <c r="U193" s="89" t="s">
        <v>10</v>
      </c>
      <c r="V193" s="89" t="s">
        <v>10</v>
      </c>
      <c r="W193" s="89" t="s">
        <v>305</v>
      </c>
      <c r="X193" s="89" t="s">
        <v>10</v>
      </c>
      <c r="AH193" s="89" t="str">
        <f>IFERROR(VLOOKUP($Y193,#REF!,AH$1,FALSE),"")</f>
        <v/>
      </c>
      <c r="AI193" s="89" t="str">
        <f>IFERROR(VLOOKUP($Y193,#REF!,AI$1,FALSE),"")</f>
        <v/>
      </c>
    </row>
    <row r="194" spans="1:35" ht="38.25" x14ac:dyDescent="0.25">
      <c r="A194" s="89" t="s">
        <v>868</v>
      </c>
      <c r="B194" s="89" t="s">
        <v>176</v>
      </c>
      <c r="C194" s="89" t="str">
        <f t="shared" ref="C194:C256" si="4">CONCATENATE(B194," ",TEXT(ROW(B194),"000"))</f>
        <v>A.12.2.1 194</v>
      </c>
      <c r="D194" s="90" t="s">
        <v>14</v>
      </c>
      <c r="E194" s="89" t="s">
        <v>8</v>
      </c>
      <c r="F194" s="91" t="s">
        <v>178</v>
      </c>
      <c r="G194" s="91"/>
      <c r="H194" s="91"/>
      <c r="I194" s="91"/>
      <c r="K194" s="89" t="s">
        <v>17</v>
      </c>
      <c r="L194" s="89" t="s">
        <v>17</v>
      </c>
      <c r="M194" s="89" t="s">
        <v>17</v>
      </c>
      <c r="N194" s="89" t="s">
        <v>17</v>
      </c>
      <c r="O194" s="89" t="s">
        <v>305</v>
      </c>
      <c r="P194" s="89" t="s">
        <v>305</v>
      </c>
      <c r="Q194" s="89" t="s">
        <v>17</v>
      </c>
      <c r="R194" s="89" t="s">
        <v>10</v>
      </c>
      <c r="S194" s="89" t="s">
        <v>10</v>
      </c>
      <c r="T194" s="89" t="s">
        <v>10</v>
      </c>
      <c r="U194" s="89" t="s">
        <v>10</v>
      </c>
      <c r="V194" s="89" t="s">
        <v>10</v>
      </c>
      <c r="W194" s="89" t="s">
        <v>305</v>
      </c>
      <c r="X194" s="89" t="s">
        <v>10</v>
      </c>
      <c r="AH194" s="89" t="str">
        <f>IFERROR(VLOOKUP($Y194,#REF!,AH$1,FALSE),"")</f>
        <v/>
      </c>
      <c r="AI194" s="89" t="str">
        <f>IFERROR(VLOOKUP($Y194,#REF!,AI$1,FALSE),"")</f>
        <v/>
      </c>
    </row>
    <row r="195" spans="1:35" ht="38.25" x14ac:dyDescent="0.25">
      <c r="A195" s="89" t="s">
        <v>868</v>
      </c>
      <c r="B195" s="89" t="s">
        <v>176</v>
      </c>
      <c r="C195" s="89" t="str">
        <f t="shared" si="4"/>
        <v>A.12.2.1 195</v>
      </c>
      <c r="D195" s="90" t="s">
        <v>15</v>
      </c>
      <c r="E195" s="89" t="s">
        <v>8</v>
      </c>
      <c r="F195" s="91" t="s">
        <v>179</v>
      </c>
      <c r="G195" s="91"/>
      <c r="H195" s="91"/>
      <c r="I195" s="91"/>
      <c r="K195" s="89" t="s">
        <v>17</v>
      </c>
      <c r="L195" s="89" t="s">
        <v>17</v>
      </c>
      <c r="M195" s="89" t="s">
        <v>17</v>
      </c>
      <c r="N195" s="89" t="s">
        <v>17</v>
      </c>
      <c r="O195" s="89" t="s">
        <v>305</v>
      </c>
      <c r="P195" s="89" t="s">
        <v>305</v>
      </c>
      <c r="Q195" s="89" t="s">
        <v>17</v>
      </c>
      <c r="R195" s="89" t="s">
        <v>10</v>
      </c>
      <c r="S195" s="89" t="s">
        <v>10</v>
      </c>
      <c r="T195" s="89" t="s">
        <v>10</v>
      </c>
      <c r="U195" s="89" t="s">
        <v>10</v>
      </c>
      <c r="V195" s="89" t="s">
        <v>10</v>
      </c>
      <c r="W195" s="89" t="s">
        <v>305</v>
      </c>
      <c r="X195" s="89" t="s">
        <v>10</v>
      </c>
      <c r="AH195" s="89" t="str">
        <f>IFERROR(VLOOKUP($Y195,#REF!,AH$1,FALSE),"")</f>
        <v/>
      </c>
      <c r="AI195" s="89" t="str">
        <f>IFERROR(VLOOKUP($Y195,#REF!,AI$1,FALSE),"")</f>
        <v/>
      </c>
    </row>
    <row r="196" spans="1:35" ht="25.5" x14ac:dyDescent="0.25">
      <c r="A196" s="89" t="s">
        <v>868</v>
      </c>
      <c r="B196" s="89" t="s">
        <v>176</v>
      </c>
      <c r="C196" s="89" t="str">
        <f t="shared" si="4"/>
        <v>A.12.2.1 196</v>
      </c>
      <c r="D196" s="90" t="s">
        <v>28</v>
      </c>
      <c r="E196" s="89" t="s">
        <v>13</v>
      </c>
      <c r="F196" s="91" t="s">
        <v>181</v>
      </c>
      <c r="G196" s="91"/>
      <c r="H196" s="91"/>
      <c r="I196" s="91"/>
      <c r="K196" s="89" t="s">
        <v>17</v>
      </c>
      <c r="L196" s="89" t="s">
        <v>17</v>
      </c>
      <c r="M196" s="89" t="s">
        <v>17</v>
      </c>
      <c r="N196" s="89" t="s">
        <v>17</v>
      </c>
      <c r="O196" s="89" t="s">
        <v>305</v>
      </c>
      <c r="P196" s="89" t="s">
        <v>305</v>
      </c>
      <c r="Q196" s="89" t="s">
        <v>17</v>
      </c>
      <c r="R196" s="89" t="s">
        <v>10</v>
      </c>
      <c r="S196" s="89" t="s">
        <v>10</v>
      </c>
      <c r="T196" s="89" t="s">
        <v>10</v>
      </c>
      <c r="U196" s="89" t="s">
        <v>10</v>
      </c>
      <c r="V196" s="89" t="s">
        <v>10</v>
      </c>
      <c r="W196" s="89" t="s">
        <v>305</v>
      </c>
      <c r="X196" s="89" t="s">
        <v>10</v>
      </c>
      <c r="AH196" s="89" t="str">
        <f>IFERROR(VLOOKUP($Y196,#REF!,AH$1,FALSE),"")</f>
        <v/>
      </c>
      <c r="AI196" s="89" t="str">
        <f>IFERROR(VLOOKUP($Y196,#REF!,AI$1,FALSE),"")</f>
        <v/>
      </c>
    </row>
    <row r="197" spans="1:35" ht="25.5" x14ac:dyDescent="0.25">
      <c r="A197" s="89" t="s">
        <v>868</v>
      </c>
      <c r="B197" s="89" t="s">
        <v>183</v>
      </c>
      <c r="C197" s="89" t="str">
        <f t="shared" si="4"/>
        <v>A.12.3.1 197</v>
      </c>
      <c r="D197" s="90" t="s">
        <v>612</v>
      </c>
      <c r="E197" s="89" t="s">
        <v>309</v>
      </c>
      <c r="F197" s="91" t="s">
        <v>312</v>
      </c>
      <c r="G197" s="20" t="s">
        <v>641</v>
      </c>
      <c r="H197" s="91"/>
      <c r="I197" s="91"/>
      <c r="K197" s="89" t="s">
        <v>305</v>
      </c>
      <c r="L197" s="89" t="s">
        <v>17</v>
      </c>
      <c r="M197" s="89" t="s">
        <v>17</v>
      </c>
      <c r="N197" s="89" t="s">
        <v>17</v>
      </c>
      <c r="O197" s="89" t="s">
        <v>305</v>
      </c>
      <c r="P197" s="89" t="s">
        <v>305</v>
      </c>
      <c r="Q197" s="89" t="s">
        <v>17</v>
      </c>
      <c r="R197" s="89" t="s">
        <v>10</v>
      </c>
      <c r="S197" s="89" t="s">
        <v>10</v>
      </c>
      <c r="T197" s="89" t="s">
        <v>10</v>
      </c>
      <c r="U197" s="89" t="s">
        <v>10</v>
      </c>
      <c r="W197" s="89" t="s">
        <v>305</v>
      </c>
      <c r="X197" s="89" t="s">
        <v>10</v>
      </c>
      <c r="Y197" s="96"/>
      <c r="AH197" s="89" t="str">
        <f>IFERROR(VLOOKUP($Y197,#REF!,AH$1,FALSE),"")</f>
        <v/>
      </c>
      <c r="AI197" s="89" t="str">
        <f>IFERROR(VLOOKUP($Y197,#REF!,AI$1,FALSE),"")</f>
        <v/>
      </c>
    </row>
    <row r="198" spans="1:35" ht="38.25" x14ac:dyDescent="0.25">
      <c r="A198" s="89" t="s">
        <v>868</v>
      </c>
      <c r="B198" s="89" t="s">
        <v>183</v>
      </c>
      <c r="C198" s="89" t="str">
        <f t="shared" si="4"/>
        <v>A.12.3.1 198</v>
      </c>
      <c r="D198" s="90" t="s">
        <v>9</v>
      </c>
      <c r="E198" s="89" t="s">
        <v>13</v>
      </c>
      <c r="F198" s="91" t="s">
        <v>184</v>
      </c>
      <c r="G198" s="91"/>
      <c r="H198" s="91"/>
      <c r="I198" s="91"/>
      <c r="K198" s="89" t="s">
        <v>305</v>
      </c>
      <c r="L198" s="89" t="s">
        <v>17</v>
      </c>
      <c r="M198" s="89" t="s">
        <v>17</v>
      </c>
      <c r="N198" s="89" t="s">
        <v>17</v>
      </c>
      <c r="O198" s="89" t="s">
        <v>305</v>
      </c>
      <c r="P198" s="89" t="s">
        <v>305</v>
      </c>
      <c r="Q198" s="89" t="s">
        <v>17</v>
      </c>
      <c r="R198" s="89" t="s">
        <v>10</v>
      </c>
      <c r="S198" s="89" t="s">
        <v>10</v>
      </c>
      <c r="T198" s="89" t="s">
        <v>10</v>
      </c>
      <c r="U198" s="89" t="s">
        <v>10</v>
      </c>
      <c r="V198" s="89" t="s">
        <v>10</v>
      </c>
      <c r="W198" s="89" t="s">
        <v>305</v>
      </c>
      <c r="X198" s="89" t="s">
        <v>10</v>
      </c>
      <c r="AH198" s="89" t="str">
        <f>IFERROR(VLOOKUP($Y198,#REF!,AH$1,FALSE),"")</f>
        <v/>
      </c>
      <c r="AI198" s="89" t="str">
        <f>IFERROR(VLOOKUP($Y198,#REF!,AI$1,FALSE),"")</f>
        <v/>
      </c>
    </row>
    <row r="199" spans="1:35" ht="25.5" x14ac:dyDescent="0.25">
      <c r="A199" s="89" t="s">
        <v>868</v>
      </c>
      <c r="B199" s="89" t="s">
        <v>185</v>
      </c>
      <c r="C199" s="89" t="str">
        <f t="shared" si="4"/>
        <v>A.12.4.1 199</v>
      </c>
      <c r="D199" s="90" t="s">
        <v>612</v>
      </c>
      <c r="E199" s="89" t="s">
        <v>309</v>
      </c>
      <c r="F199" s="91" t="s">
        <v>413</v>
      </c>
      <c r="G199" s="20" t="s">
        <v>642</v>
      </c>
      <c r="H199" s="91"/>
      <c r="I199" s="91"/>
      <c r="K199" s="89" t="s">
        <v>17</v>
      </c>
      <c r="L199" s="89" t="s">
        <v>17</v>
      </c>
      <c r="M199" s="89" t="s">
        <v>17</v>
      </c>
      <c r="N199" s="89" t="s">
        <v>305</v>
      </c>
      <c r="O199" s="89" t="s">
        <v>17</v>
      </c>
      <c r="P199" s="89" t="s">
        <v>17</v>
      </c>
      <c r="R199" s="126" t="s">
        <v>17</v>
      </c>
      <c r="V199" s="126" t="s">
        <v>305</v>
      </c>
      <c r="W199" s="89" t="s">
        <v>305</v>
      </c>
      <c r="X199" s="89" t="s">
        <v>17</v>
      </c>
      <c r="Y199" s="96"/>
      <c r="AH199" s="89" t="str">
        <f>IFERROR(VLOOKUP($Y199,#REF!,AH$1,FALSE),"")</f>
        <v/>
      </c>
      <c r="AI199" s="89" t="str">
        <f>IFERROR(VLOOKUP($Y199,#REF!,AI$1,FALSE),"")</f>
        <v/>
      </c>
    </row>
    <row r="200" spans="1:35" x14ac:dyDescent="0.25">
      <c r="A200" s="89" t="s">
        <v>868</v>
      </c>
      <c r="B200" s="89" t="s">
        <v>185</v>
      </c>
      <c r="C200" s="89" t="str">
        <f t="shared" si="4"/>
        <v>A.12.4.1 200</v>
      </c>
      <c r="D200" s="90" t="s">
        <v>11</v>
      </c>
      <c r="E200" s="89" t="s">
        <v>13</v>
      </c>
      <c r="F200" s="91" t="s">
        <v>186</v>
      </c>
      <c r="G200" s="91"/>
      <c r="H200" s="91"/>
      <c r="I200" s="91"/>
      <c r="K200" s="89" t="s">
        <v>17</v>
      </c>
      <c r="L200" s="89" t="s">
        <v>17</v>
      </c>
      <c r="M200" s="89" t="s">
        <v>17</v>
      </c>
      <c r="N200" s="89" t="s">
        <v>305</v>
      </c>
      <c r="O200" s="89" t="s">
        <v>17</v>
      </c>
      <c r="P200" s="89" t="s">
        <v>17</v>
      </c>
      <c r="R200" s="89" t="s">
        <v>17</v>
      </c>
      <c r="S200" s="89" t="s">
        <v>17</v>
      </c>
      <c r="T200" s="89" t="s">
        <v>17</v>
      </c>
      <c r="U200" s="89" t="s">
        <v>17</v>
      </c>
      <c r="V200" s="89" t="s">
        <v>10</v>
      </c>
      <c r="W200" s="89" t="s">
        <v>305</v>
      </c>
      <c r="X200" s="89" t="s">
        <v>17</v>
      </c>
      <c r="AH200" s="89" t="str">
        <f>IFERROR(VLOOKUP($Y200,#REF!,AH$1,FALSE),"")</f>
        <v/>
      </c>
      <c r="AI200" s="89" t="str">
        <f>IFERROR(VLOOKUP($Y200,#REF!,AI$1,FALSE),"")</f>
        <v/>
      </c>
    </row>
    <row r="201" spans="1:35" ht="25.5" x14ac:dyDescent="0.25">
      <c r="A201" s="89" t="s">
        <v>868</v>
      </c>
      <c r="B201" s="89" t="s">
        <v>187</v>
      </c>
      <c r="C201" s="89" t="str">
        <f t="shared" si="4"/>
        <v>A.12.4.3 201</v>
      </c>
      <c r="D201" s="90" t="s">
        <v>612</v>
      </c>
      <c r="E201" s="89" t="s">
        <v>309</v>
      </c>
      <c r="F201" s="91" t="s">
        <v>313</v>
      </c>
      <c r="G201" s="20" t="s">
        <v>643</v>
      </c>
      <c r="H201" s="91"/>
      <c r="I201" s="91"/>
      <c r="K201" s="89" t="s">
        <v>17</v>
      </c>
      <c r="L201" s="89" t="s">
        <v>17</v>
      </c>
      <c r="M201" s="89" t="s">
        <v>17</v>
      </c>
      <c r="N201" s="89" t="s">
        <v>17</v>
      </c>
      <c r="O201" s="89" t="s">
        <v>305</v>
      </c>
      <c r="P201" s="89" t="s">
        <v>305</v>
      </c>
      <c r="Q201" s="89" t="s">
        <v>17</v>
      </c>
      <c r="R201" s="89" t="s">
        <v>17</v>
      </c>
      <c r="S201" s="89" t="s">
        <v>17</v>
      </c>
      <c r="T201" s="89" t="s">
        <v>17</v>
      </c>
      <c r="U201" s="89" t="s">
        <v>17</v>
      </c>
      <c r="V201" s="89" t="s">
        <v>10</v>
      </c>
      <c r="W201" s="89" t="s">
        <v>305</v>
      </c>
      <c r="X201" s="89" t="s">
        <v>17</v>
      </c>
      <c r="Y201" s="96"/>
      <c r="AH201" s="89" t="str">
        <f>IFERROR(VLOOKUP($Y201,#REF!,AH$1,FALSE),"")</f>
        <v/>
      </c>
      <c r="AI201" s="89" t="str">
        <f>IFERROR(VLOOKUP($Y201,#REF!,AI$1,FALSE),"")</f>
        <v/>
      </c>
    </row>
    <row r="202" spans="1:35" ht="25.5" x14ac:dyDescent="0.25">
      <c r="A202" s="89" t="s">
        <v>868</v>
      </c>
      <c r="B202" s="89" t="s">
        <v>187</v>
      </c>
      <c r="C202" s="89" t="str">
        <f t="shared" si="4"/>
        <v>A.12.4.3 202</v>
      </c>
      <c r="D202" s="90" t="s">
        <v>9</v>
      </c>
      <c r="E202" s="89" t="s">
        <v>13</v>
      </c>
      <c r="F202" s="91" t="s">
        <v>188</v>
      </c>
      <c r="G202" s="91"/>
      <c r="H202" s="91"/>
      <c r="I202" s="91"/>
      <c r="K202" s="89" t="s">
        <v>17</v>
      </c>
      <c r="L202" s="89" t="s">
        <v>17</v>
      </c>
      <c r="M202" s="89" t="s">
        <v>17</v>
      </c>
      <c r="N202" s="89" t="s">
        <v>17</v>
      </c>
      <c r="O202" s="89" t="s">
        <v>305</v>
      </c>
      <c r="P202" s="89" t="s">
        <v>305</v>
      </c>
      <c r="Q202" s="89" t="s">
        <v>17</v>
      </c>
      <c r="R202" s="89" t="s">
        <v>17</v>
      </c>
      <c r="S202" s="89" t="s">
        <v>17</v>
      </c>
      <c r="T202" s="89" t="s">
        <v>17</v>
      </c>
      <c r="U202" s="89" t="s">
        <v>17</v>
      </c>
      <c r="V202" s="89" t="s">
        <v>10</v>
      </c>
      <c r="W202" s="89" t="s">
        <v>305</v>
      </c>
      <c r="X202" s="89" t="s">
        <v>17</v>
      </c>
      <c r="AH202" s="89" t="str">
        <f>IFERROR(VLOOKUP($Y202,#REF!,AH$1,FALSE),"")</f>
        <v/>
      </c>
      <c r="AI202" s="89" t="str">
        <f>IFERROR(VLOOKUP($Y202,#REF!,AI$1,FALSE),"")</f>
        <v/>
      </c>
    </row>
    <row r="203" spans="1:35" ht="25.5" x14ac:dyDescent="0.25">
      <c r="A203" s="89" t="s">
        <v>868</v>
      </c>
      <c r="B203" s="89" t="s">
        <v>189</v>
      </c>
      <c r="C203" s="89" t="str">
        <f t="shared" si="4"/>
        <v>A.12.4.4 203</v>
      </c>
      <c r="D203" s="90" t="s">
        <v>612</v>
      </c>
      <c r="E203" s="89" t="s">
        <v>309</v>
      </c>
      <c r="F203" s="91" t="s">
        <v>190</v>
      </c>
      <c r="G203" s="20" t="s">
        <v>644</v>
      </c>
      <c r="H203" s="91"/>
      <c r="I203" s="91"/>
      <c r="K203" s="89" t="s">
        <v>17</v>
      </c>
      <c r="L203" s="89" t="s">
        <v>17</v>
      </c>
      <c r="M203" s="89" t="s">
        <v>17</v>
      </c>
      <c r="N203" s="89" t="s">
        <v>305</v>
      </c>
      <c r="O203" s="89" t="s">
        <v>17</v>
      </c>
      <c r="P203" s="89" t="s">
        <v>17</v>
      </c>
      <c r="Q203" s="89" t="s">
        <v>17</v>
      </c>
      <c r="R203" s="89" t="s">
        <v>17</v>
      </c>
      <c r="S203" s="89" t="s">
        <v>17</v>
      </c>
      <c r="T203" s="89" t="s">
        <v>17</v>
      </c>
      <c r="U203" s="89" t="s">
        <v>17</v>
      </c>
      <c r="W203" s="89" t="s">
        <v>305</v>
      </c>
      <c r="X203" s="89" t="s">
        <v>17</v>
      </c>
      <c r="Y203" s="96"/>
      <c r="AH203" s="89" t="str">
        <f>IFERROR(VLOOKUP($Y203,#REF!,AH$1,FALSE),"")</f>
        <v/>
      </c>
      <c r="AI203" s="89" t="str">
        <f>IFERROR(VLOOKUP($Y203,#REF!,AI$1,FALSE),"")</f>
        <v/>
      </c>
    </row>
    <row r="204" spans="1:35" x14ac:dyDescent="0.25">
      <c r="A204" s="89" t="s">
        <v>868</v>
      </c>
      <c r="B204" s="89" t="s">
        <v>189</v>
      </c>
      <c r="C204" s="89" t="str">
        <f t="shared" si="4"/>
        <v>A.12.4.4 204</v>
      </c>
      <c r="D204" s="90" t="s">
        <v>9</v>
      </c>
      <c r="E204" s="89" t="s">
        <v>13</v>
      </c>
      <c r="F204" s="91" t="s">
        <v>186</v>
      </c>
      <c r="G204" s="91"/>
      <c r="H204" s="91"/>
      <c r="I204" s="91"/>
      <c r="K204" s="89" t="s">
        <v>17</v>
      </c>
      <c r="L204" s="89" t="s">
        <v>17</v>
      </c>
      <c r="M204" s="89" t="s">
        <v>17</v>
      </c>
      <c r="N204" s="89" t="s">
        <v>305</v>
      </c>
      <c r="O204" s="89" t="s">
        <v>17</v>
      </c>
      <c r="P204" s="89" t="s">
        <v>17</v>
      </c>
      <c r="Q204" s="89" t="s">
        <v>17</v>
      </c>
      <c r="R204" s="89" t="s">
        <v>17</v>
      </c>
      <c r="S204" s="89" t="s">
        <v>17</v>
      </c>
      <c r="T204" s="89" t="s">
        <v>17</v>
      </c>
      <c r="U204" s="89" t="s">
        <v>17</v>
      </c>
      <c r="V204" s="89" t="s">
        <v>10</v>
      </c>
      <c r="W204" s="89" t="s">
        <v>305</v>
      </c>
      <c r="X204" s="89" t="s">
        <v>17</v>
      </c>
      <c r="AH204" s="89" t="str">
        <f>IFERROR(VLOOKUP($Y204,#REF!,AH$1,FALSE),"")</f>
        <v/>
      </c>
      <c r="AI204" s="89" t="str">
        <f>IFERROR(VLOOKUP($Y204,#REF!,AI$1,FALSE),"")</f>
        <v/>
      </c>
    </row>
    <row r="205" spans="1:35" ht="25.5" x14ac:dyDescent="0.25">
      <c r="A205" s="89" t="s">
        <v>868</v>
      </c>
      <c r="B205" s="89" t="s">
        <v>191</v>
      </c>
      <c r="C205" s="89" t="str">
        <f t="shared" si="4"/>
        <v>A.12.4.5 205</v>
      </c>
      <c r="D205" s="90" t="s">
        <v>612</v>
      </c>
      <c r="E205" s="89" t="s">
        <v>309</v>
      </c>
      <c r="F205" s="91" t="s">
        <v>193</v>
      </c>
      <c r="G205" s="20" t="s">
        <v>645</v>
      </c>
      <c r="H205" s="91"/>
      <c r="I205" s="91"/>
      <c r="K205" s="89" t="s">
        <v>17</v>
      </c>
      <c r="L205" s="89" t="s">
        <v>17</v>
      </c>
      <c r="M205" s="89" t="s">
        <v>17</v>
      </c>
      <c r="N205" s="89" t="s">
        <v>17</v>
      </c>
      <c r="O205" s="89" t="s">
        <v>305</v>
      </c>
      <c r="P205" s="89" t="s">
        <v>305</v>
      </c>
      <c r="Q205" s="89" t="s">
        <v>10</v>
      </c>
      <c r="R205" s="89" t="s">
        <v>10</v>
      </c>
      <c r="S205" s="89" t="s">
        <v>876</v>
      </c>
      <c r="T205" s="89" t="s">
        <v>10</v>
      </c>
      <c r="U205" s="89" t="s">
        <v>10</v>
      </c>
      <c r="V205" s="89" t="s">
        <v>17</v>
      </c>
      <c r="W205" s="89" t="s">
        <v>305</v>
      </c>
      <c r="X205" s="89" t="s">
        <v>10</v>
      </c>
      <c r="Y205" s="96"/>
      <c r="AH205" s="89" t="str">
        <f>IFERROR(VLOOKUP($Y205,#REF!,AH$1,FALSE),"")</f>
        <v/>
      </c>
      <c r="AI205" s="89" t="str">
        <f>IFERROR(VLOOKUP($Y205,#REF!,AI$1,FALSE),"")</f>
        <v/>
      </c>
    </row>
    <row r="206" spans="1:35" ht="63.75" x14ac:dyDescent="0.25">
      <c r="A206" s="89" t="s">
        <v>868</v>
      </c>
      <c r="B206" s="89" t="s">
        <v>191</v>
      </c>
      <c r="C206" s="89" t="str">
        <f t="shared" si="4"/>
        <v>A.12.4.5 206</v>
      </c>
      <c r="D206" s="90" t="s">
        <v>601</v>
      </c>
      <c r="E206" s="89" t="s">
        <v>8</v>
      </c>
      <c r="F206" s="91" t="s">
        <v>545</v>
      </c>
      <c r="G206" s="91" t="s">
        <v>544</v>
      </c>
      <c r="H206" s="91"/>
      <c r="I206" s="91"/>
      <c r="K206" s="89" t="s">
        <v>17</v>
      </c>
      <c r="L206" s="89" t="s">
        <v>17</v>
      </c>
      <c r="M206" s="89" t="s">
        <v>17</v>
      </c>
      <c r="N206" s="89" t="s">
        <v>17</v>
      </c>
      <c r="O206" s="89" t="s">
        <v>305</v>
      </c>
      <c r="P206" s="89" t="s">
        <v>305</v>
      </c>
      <c r="Q206" s="89" t="s">
        <v>10</v>
      </c>
      <c r="R206" s="89" t="s">
        <v>10</v>
      </c>
      <c r="S206" s="89" t="s">
        <v>876</v>
      </c>
      <c r="T206" s="89" t="s">
        <v>10</v>
      </c>
      <c r="U206" s="89" t="s">
        <v>10</v>
      </c>
      <c r="V206" s="89" t="s">
        <v>17</v>
      </c>
      <c r="W206" s="89" t="s">
        <v>305</v>
      </c>
      <c r="X206" s="89" t="s">
        <v>10</v>
      </c>
      <c r="Y206" s="95"/>
      <c r="AH206" s="89" t="str">
        <f>IFERROR(VLOOKUP($Y206,#REF!,AH$1,FALSE),"")</f>
        <v/>
      </c>
      <c r="AI206" s="89" t="str">
        <f>IFERROR(VLOOKUP($Y206,#REF!,AI$1,FALSE),"")</f>
        <v/>
      </c>
    </row>
    <row r="207" spans="1:35" ht="25.5" x14ac:dyDescent="0.25">
      <c r="A207" s="89" t="s">
        <v>868</v>
      </c>
      <c r="B207" s="89" t="s">
        <v>191</v>
      </c>
      <c r="C207" s="89" t="str">
        <f t="shared" si="4"/>
        <v>A.12.4.5 207</v>
      </c>
      <c r="D207" s="90" t="s">
        <v>602</v>
      </c>
      <c r="E207" s="89" t="s">
        <v>8</v>
      </c>
      <c r="F207" s="91" t="s">
        <v>192</v>
      </c>
      <c r="G207" s="91" t="s">
        <v>546</v>
      </c>
      <c r="H207" s="91"/>
      <c r="I207" s="91"/>
      <c r="K207" s="89" t="s">
        <v>17</v>
      </c>
      <c r="L207" s="89" t="s">
        <v>17</v>
      </c>
      <c r="M207" s="89" t="s">
        <v>17</v>
      </c>
      <c r="N207" s="89" t="s">
        <v>17</v>
      </c>
      <c r="O207" s="89" t="s">
        <v>305</v>
      </c>
      <c r="P207" s="89" t="s">
        <v>305</v>
      </c>
      <c r="Q207" s="89" t="s">
        <v>10</v>
      </c>
      <c r="R207" s="89" t="s">
        <v>10</v>
      </c>
      <c r="S207" s="89" t="s">
        <v>876</v>
      </c>
      <c r="T207" s="89" t="s">
        <v>10</v>
      </c>
      <c r="U207" s="89" t="s">
        <v>10</v>
      </c>
      <c r="V207" s="89" t="s">
        <v>17</v>
      </c>
      <c r="W207" s="89" t="s">
        <v>305</v>
      </c>
      <c r="X207" s="89" t="s">
        <v>10</v>
      </c>
      <c r="Y207" s="95"/>
      <c r="AH207" s="89" t="str">
        <f>IFERROR(VLOOKUP($Y207,#REF!,AH$1,FALSE),"")</f>
        <v/>
      </c>
      <c r="AI207" s="89" t="str">
        <f>IFERROR(VLOOKUP($Y207,#REF!,AI$1,FALSE),"")</f>
        <v/>
      </c>
    </row>
    <row r="208" spans="1:35" ht="38.25" x14ac:dyDescent="0.25">
      <c r="A208" s="89" t="s">
        <v>868</v>
      </c>
      <c r="B208" s="89" t="s">
        <v>191</v>
      </c>
      <c r="C208" s="89" t="str">
        <f t="shared" si="4"/>
        <v>A.12.4.5 208</v>
      </c>
      <c r="D208" s="90" t="s">
        <v>12</v>
      </c>
      <c r="E208" s="89" t="s">
        <v>13</v>
      </c>
      <c r="F208" s="91" t="s">
        <v>47</v>
      </c>
      <c r="G208" s="91"/>
      <c r="H208" s="91"/>
      <c r="I208" s="91"/>
      <c r="K208" s="89" t="s">
        <v>17</v>
      </c>
      <c r="L208" s="89" t="s">
        <v>17</v>
      </c>
      <c r="M208" s="89" t="s">
        <v>17</v>
      </c>
      <c r="N208" s="89" t="s">
        <v>17</v>
      </c>
      <c r="O208" s="89" t="s">
        <v>305</v>
      </c>
      <c r="P208" s="89" t="s">
        <v>305</v>
      </c>
      <c r="Q208" s="89" t="s">
        <v>10</v>
      </c>
      <c r="R208" s="89" t="s">
        <v>10</v>
      </c>
      <c r="S208" s="89" t="s">
        <v>876</v>
      </c>
      <c r="T208" s="89" t="s">
        <v>10</v>
      </c>
      <c r="U208" s="89" t="s">
        <v>10</v>
      </c>
      <c r="V208" s="89" t="s">
        <v>10</v>
      </c>
      <c r="W208" s="89" t="s">
        <v>305</v>
      </c>
      <c r="X208" s="89" t="s">
        <v>10</v>
      </c>
      <c r="AH208" s="89" t="str">
        <f>IFERROR(VLOOKUP($Y208,#REF!,AH$1,FALSE),"")</f>
        <v/>
      </c>
      <c r="AI208" s="89" t="str">
        <f>IFERROR(VLOOKUP($Y208,#REF!,AI$1,FALSE),"")</f>
        <v/>
      </c>
    </row>
    <row r="209" spans="1:35" ht="25.5" x14ac:dyDescent="0.25">
      <c r="A209" s="89" t="s">
        <v>868</v>
      </c>
      <c r="B209" s="89" t="s">
        <v>194</v>
      </c>
      <c r="C209" s="89" t="str">
        <f t="shared" si="4"/>
        <v>A.12.5.1 209</v>
      </c>
      <c r="D209" s="90" t="s">
        <v>612</v>
      </c>
      <c r="E209" s="89" t="s">
        <v>309</v>
      </c>
      <c r="F209" s="91" t="s">
        <v>1458</v>
      </c>
      <c r="G209" s="20" t="s">
        <v>646</v>
      </c>
      <c r="H209" s="91"/>
      <c r="I209" s="91"/>
      <c r="K209" s="89" t="s">
        <v>17</v>
      </c>
      <c r="L209" s="89" t="s">
        <v>17</v>
      </c>
      <c r="M209" s="89" t="s">
        <v>17</v>
      </c>
      <c r="N209" s="89" t="s">
        <v>305</v>
      </c>
      <c r="O209" s="89" t="s">
        <v>17</v>
      </c>
      <c r="P209" s="89" t="s">
        <v>17</v>
      </c>
      <c r="Q209" s="89" t="s">
        <v>17</v>
      </c>
      <c r="R209" s="89" t="s">
        <v>10</v>
      </c>
      <c r="S209" s="89" t="s">
        <v>10</v>
      </c>
      <c r="T209" s="89" t="s">
        <v>10</v>
      </c>
      <c r="U209" s="89" t="s">
        <v>10</v>
      </c>
      <c r="W209" s="89" t="s">
        <v>305</v>
      </c>
      <c r="X209" s="89" t="s">
        <v>10</v>
      </c>
      <c r="Y209" s="96"/>
      <c r="AH209" s="89" t="str">
        <f>IFERROR(VLOOKUP($Y209,#REF!,AH$1,FALSE),"")</f>
        <v/>
      </c>
      <c r="AI209" s="89" t="str">
        <f>IFERROR(VLOOKUP($Y209,#REF!,AI$1,FALSE),"")</f>
        <v/>
      </c>
    </row>
    <row r="210" spans="1:35" ht="25.5" x14ac:dyDescent="0.25">
      <c r="A210" s="89" t="s">
        <v>868</v>
      </c>
      <c r="B210" s="89" t="s">
        <v>194</v>
      </c>
      <c r="C210" s="89" t="str">
        <f t="shared" si="4"/>
        <v>A.12.5.1 210</v>
      </c>
      <c r="D210" s="90" t="s">
        <v>9</v>
      </c>
      <c r="E210" s="89" t="s">
        <v>8</v>
      </c>
      <c r="F210" s="91" t="s">
        <v>195</v>
      </c>
      <c r="G210" s="91"/>
      <c r="H210" s="91"/>
      <c r="I210" s="91"/>
      <c r="K210" s="89" t="s">
        <v>17</v>
      </c>
      <c r="L210" s="89" t="s">
        <v>17</v>
      </c>
      <c r="M210" s="89" t="s">
        <v>17</v>
      </c>
      <c r="N210" s="89" t="s">
        <v>305</v>
      </c>
      <c r="O210" s="89" t="s">
        <v>17</v>
      </c>
      <c r="P210" s="89" t="s">
        <v>17</v>
      </c>
      <c r="Q210" s="89" t="s">
        <v>17</v>
      </c>
      <c r="R210" s="89" t="s">
        <v>10</v>
      </c>
      <c r="S210" s="89" t="s">
        <v>10</v>
      </c>
      <c r="T210" s="89" t="s">
        <v>10</v>
      </c>
      <c r="U210" s="89" t="s">
        <v>10</v>
      </c>
      <c r="V210" s="89" t="s">
        <v>10</v>
      </c>
      <c r="W210" s="89" t="s">
        <v>305</v>
      </c>
      <c r="X210" s="89" t="s">
        <v>10</v>
      </c>
      <c r="AH210" s="89" t="str">
        <f>IFERROR(VLOOKUP($Y210,#REF!,AH$1,FALSE),"")</f>
        <v/>
      </c>
      <c r="AI210" s="89" t="str">
        <f>IFERROR(VLOOKUP($Y210,#REF!,AI$1,FALSE),"")</f>
        <v/>
      </c>
    </row>
    <row r="211" spans="1:35" x14ac:dyDescent="0.25">
      <c r="A211" s="89" t="s">
        <v>868</v>
      </c>
      <c r="B211" s="89" t="s">
        <v>194</v>
      </c>
      <c r="C211" s="89" t="str">
        <f t="shared" si="4"/>
        <v>A.12.5.1 211</v>
      </c>
      <c r="D211" s="90" t="s">
        <v>11</v>
      </c>
      <c r="E211" s="89" t="s">
        <v>8</v>
      </c>
      <c r="F211" s="91" t="s">
        <v>196</v>
      </c>
      <c r="G211" s="91"/>
      <c r="H211" s="91"/>
      <c r="I211" s="91"/>
      <c r="K211" s="89" t="s">
        <v>17</v>
      </c>
      <c r="L211" s="89" t="s">
        <v>17</v>
      </c>
      <c r="M211" s="89" t="s">
        <v>17</v>
      </c>
      <c r="N211" s="89" t="s">
        <v>305</v>
      </c>
      <c r="O211" s="89" t="s">
        <v>17</v>
      </c>
      <c r="P211" s="89" t="s">
        <v>17</v>
      </c>
      <c r="Q211" s="89" t="s">
        <v>17</v>
      </c>
      <c r="R211" s="89" t="s">
        <v>10</v>
      </c>
      <c r="S211" s="89" t="s">
        <v>10</v>
      </c>
      <c r="T211" s="89" t="s">
        <v>10</v>
      </c>
      <c r="U211" s="89" t="s">
        <v>10</v>
      </c>
      <c r="V211" s="89" t="s">
        <v>10</v>
      </c>
      <c r="W211" s="89" t="s">
        <v>305</v>
      </c>
      <c r="X211" s="89" t="s">
        <v>10</v>
      </c>
      <c r="AH211" s="89" t="str">
        <f>IFERROR(VLOOKUP($Y211,#REF!,AH$1,FALSE),"")</f>
        <v/>
      </c>
      <c r="AI211" s="89" t="str">
        <f>IFERROR(VLOOKUP($Y211,#REF!,AI$1,FALSE),"")</f>
        <v/>
      </c>
    </row>
    <row r="212" spans="1:35" ht="38.25" x14ac:dyDescent="0.25">
      <c r="A212" s="89" t="s">
        <v>868</v>
      </c>
      <c r="B212" s="89" t="s">
        <v>194</v>
      </c>
      <c r="C212" s="89" t="str">
        <f t="shared" si="4"/>
        <v>A.12.5.1 212</v>
      </c>
      <c r="D212" s="90" t="s">
        <v>12</v>
      </c>
      <c r="E212" s="89" t="s">
        <v>8</v>
      </c>
      <c r="F212" s="91" t="s">
        <v>197</v>
      </c>
      <c r="G212" s="91"/>
      <c r="H212" s="91"/>
      <c r="I212" s="91"/>
      <c r="K212" s="89" t="s">
        <v>17</v>
      </c>
      <c r="L212" s="89" t="s">
        <v>17</v>
      </c>
      <c r="M212" s="89" t="s">
        <v>17</v>
      </c>
      <c r="N212" s="89" t="s">
        <v>305</v>
      </c>
      <c r="O212" s="89" t="s">
        <v>17</v>
      </c>
      <c r="P212" s="89" t="s">
        <v>17</v>
      </c>
      <c r="Q212" s="89" t="s">
        <v>17</v>
      </c>
      <c r="R212" s="89" t="s">
        <v>10</v>
      </c>
      <c r="S212" s="89" t="s">
        <v>10</v>
      </c>
      <c r="T212" s="89" t="s">
        <v>10</v>
      </c>
      <c r="U212" s="89" t="s">
        <v>10</v>
      </c>
      <c r="V212" s="89" t="s">
        <v>10</v>
      </c>
      <c r="W212" s="89" t="s">
        <v>305</v>
      </c>
      <c r="X212" s="89" t="s">
        <v>10</v>
      </c>
      <c r="AH212" s="89" t="str">
        <f>IFERROR(VLOOKUP($Y212,#REF!,AH$1,FALSE),"")</f>
        <v/>
      </c>
      <c r="AI212" s="89" t="str">
        <f>IFERROR(VLOOKUP($Y212,#REF!,AI$1,FALSE),"")</f>
        <v/>
      </c>
    </row>
    <row r="213" spans="1:35" ht="38.25" x14ac:dyDescent="0.25">
      <c r="A213" s="89" t="s">
        <v>868</v>
      </c>
      <c r="B213" s="89" t="s">
        <v>194</v>
      </c>
      <c r="C213" s="89" t="str">
        <f t="shared" si="4"/>
        <v>A.12.5.1 213</v>
      </c>
      <c r="D213" s="90" t="s">
        <v>14</v>
      </c>
      <c r="E213" s="89" t="s">
        <v>13</v>
      </c>
      <c r="F213" s="91" t="s">
        <v>200</v>
      </c>
      <c r="G213" s="91"/>
      <c r="H213" s="91"/>
      <c r="I213" s="91"/>
      <c r="K213" s="89" t="s">
        <v>17</v>
      </c>
      <c r="L213" s="89" t="s">
        <v>17</v>
      </c>
      <c r="M213" s="89" t="s">
        <v>17</v>
      </c>
      <c r="N213" s="89" t="s">
        <v>305</v>
      </c>
      <c r="O213" s="89" t="s">
        <v>17</v>
      </c>
      <c r="P213" s="89" t="s">
        <v>17</v>
      </c>
      <c r="Q213" s="89" t="s">
        <v>17</v>
      </c>
      <c r="R213" s="89" t="s">
        <v>10</v>
      </c>
      <c r="S213" s="89" t="s">
        <v>10</v>
      </c>
      <c r="T213" s="89" t="s">
        <v>10</v>
      </c>
      <c r="U213" s="89" t="s">
        <v>10</v>
      </c>
      <c r="W213" s="89" t="s">
        <v>305</v>
      </c>
      <c r="X213" s="89" t="s">
        <v>10</v>
      </c>
      <c r="AH213" s="89" t="str">
        <f>IFERROR(VLOOKUP($Y213,#REF!,AH$1,FALSE),"")</f>
        <v/>
      </c>
      <c r="AI213" s="89" t="str">
        <f>IFERROR(VLOOKUP($Y213,#REF!,AI$1,FALSE),"")</f>
        <v/>
      </c>
    </row>
    <row r="214" spans="1:35" ht="38.25" x14ac:dyDescent="0.25">
      <c r="A214" s="89" t="s">
        <v>868</v>
      </c>
      <c r="B214" s="89" t="s">
        <v>194</v>
      </c>
      <c r="C214" s="89" t="str">
        <f t="shared" si="4"/>
        <v>A.12.5.1 214</v>
      </c>
      <c r="D214" s="90" t="s">
        <v>604</v>
      </c>
      <c r="E214" s="89" t="s">
        <v>8</v>
      </c>
      <c r="F214" s="91" t="s">
        <v>198</v>
      </c>
      <c r="G214" s="91" t="s">
        <v>547</v>
      </c>
      <c r="H214" s="91"/>
      <c r="I214" s="91"/>
      <c r="K214" s="89" t="s">
        <v>17</v>
      </c>
      <c r="L214" s="89" t="s">
        <v>17</v>
      </c>
      <c r="M214" s="89" t="s">
        <v>17</v>
      </c>
      <c r="N214" s="89" t="s">
        <v>305</v>
      </c>
      <c r="O214" s="89" t="s">
        <v>17</v>
      </c>
      <c r="P214" s="89" t="s">
        <v>17</v>
      </c>
      <c r="Q214" s="89" t="s">
        <v>17</v>
      </c>
      <c r="R214" s="89" t="s">
        <v>10</v>
      </c>
      <c r="S214" s="89" t="s">
        <v>10</v>
      </c>
      <c r="T214" s="89" t="s">
        <v>10</v>
      </c>
      <c r="U214" s="89" t="s">
        <v>10</v>
      </c>
      <c r="W214" s="89" t="s">
        <v>305</v>
      </c>
      <c r="X214" s="89" t="s">
        <v>10</v>
      </c>
      <c r="Y214" s="95"/>
      <c r="AH214" s="89" t="str">
        <f>IFERROR(VLOOKUP($Y214,#REF!,AH$1,FALSE),"")</f>
        <v/>
      </c>
      <c r="AI214" s="89" t="str">
        <f>IFERROR(VLOOKUP($Y214,#REF!,AI$1,FALSE),"")</f>
        <v/>
      </c>
    </row>
    <row r="215" spans="1:35" ht="38.25" x14ac:dyDescent="0.25">
      <c r="A215" s="89" t="s">
        <v>868</v>
      </c>
      <c r="B215" s="89" t="s">
        <v>194</v>
      </c>
      <c r="C215" s="89" t="str">
        <f t="shared" si="4"/>
        <v>A.12.5.1 215</v>
      </c>
      <c r="D215" s="90" t="s">
        <v>28</v>
      </c>
      <c r="E215" s="89" t="s">
        <v>8</v>
      </c>
      <c r="F215" s="91" t="s">
        <v>199</v>
      </c>
      <c r="G215" s="91"/>
      <c r="H215" s="91"/>
      <c r="I215" s="91"/>
      <c r="K215" s="89" t="s">
        <v>17</v>
      </c>
      <c r="L215" s="89" t="s">
        <v>17</v>
      </c>
      <c r="M215" s="89" t="s">
        <v>17</v>
      </c>
      <c r="N215" s="89" t="s">
        <v>305</v>
      </c>
      <c r="O215" s="89" t="s">
        <v>17</v>
      </c>
      <c r="P215" s="89" t="s">
        <v>17</v>
      </c>
      <c r="Q215" s="89" t="s">
        <v>17</v>
      </c>
      <c r="R215" s="89" t="s">
        <v>10</v>
      </c>
      <c r="S215" s="89" t="s">
        <v>10</v>
      </c>
      <c r="T215" s="89" t="s">
        <v>10</v>
      </c>
      <c r="U215" s="89" t="s">
        <v>10</v>
      </c>
      <c r="V215" s="89" t="s">
        <v>10</v>
      </c>
      <c r="W215" s="89" t="s">
        <v>305</v>
      </c>
      <c r="X215" s="89" t="s">
        <v>10</v>
      </c>
      <c r="AH215" s="89" t="str">
        <f>IFERROR(VLOOKUP($Y215,#REF!,AH$1,FALSE),"")</f>
        <v/>
      </c>
      <c r="AI215" s="89" t="str">
        <f>IFERROR(VLOOKUP($Y215,#REF!,AI$1,FALSE),"")</f>
        <v/>
      </c>
    </row>
    <row r="216" spans="1:35" ht="25.5" x14ac:dyDescent="0.25">
      <c r="A216" s="89" t="s">
        <v>868</v>
      </c>
      <c r="B216" s="89" t="s">
        <v>194</v>
      </c>
      <c r="C216" s="89" t="str">
        <f t="shared" si="4"/>
        <v>A.12.5.1 216</v>
      </c>
      <c r="D216" s="90" t="s">
        <v>32</v>
      </c>
      <c r="E216" s="89" t="s">
        <v>13</v>
      </c>
      <c r="F216" s="91" t="s">
        <v>201</v>
      </c>
      <c r="G216" s="91"/>
      <c r="H216" s="91"/>
      <c r="I216" s="91"/>
      <c r="K216" s="89" t="s">
        <v>17</v>
      </c>
      <c r="L216" s="89" t="s">
        <v>17</v>
      </c>
      <c r="M216" s="89" t="s">
        <v>17</v>
      </c>
      <c r="N216" s="89" t="s">
        <v>305</v>
      </c>
      <c r="O216" s="89" t="s">
        <v>17</v>
      </c>
      <c r="P216" s="89" t="s">
        <v>17</v>
      </c>
      <c r="Q216" s="89" t="s">
        <v>17</v>
      </c>
      <c r="R216" s="89" t="s">
        <v>10</v>
      </c>
      <c r="S216" s="89" t="s">
        <v>10</v>
      </c>
      <c r="T216" s="89" t="s">
        <v>10</v>
      </c>
      <c r="U216" s="89" t="s">
        <v>10</v>
      </c>
      <c r="V216" s="89" t="s">
        <v>10</v>
      </c>
      <c r="W216" s="89" t="s">
        <v>305</v>
      </c>
      <c r="X216" s="89" t="s">
        <v>10</v>
      </c>
      <c r="AH216" s="89" t="str">
        <f>IFERROR(VLOOKUP($Y216,#REF!,AH$1,FALSE),"")</f>
        <v/>
      </c>
      <c r="AI216" s="89" t="str">
        <f>IFERROR(VLOOKUP($Y216,#REF!,AI$1,FALSE),"")</f>
        <v/>
      </c>
    </row>
    <row r="217" spans="1:35" ht="51" x14ac:dyDescent="0.25">
      <c r="A217" s="89" t="s">
        <v>868</v>
      </c>
      <c r="B217" s="89" t="s">
        <v>202</v>
      </c>
      <c r="C217" s="89" t="str">
        <f t="shared" si="4"/>
        <v>A.12.6.1 217</v>
      </c>
      <c r="D217" s="90" t="s">
        <v>612</v>
      </c>
      <c r="E217" s="89" t="s">
        <v>309</v>
      </c>
      <c r="F217" s="91" t="s">
        <v>1478</v>
      </c>
      <c r="G217" s="20" t="s">
        <v>1479</v>
      </c>
      <c r="H217" s="91"/>
      <c r="I217" s="91"/>
      <c r="K217" s="89" t="s">
        <v>17</v>
      </c>
      <c r="L217" s="89" t="s">
        <v>17</v>
      </c>
      <c r="M217" s="89" t="s">
        <v>17</v>
      </c>
      <c r="N217" s="89" t="s">
        <v>17</v>
      </c>
      <c r="O217" s="89" t="s">
        <v>305</v>
      </c>
      <c r="P217" s="89" t="s">
        <v>305</v>
      </c>
      <c r="Q217" s="89" t="s">
        <v>17</v>
      </c>
      <c r="R217" s="89" t="s">
        <v>17</v>
      </c>
      <c r="S217" s="89" t="s">
        <v>17</v>
      </c>
      <c r="T217" s="89" t="s">
        <v>17</v>
      </c>
      <c r="U217" s="89" t="s">
        <v>17</v>
      </c>
      <c r="V217" s="89" t="s">
        <v>17</v>
      </c>
      <c r="W217" s="89" t="s">
        <v>305</v>
      </c>
      <c r="X217" s="89" t="s">
        <v>17</v>
      </c>
      <c r="Y217" s="96"/>
      <c r="AH217" s="89" t="str">
        <f>IFERROR(VLOOKUP($Y217,#REF!,AH$1,FALSE),"")</f>
        <v/>
      </c>
      <c r="AI217" s="89" t="str">
        <f>IFERROR(VLOOKUP($Y217,#REF!,AI$1,FALSE),"")</f>
        <v/>
      </c>
    </row>
    <row r="218" spans="1:35" ht="25.5" x14ac:dyDescent="0.25">
      <c r="A218" s="89" t="s">
        <v>868</v>
      </c>
      <c r="B218" s="89" t="s">
        <v>202</v>
      </c>
      <c r="C218" s="89" t="str">
        <f t="shared" si="4"/>
        <v>A.12.6.1 218</v>
      </c>
      <c r="D218" s="90" t="s">
        <v>601</v>
      </c>
      <c r="E218" s="89" t="s">
        <v>8</v>
      </c>
      <c r="F218" s="91" t="s">
        <v>549</v>
      </c>
      <c r="G218" s="91" t="s">
        <v>548</v>
      </c>
      <c r="H218" s="91"/>
      <c r="I218" s="91"/>
      <c r="K218" s="89" t="s">
        <v>17</v>
      </c>
      <c r="L218" s="89" t="s">
        <v>17</v>
      </c>
      <c r="M218" s="89" t="s">
        <v>17</v>
      </c>
      <c r="N218" s="89" t="s">
        <v>17</v>
      </c>
      <c r="O218" s="89" t="s">
        <v>305</v>
      </c>
      <c r="P218" s="89" t="s">
        <v>305</v>
      </c>
      <c r="Q218" s="89" t="s">
        <v>17</v>
      </c>
      <c r="R218" s="89" t="s">
        <v>17</v>
      </c>
      <c r="S218" s="89" t="s">
        <v>17</v>
      </c>
      <c r="T218" s="89" t="s">
        <v>17</v>
      </c>
      <c r="U218" s="89" t="s">
        <v>17</v>
      </c>
      <c r="V218" s="89" t="s">
        <v>17</v>
      </c>
      <c r="W218" s="89" t="s">
        <v>305</v>
      </c>
      <c r="X218" s="89" t="s">
        <v>17</v>
      </c>
      <c r="Y218" s="95"/>
      <c r="AH218" s="89" t="str">
        <f>IFERROR(VLOOKUP($Y218,#REF!,AH$1,FALSE),"")</f>
        <v/>
      </c>
      <c r="AI218" s="89" t="str">
        <f>IFERROR(VLOOKUP($Y218,#REF!,AI$1,FALSE),"")</f>
        <v/>
      </c>
    </row>
    <row r="219" spans="1:35" ht="25.5" x14ac:dyDescent="0.25">
      <c r="A219" s="89" t="s">
        <v>868</v>
      </c>
      <c r="B219" s="89" t="s">
        <v>202</v>
      </c>
      <c r="C219" s="89" t="str">
        <f t="shared" si="4"/>
        <v>A.12.6.1 219</v>
      </c>
      <c r="D219" s="90" t="s">
        <v>11</v>
      </c>
      <c r="E219" s="89" t="s">
        <v>8</v>
      </c>
      <c r="F219" s="91" t="s">
        <v>203</v>
      </c>
      <c r="G219" s="91"/>
      <c r="H219" s="91"/>
      <c r="I219" s="91"/>
      <c r="K219" s="89" t="s">
        <v>17</v>
      </c>
      <c r="L219" s="89" t="s">
        <v>17</v>
      </c>
      <c r="M219" s="89" t="s">
        <v>17</v>
      </c>
      <c r="N219" s="89" t="s">
        <v>17</v>
      </c>
      <c r="O219" s="89" t="s">
        <v>305</v>
      </c>
      <c r="P219" s="89" t="s">
        <v>305</v>
      </c>
      <c r="Q219" s="89" t="s">
        <v>17</v>
      </c>
      <c r="R219" s="89" t="s">
        <v>17</v>
      </c>
      <c r="S219" s="89" t="s">
        <v>17</v>
      </c>
      <c r="T219" s="89" t="s">
        <v>17</v>
      </c>
      <c r="U219" s="89" t="s">
        <v>17</v>
      </c>
      <c r="V219" s="89" t="s">
        <v>10</v>
      </c>
      <c r="W219" s="89" t="s">
        <v>305</v>
      </c>
      <c r="X219" s="89" t="s">
        <v>17</v>
      </c>
      <c r="AH219" s="89" t="str">
        <f>IFERROR(VLOOKUP($Y219,#REF!,AH$1,FALSE),"")</f>
        <v/>
      </c>
      <c r="AI219" s="89" t="str">
        <f>IFERROR(VLOOKUP($Y219,#REF!,AI$1,FALSE),"")</f>
        <v/>
      </c>
    </row>
    <row r="220" spans="1:35" x14ac:dyDescent="0.25">
      <c r="A220" s="89" t="s">
        <v>868</v>
      </c>
      <c r="B220" s="89" t="s">
        <v>202</v>
      </c>
      <c r="C220" s="89" t="str">
        <f t="shared" si="4"/>
        <v>A.12.6.1 220</v>
      </c>
      <c r="D220" s="90" t="s">
        <v>12</v>
      </c>
      <c r="E220" s="89" t="s">
        <v>13</v>
      </c>
      <c r="F220" s="91" t="s">
        <v>204</v>
      </c>
      <c r="G220" s="91"/>
      <c r="H220" s="91"/>
      <c r="I220" s="91"/>
      <c r="K220" s="89" t="s">
        <v>17</v>
      </c>
      <c r="L220" s="89" t="s">
        <v>17</v>
      </c>
      <c r="M220" s="89" t="s">
        <v>17</v>
      </c>
      <c r="N220" s="89" t="s">
        <v>17</v>
      </c>
      <c r="O220" s="89" t="s">
        <v>305</v>
      </c>
      <c r="P220" s="89" t="s">
        <v>305</v>
      </c>
      <c r="Q220" s="89" t="s">
        <v>17</v>
      </c>
      <c r="R220" s="89" t="s">
        <v>17</v>
      </c>
      <c r="S220" s="89" t="s">
        <v>17</v>
      </c>
      <c r="T220" s="89" t="s">
        <v>17</v>
      </c>
      <c r="U220" s="89" t="s">
        <v>17</v>
      </c>
      <c r="V220" s="89" t="s">
        <v>10</v>
      </c>
      <c r="W220" s="89" t="s">
        <v>305</v>
      </c>
      <c r="X220" s="89" t="s">
        <v>17</v>
      </c>
      <c r="AH220" s="89" t="str">
        <f>IFERROR(VLOOKUP($Y220,#REF!,AH$1,FALSE),"")</f>
        <v/>
      </c>
      <c r="AI220" s="89" t="str">
        <f>IFERROR(VLOOKUP($Y220,#REF!,AI$1,FALSE),"")</f>
        <v/>
      </c>
    </row>
    <row r="221" spans="1:35" ht="25.5" x14ac:dyDescent="0.25">
      <c r="A221" s="89" t="s">
        <v>868</v>
      </c>
      <c r="B221" s="89" t="s">
        <v>205</v>
      </c>
      <c r="C221" s="89" t="str">
        <f t="shared" si="4"/>
        <v>A.12.6.2 221</v>
      </c>
      <c r="D221" s="90" t="s">
        <v>612</v>
      </c>
      <c r="E221" s="89" t="s">
        <v>309</v>
      </c>
      <c r="F221" s="91" t="s">
        <v>668</v>
      </c>
      <c r="G221" s="20" t="s">
        <v>667</v>
      </c>
      <c r="H221" s="91"/>
      <c r="I221" s="91"/>
      <c r="K221" s="89" t="s">
        <v>17</v>
      </c>
      <c r="L221" s="89" t="s">
        <v>17</v>
      </c>
      <c r="M221" s="89" t="s">
        <v>17</v>
      </c>
      <c r="N221" s="89" t="s">
        <v>17</v>
      </c>
      <c r="O221" s="89" t="s">
        <v>305</v>
      </c>
      <c r="P221" s="89" t="s">
        <v>305</v>
      </c>
      <c r="Q221" s="89" t="s">
        <v>17</v>
      </c>
      <c r="R221" s="89" t="s">
        <v>17</v>
      </c>
      <c r="S221" s="89" t="s">
        <v>17</v>
      </c>
      <c r="T221" s="89" t="s">
        <v>17</v>
      </c>
      <c r="U221" s="89" t="s">
        <v>17</v>
      </c>
      <c r="V221" s="89" t="s">
        <v>10</v>
      </c>
      <c r="W221" s="89" t="s">
        <v>305</v>
      </c>
      <c r="X221" s="89" t="s">
        <v>17</v>
      </c>
      <c r="Y221" s="96"/>
      <c r="AB221" s="99"/>
      <c r="AC221" s="99"/>
      <c r="AH221" s="89" t="str">
        <f>IFERROR(VLOOKUP($Y221,#REF!,AH$1,FALSE),"")</f>
        <v/>
      </c>
      <c r="AI221" s="89" t="str">
        <f>IFERROR(VLOOKUP($Y221,#REF!,AI$1,FALSE),"")</f>
        <v/>
      </c>
    </row>
    <row r="222" spans="1:35" x14ac:dyDescent="0.25">
      <c r="A222" s="89" t="s">
        <v>868</v>
      </c>
      <c r="B222" s="89" t="s">
        <v>205</v>
      </c>
      <c r="C222" s="89" t="str">
        <f t="shared" si="4"/>
        <v>A.12.6.2 222</v>
      </c>
      <c r="D222" s="90" t="s">
        <v>9</v>
      </c>
      <c r="E222" s="89" t="s">
        <v>13</v>
      </c>
      <c r="F222" s="91" t="s">
        <v>207</v>
      </c>
      <c r="G222" s="91"/>
      <c r="H222" s="91"/>
      <c r="I222" s="91"/>
      <c r="K222" s="89" t="s">
        <v>17</v>
      </c>
      <c r="L222" s="89" t="s">
        <v>17</v>
      </c>
      <c r="M222" s="89" t="s">
        <v>17</v>
      </c>
      <c r="N222" s="89" t="s">
        <v>17</v>
      </c>
      <c r="O222" s="89" t="s">
        <v>305</v>
      </c>
      <c r="P222" s="89" t="s">
        <v>305</v>
      </c>
      <c r="Q222" s="89" t="s">
        <v>17</v>
      </c>
      <c r="R222" s="89" t="s">
        <v>17</v>
      </c>
      <c r="S222" s="89" t="s">
        <v>17</v>
      </c>
      <c r="T222" s="89" t="s">
        <v>17</v>
      </c>
      <c r="U222" s="89" t="s">
        <v>17</v>
      </c>
      <c r="V222" s="89" t="s">
        <v>10</v>
      </c>
      <c r="W222" s="89" t="s">
        <v>305</v>
      </c>
      <c r="X222" s="89" t="s">
        <v>17</v>
      </c>
      <c r="AH222" s="89" t="str">
        <f>IFERROR(VLOOKUP($Y222,#REF!,AH$1,FALSE),"")</f>
        <v/>
      </c>
      <c r="AI222" s="89" t="str">
        <f>IFERROR(VLOOKUP($Y222,#REF!,AI$1,FALSE),"")</f>
        <v/>
      </c>
    </row>
    <row r="223" spans="1:35" ht="38.25" x14ac:dyDescent="0.25">
      <c r="A223" s="89" t="s">
        <v>868</v>
      </c>
      <c r="B223" s="89" t="s">
        <v>205</v>
      </c>
      <c r="C223" s="89" t="str">
        <f t="shared" si="4"/>
        <v>A.12.6.2 223</v>
      </c>
      <c r="D223" s="90" t="s">
        <v>11</v>
      </c>
      <c r="E223" s="89" t="s">
        <v>8</v>
      </c>
      <c r="F223" s="91" t="s">
        <v>206</v>
      </c>
      <c r="G223" s="91"/>
      <c r="H223" s="91"/>
      <c r="I223" s="91"/>
      <c r="K223" s="89" t="s">
        <v>17</v>
      </c>
      <c r="L223" s="89" t="s">
        <v>17</v>
      </c>
      <c r="M223" s="89" t="s">
        <v>17</v>
      </c>
      <c r="N223" s="89" t="s">
        <v>17</v>
      </c>
      <c r="O223" s="89" t="s">
        <v>305</v>
      </c>
      <c r="P223" s="89" t="s">
        <v>305</v>
      </c>
      <c r="Q223" s="89" t="s">
        <v>17</v>
      </c>
      <c r="R223" s="89" t="s">
        <v>17</v>
      </c>
      <c r="S223" s="89" t="s">
        <v>10</v>
      </c>
      <c r="T223" s="89" t="s">
        <v>17</v>
      </c>
      <c r="U223" s="89" t="s">
        <v>17</v>
      </c>
      <c r="V223" s="89" t="s">
        <v>10</v>
      </c>
      <c r="W223" s="89" t="s">
        <v>305</v>
      </c>
      <c r="X223" s="89" t="s">
        <v>17</v>
      </c>
      <c r="AH223" s="89" t="str">
        <f>IFERROR(VLOOKUP($Y223,#REF!,AH$1,FALSE),"")</f>
        <v/>
      </c>
      <c r="AI223" s="89" t="str">
        <f>IFERROR(VLOOKUP($Y223,#REF!,AI$1,FALSE),"")</f>
        <v/>
      </c>
    </row>
    <row r="224" spans="1:35" x14ac:dyDescent="0.25">
      <c r="A224" s="89" t="s">
        <v>868</v>
      </c>
      <c r="B224" s="89" t="s">
        <v>205</v>
      </c>
      <c r="C224" s="89" t="str">
        <f t="shared" si="4"/>
        <v>A.12.6.2 224</v>
      </c>
      <c r="D224" s="90" t="s">
        <v>12</v>
      </c>
      <c r="E224" s="89" t="s">
        <v>13</v>
      </c>
      <c r="F224" s="91" t="s">
        <v>208</v>
      </c>
      <c r="G224" s="91"/>
      <c r="H224" s="91"/>
      <c r="I224" s="91"/>
      <c r="K224" s="89" t="s">
        <v>17</v>
      </c>
      <c r="L224" s="89" t="s">
        <v>17</v>
      </c>
      <c r="M224" s="89" t="s">
        <v>17</v>
      </c>
      <c r="N224" s="89" t="s">
        <v>17</v>
      </c>
      <c r="O224" s="89" t="s">
        <v>305</v>
      </c>
      <c r="P224" s="89" t="s">
        <v>305</v>
      </c>
      <c r="Q224" s="89" t="s">
        <v>17</v>
      </c>
      <c r="R224" s="89" t="s">
        <v>17</v>
      </c>
      <c r="S224" s="89" t="s">
        <v>17</v>
      </c>
      <c r="T224" s="89" t="s">
        <v>17</v>
      </c>
      <c r="U224" s="89" t="s">
        <v>17</v>
      </c>
      <c r="V224" s="89" t="s">
        <v>10</v>
      </c>
      <c r="W224" s="89" t="s">
        <v>305</v>
      </c>
      <c r="X224" s="89" t="s">
        <v>17</v>
      </c>
      <c r="AH224" s="89" t="str">
        <f>IFERROR(VLOOKUP($Y224,#REF!,AH$1,FALSE),"")</f>
        <v/>
      </c>
      <c r="AI224" s="89" t="str">
        <f>IFERROR(VLOOKUP($Y224,#REF!,AI$1,FALSE),"")</f>
        <v/>
      </c>
    </row>
    <row r="225" spans="1:35" ht="25.5" x14ac:dyDescent="0.25">
      <c r="A225" s="89" t="s">
        <v>868</v>
      </c>
      <c r="B225" s="89" t="s">
        <v>384</v>
      </c>
      <c r="C225" s="89" t="str">
        <f t="shared" si="4"/>
        <v>A.13.1.1 225</v>
      </c>
      <c r="D225" s="90" t="s">
        <v>612</v>
      </c>
      <c r="E225" s="89" t="s">
        <v>309</v>
      </c>
      <c r="F225" s="91" t="s">
        <v>659</v>
      </c>
      <c r="G225" s="91" t="s">
        <v>660</v>
      </c>
      <c r="H225" s="91"/>
      <c r="I225" s="91"/>
      <c r="K225" s="89" t="s">
        <v>17</v>
      </c>
      <c r="L225" s="89" t="s">
        <v>17</v>
      </c>
      <c r="M225" s="89" t="s">
        <v>17</v>
      </c>
      <c r="N225" s="89" t="s">
        <v>17</v>
      </c>
      <c r="O225" s="89" t="s">
        <v>17</v>
      </c>
      <c r="P225" s="89" t="s">
        <v>305</v>
      </c>
      <c r="Q225" s="89" t="s">
        <v>305</v>
      </c>
      <c r="U225" s="89" t="s">
        <v>17</v>
      </c>
      <c r="V225" s="89" t="s">
        <v>17</v>
      </c>
      <c r="W225" s="89" t="s">
        <v>305</v>
      </c>
    </row>
    <row r="226" spans="1:35" ht="76.5" x14ac:dyDescent="0.25">
      <c r="A226" s="89" t="s">
        <v>868</v>
      </c>
      <c r="B226" s="89" t="s">
        <v>384</v>
      </c>
      <c r="C226" s="89" t="str">
        <f t="shared" si="4"/>
        <v>A.13.1.1 226</v>
      </c>
      <c r="D226" s="90" t="s">
        <v>601</v>
      </c>
      <c r="E226" s="89" t="s">
        <v>8</v>
      </c>
      <c r="F226" s="91" t="s">
        <v>551</v>
      </c>
      <c r="G226" s="91" t="s">
        <v>550</v>
      </c>
      <c r="H226" s="91"/>
      <c r="I226" s="91"/>
      <c r="K226" s="89" t="s">
        <v>17</v>
      </c>
      <c r="L226" s="89" t="s">
        <v>17</v>
      </c>
      <c r="M226" s="89" t="s">
        <v>17</v>
      </c>
      <c r="N226" s="89" t="s">
        <v>17</v>
      </c>
      <c r="O226" s="89" t="s">
        <v>305</v>
      </c>
      <c r="P226" s="89" t="s">
        <v>305</v>
      </c>
      <c r="U226" s="89" t="s">
        <v>17</v>
      </c>
      <c r="V226" s="89" t="s">
        <v>17</v>
      </c>
      <c r="W226" s="89" t="s">
        <v>305</v>
      </c>
    </row>
    <row r="227" spans="1:35" ht="63.75" x14ac:dyDescent="0.25">
      <c r="A227" s="89" t="s">
        <v>868</v>
      </c>
      <c r="B227" s="89" t="s">
        <v>384</v>
      </c>
      <c r="C227" s="89" t="str">
        <f t="shared" si="4"/>
        <v>A.13.1.1 227</v>
      </c>
      <c r="D227" s="90" t="s">
        <v>602</v>
      </c>
      <c r="E227" s="89" t="s">
        <v>8</v>
      </c>
      <c r="F227" s="91" t="s">
        <v>553</v>
      </c>
      <c r="G227" s="91" t="s">
        <v>552</v>
      </c>
      <c r="H227" s="91"/>
      <c r="I227" s="91"/>
      <c r="K227" s="89" t="s">
        <v>17</v>
      </c>
      <c r="L227" s="89" t="s">
        <v>17</v>
      </c>
      <c r="M227" s="89" t="s">
        <v>17</v>
      </c>
      <c r="N227" s="89" t="s">
        <v>17</v>
      </c>
      <c r="O227" s="89" t="s">
        <v>305</v>
      </c>
      <c r="P227" s="89" t="s">
        <v>305</v>
      </c>
      <c r="U227" s="89" t="s">
        <v>17</v>
      </c>
      <c r="V227" s="89" t="s">
        <v>17</v>
      </c>
      <c r="W227" s="89" t="s">
        <v>305</v>
      </c>
    </row>
    <row r="228" spans="1:35" ht="89.25" x14ac:dyDescent="0.25">
      <c r="A228" s="89" t="s">
        <v>868</v>
      </c>
      <c r="B228" s="89" t="s">
        <v>384</v>
      </c>
      <c r="C228" s="89" t="str">
        <f t="shared" si="4"/>
        <v>A.13.1.1 228</v>
      </c>
      <c r="D228" s="90" t="s">
        <v>603</v>
      </c>
      <c r="E228" s="89" t="s">
        <v>8</v>
      </c>
      <c r="F228" s="91" t="s">
        <v>555</v>
      </c>
      <c r="G228" s="91" t="s">
        <v>554</v>
      </c>
      <c r="H228" s="91"/>
      <c r="I228" s="91"/>
      <c r="K228" s="89" t="s">
        <v>17</v>
      </c>
      <c r="L228" s="89" t="s">
        <v>17</v>
      </c>
      <c r="M228" s="89" t="s">
        <v>17</v>
      </c>
      <c r="N228" s="89" t="s">
        <v>17</v>
      </c>
      <c r="O228" s="89" t="s">
        <v>305</v>
      </c>
      <c r="P228" s="89" t="s">
        <v>305</v>
      </c>
      <c r="U228" s="89" t="s">
        <v>17</v>
      </c>
      <c r="V228" s="89" t="s">
        <v>17</v>
      </c>
      <c r="W228" s="89" t="s">
        <v>305</v>
      </c>
    </row>
    <row r="229" spans="1:35" ht="76.5" x14ac:dyDescent="0.25">
      <c r="A229" s="89" t="s">
        <v>868</v>
      </c>
      <c r="B229" s="89" t="s">
        <v>384</v>
      </c>
      <c r="C229" s="89" t="str">
        <f t="shared" si="4"/>
        <v>A.13.1.1 229</v>
      </c>
      <c r="D229" s="90" t="s">
        <v>604</v>
      </c>
      <c r="E229" s="89" t="s">
        <v>8</v>
      </c>
      <c r="F229" s="91" t="s">
        <v>557</v>
      </c>
      <c r="G229" s="91" t="s">
        <v>556</v>
      </c>
      <c r="H229" s="91"/>
      <c r="I229" s="91"/>
      <c r="K229" s="89" t="s">
        <v>17</v>
      </c>
      <c r="L229" s="89" t="s">
        <v>17</v>
      </c>
      <c r="M229" s="89" t="s">
        <v>17</v>
      </c>
      <c r="N229" s="89" t="s">
        <v>17</v>
      </c>
      <c r="O229" s="89" t="s">
        <v>305</v>
      </c>
      <c r="P229" s="89" t="s">
        <v>305</v>
      </c>
      <c r="U229" s="89" t="s">
        <v>17</v>
      </c>
      <c r="V229" s="89" t="s">
        <v>17</v>
      </c>
      <c r="W229" s="89" t="s">
        <v>305</v>
      </c>
    </row>
    <row r="230" spans="1:35" ht="38.25" x14ac:dyDescent="0.25">
      <c r="A230" s="89" t="s">
        <v>868</v>
      </c>
      <c r="B230" s="89" t="s">
        <v>384</v>
      </c>
      <c r="C230" s="89" t="str">
        <f t="shared" si="4"/>
        <v>A.13.1.1 230</v>
      </c>
      <c r="D230" s="90" t="s">
        <v>605</v>
      </c>
      <c r="E230" s="89" t="s">
        <v>8</v>
      </c>
      <c r="F230" s="91" t="s">
        <v>559</v>
      </c>
      <c r="G230" s="91" t="s">
        <v>558</v>
      </c>
      <c r="H230" s="91"/>
      <c r="I230" s="91"/>
      <c r="K230" s="89" t="s">
        <v>17</v>
      </c>
      <c r="L230" s="89" t="s">
        <v>17</v>
      </c>
      <c r="M230" s="89" t="s">
        <v>17</v>
      </c>
      <c r="N230" s="89" t="s">
        <v>17</v>
      </c>
      <c r="O230" s="89" t="s">
        <v>305</v>
      </c>
      <c r="P230" s="89" t="s">
        <v>305</v>
      </c>
      <c r="U230" s="89" t="s">
        <v>17</v>
      </c>
      <c r="V230" s="89" t="s">
        <v>17</v>
      </c>
      <c r="W230" s="89" t="s">
        <v>305</v>
      </c>
    </row>
    <row r="231" spans="1:35" ht="25.5" x14ac:dyDescent="0.25">
      <c r="A231" s="89" t="s">
        <v>868</v>
      </c>
      <c r="B231" s="89" t="s">
        <v>384</v>
      </c>
      <c r="C231" s="89" t="str">
        <f t="shared" si="4"/>
        <v>A.13.1.1 231</v>
      </c>
      <c r="D231" s="90" t="s">
        <v>606</v>
      </c>
      <c r="E231" s="89" t="s">
        <v>8</v>
      </c>
      <c r="F231" s="91" t="s">
        <v>561</v>
      </c>
      <c r="G231" s="91" t="s">
        <v>560</v>
      </c>
      <c r="H231" s="91"/>
      <c r="I231" s="91"/>
      <c r="K231" s="89" t="s">
        <v>17</v>
      </c>
      <c r="L231" s="89" t="s">
        <v>17</v>
      </c>
      <c r="M231" s="89" t="s">
        <v>17</v>
      </c>
      <c r="N231" s="89" t="s">
        <v>17</v>
      </c>
      <c r="O231" s="89" t="s">
        <v>305</v>
      </c>
      <c r="P231" s="89" t="s">
        <v>305</v>
      </c>
      <c r="U231" s="89" t="s">
        <v>17</v>
      </c>
      <c r="V231" s="89" t="s">
        <v>17</v>
      </c>
      <c r="W231" s="89" t="s">
        <v>305</v>
      </c>
    </row>
    <row r="232" spans="1:35" ht="114.75" x14ac:dyDescent="0.25">
      <c r="A232" s="89" t="s">
        <v>868</v>
      </c>
      <c r="B232" s="89" t="s">
        <v>384</v>
      </c>
      <c r="C232" s="89" t="str">
        <f t="shared" si="4"/>
        <v>A.13.1.1 232</v>
      </c>
      <c r="D232" s="90" t="s">
        <v>608</v>
      </c>
      <c r="E232" s="89" t="s">
        <v>8</v>
      </c>
      <c r="F232" s="91" t="s">
        <v>563</v>
      </c>
      <c r="G232" s="91" t="s">
        <v>562</v>
      </c>
      <c r="H232" s="91"/>
      <c r="I232" s="91"/>
      <c r="K232" s="89" t="s">
        <v>17</v>
      </c>
      <c r="L232" s="89" t="s">
        <v>17</v>
      </c>
      <c r="M232" s="89" t="s">
        <v>17</v>
      </c>
      <c r="N232" s="89" t="s">
        <v>17</v>
      </c>
      <c r="O232" s="89" t="s">
        <v>305</v>
      </c>
      <c r="P232" s="89" t="s">
        <v>305</v>
      </c>
      <c r="U232" s="89" t="s">
        <v>17</v>
      </c>
      <c r="V232" s="89" t="s">
        <v>17</v>
      </c>
      <c r="W232" s="89" t="s">
        <v>305</v>
      </c>
    </row>
    <row r="233" spans="1:35" ht="51" x14ac:dyDescent="0.25">
      <c r="A233" s="89" t="s">
        <v>868</v>
      </c>
      <c r="B233" s="89" t="s">
        <v>384</v>
      </c>
      <c r="C233" s="89" t="str">
        <f t="shared" si="4"/>
        <v>A.13.1.1 233</v>
      </c>
      <c r="D233" s="90" t="s">
        <v>609</v>
      </c>
      <c r="E233" s="89" t="s">
        <v>8</v>
      </c>
      <c r="F233" s="91" t="s">
        <v>565</v>
      </c>
      <c r="G233" s="91" t="s">
        <v>564</v>
      </c>
      <c r="H233" s="91"/>
      <c r="I233" s="91"/>
      <c r="K233" s="89" t="s">
        <v>17</v>
      </c>
      <c r="L233" s="89" t="s">
        <v>17</v>
      </c>
      <c r="M233" s="89" t="s">
        <v>17</v>
      </c>
      <c r="N233" s="89" t="s">
        <v>17</v>
      </c>
      <c r="O233" s="89" t="s">
        <v>305</v>
      </c>
      <c r="P233" s="89" t="s">
        <v>305</v>
      </c>
      <c r="U233" s="89" t="s">
        <v>17</v>
      </c>
      <c r="V233" s="89" t="s">
        <v>17</v>
      </c>
      <c r="W233" s="89" t="s">
        <v>305</v>
      </c>
    </row>
    <row r="234" spans="1:35" ht="51" x14ac:dyDescent="0.25">
      <c r="A234" s="89" t="s">
        <v>868</v>
      </c>
      <c r="B234" s="89" t="s">
        <v>209</v>
      </c>
      <c r="C234" s="89" t="str">
        <f t="shared" si="4"/>
        <v>A.13.1.2 234</v>
      </c>
      <c r="D234" s="90" t="s">
        <v>601</v>
      </c>
      <c r="E234" s="89" t="s">
        <v>8</v>
      </c>
      <c r="F234" s="91" t="s">
        <v>567</v>
      </c>
      <c r="G234" s="91" t="s">
        <v>566</v>
      </c>
      <c r="H234" s="91"/>
      <c r="I234" s="91"/>
      <c r="K234" s="89" t="s">
        <v>17</v>
      </c>
      <c r="L234" s="89" t="s">
        <v>17</v>
      </c>
      <c r="M234" s="89" t="s">
        <v>17</v>
      </c>
      <c r="N234" s="89" t="s">
        <v>17</v>
      </c>
      <c r="O234" s="89" t="s">
        <v>305</v>
      </c>
      <c r="P234" s="89" t="s">
        <v>305</v>
      </c>
      <c r="U234" s="89" t="s">
        <v>17</v>
      </c>
      <c r="V234" s="89" t="s">
        <v>17</v>
      </c>
      <c r="W234" s="89" t="s">
        <v>305</v>
      </c>
    </row>
    <row r="235" spans="1:35" ht="38.25" x14ac:dyDescent="0.25">
      <c r="A235" s="89" t="s">
        <v>868</v>
      </c>
      <c r="B235" s="89" t="s">
        <v>209</v>
      </c>
      <c r="C235" s="89" t="str">
        <f t="shared" si="4"/>
        <v>A.13.1.2 235</v>
      </c>
      <c r="D235" s="90" t="s">
        <v>602</v>
      </c>
      <c r="E235" s="89" t="s">
        <v>8</v>
      </c>
      <c r="F235" s="91" t="s">
        <v>569</v>
      </c>
      <c r="G235" s="91" t="s">
        <v>568</v>
      </c>
      <c r="H235" s="91"/>
      <c r="I235" s="91"/>
      <c r="K235" s="89" t="s">
        <v>17</v>
      </c>
      <c r="L235" s="89" t="s">
        <v>17</v>
      </c>
      <c r="M235" s="89" t="s">
        <v>17</v>
      </c>
      <c r="N235" s="89" t="s">
        <v>17</v>
      </c>
      <c r="O235" s="89" t="s">
        <v>305</v>
      </c>
      <c r="P235" s="89" t="s">
        <v>305</v>
      </c>
      <c r="U235" s="89" t="s">
        <v>17</v>
      </c>
      <c r="V235" s="89" t="s">
        <v>17</v>
      </c>
      <c r="W235" s="89" t="s">
        <v>305</v>
      </c>
    </row>
    <row r="236" spans="1:35" ht="25.5" x14ac:dyDescent="0.25">
      <c r="A236" s="89" t="s">
        <v>868</v>
      </c>
      <c r="B236" s="89" t="s">
        <v>209</v>
      </c>
      <c r="C236" s="89" t="str">
        <f t="shared" si="4"/>
        <v>A.13.1.2 236</v>
      </c>
      <c r="D236" s="90" t="s">
        <v>603</v>
      </c>
      <c r="E236" s="89" t="s">
        <v>8</v>
      </c>
      <c r="F236" s="91" t="s">
        <v>212</v>
      </c>
      <c r="G236" s="91" t="s">
        <v>570</v>
      </c>
      <c r="H236" s="91"/>
      <c r="I236" s="91"/>
      <c r="K236" s="89" t="s">
        <v>17</v>
      </c>
      <c r="L236" s="89" t="s">
        <v>17</v>
      </c>
      <c r="M236" s="89" t="s">
        <v>17</v>
      </c>
      <c r="N236" s="89" t="s">
        <v>17</v>
      </c>
      <c r="O236" s="89" t="s">
        <v>305</v>
      </c>
      <c r="P236" s="89" t="s">
        <v>305</v>
      </c>
      <c r="U236" s="89" t="s">
        <v>17</v>
      </c>
      <c r="V236" s="89" t="s">
        <v>17</v>
      </c>
      <c r="W236" s="89" t="s">
        <v>305</v>
      </c>
    </row>
    <row r="237" spans="1:35" ht="76.5" x14ac:dyDescent="0.25">
      <c r="A237" s="89" t="s">
        <v>868</v>
      </c>
      <c r="B237" s="89" t="s">
        <v>209</v>
      </c>
      <c r="C237" s="89" t="str">
        <f t="shared" si="4"/>
        <v>A.13.1.2 237</v>
      </c>
      <c r="D237" s="90" t="s">
        <v>604</v>
      </c>
      <c r="E237" s="89" t="s">
        <v>8</v>
      </c>
      <c r="F237" s="91" t="s">
        <v>663</v>
      </c>
      <c r="G237" s="91" t="s">
        <v>571</v>
      </c>
      <c r="H237" s="91"/>
      <c r="I237" s="91"/>
      <c r="K237" s="89" t="s">
        <v>17</v>
      </c>
      <c r="L237" s="89" t="s">
        <v>17</v>
      </c>
      <c r="M237" s="89" t="s">
        <v>17</v>
      </c>
      <c r="N237" s="89" t="s">
        <v>17</v>
      </c>
      <c r="O237" s="89" t="s">
        <v>305</v>
      </c>
      <c r="P237" s="89" t="s">
        <v>305</v>
      </c>
      <c r="U237" s="89" t="s">
        <v>17</v>
      </c>
      <c r="V237" s="89" t="s">
        <v>17</v>
      </c>
      <c r="W237" s="89" t="s">
        <v>305</v>
      </c>
    </row>
    <row r="238" spans="1:35" ht="76.5" x14ac:dyDescent="0.25">
      <c r="A238" s="89" t="s">
        <v>868</v>
      </c>
      <c r="B238" s="89" t="s">
        <v>209</v>
      </c>
      <c r="C238" s="89" t="str">
        <f t="shared" si="4"/>
        <v>A.13.1.2 238</v>
      </c>
      <c r="D238" s="90" t="s">
        <v>605</v>
      </c>
      <c r="E238" s="89" t="s">
        <v>8</v>
      </c>
      <c r="F238" s="91" t="s">
        <v>573</v>
      </c>
      <c r="G238" s="91" t="s">
        <v>572</v>
      </c>
      <c r="H238" s="91"/>
      <c r="I238" s="91"/>
      <c r="K238" s="89" t="s">
        <v>17</v>
      </c>
      <c r="L238" s="89" t="s">
        <v>17</v>
      </c>
      <c r="M238" s="89" t="s">
        <v>17</v>
      </c>
      <c r="N238" s="89" t="s">
        <v>17</v>
      </c>
      <c r="O238" s="89" t="s">
        <v>305</v>
      </c>
      <c r="P238" s="89" t="s">
        <v>305</v>
      </c>
      <c r="U238" s="89" t="s">
        <v>17</v>
      </c>
      <c r="V238" s="89" t="s">
        <v>17</v>
      </c>
      <c r="W238" s="89" t="s">
        <v>305</v>
      </c>
    </row>
    <row r="239" spans="1:35" ht="25.5" x14ac:dyDescent="0.25">
      <c r="A239" s="89" t="s">
        <v>868</v>
      </c>
      <c r="B239" s="89" t="s">
        <v>209</v>
      </c>
      <c r="C239" s="89" t="str">
        <f t="shared" si="4"/>
        <v>A.13.1.2 239</v>
      </c>
      <c r="D239" s="90" t="s">
        <v>612</v>
      </c>
      <c r="E239" s="89" t="s">
        <v>309</v>
      </c>
      <c r="F239" s="91" t="s">
        <v>218</v>
      </c>
      <c r="G239" s="20" t="s">
        <v>647</v>
      </c>
      <c r="H239" s="91"/>
      <c r="I239" s="91"/>
      <c r="K239" s="89" t="s">
        <v>305</v>
      </c>
      <c r="L239" s="89" t="s">
        <v>305</v>
      </c>
      <c r="M239" s="89" t="s">
        <v>17</v>
      </c>
      <c r="N239" s="89" t="s">
        <v>17</v>
      </c>
      <c r="O239" s="89" t="s">
        <v>305</v>
      </c>
      <c r="P239" s="89" t="s">
        <v>305</v>
      </c>
      <c r="Q239" s="89" t="s">
        <v>10</v>
      </c>
      <c r="R239" s="89" t="s">
        <v>10</v>
      </c>
      <c r="T239" s="89" t="s">
        <v>10</v>
      </c>
      <c r="V239" s="89" t="s">
        <v>17</v>
      </c>
      <c r="W239" s="89" t="s">
        <v>305</v>
      </c>
      <c r="X239" s="89" t="s">
        <v>10</v>
      </c>
      <c r="Y239" s="96"/>
      <c r="AH239" s="89" t="str">
        <f>IFERROR(VLOOKUP($Y239,#REF!,AH$1,FALSE),"")</f>
        <v/>
      </c>
      <c r="AI239" s="89" t="str">
        <f>IFERROR(VLOOKUP($Y239,#REF!,AI$1,FALSE),"")</f>
        <v/>
      </c>
    </row>
    <row r="240" spans="1:35" x14ac:dyDescent="0.25">
      <c r="A240" s="89" t="s">
        <v>868</v>
      </c>
      <c r="B240" s="89" t="s">
        <v>209</v>
      </c>
      <c r="C240" s="89" t="str">
        <f t="shared" si="4"/>
        <v>A.13.1.2 240</v>
      </c>
      <c r="D240" s="90" t="s">
        <v>9</v>
      </c>
      <c r="E240" s="89" t="s">
        <v>13</v>
      </c>
      <c r="F240" s="91" t="s">
        <v>215</v>
      </c>
      <c r="G240" s="91"/>
      <c r="H240" s="91"/>
      <c r="I240" s="91"/>
      <c r="K240" s="89" t="s">
        <v>305</v>
      </c>
      <c r="L240" s="89" t="s">
        <v>305</v>
      </c>
      <c r="M240" s="89" t="s">
        <v>17</v>
      </c>
      <c r="N240" s="89" t="s">
        <v>17</v>
      </c>
      <c r="O240" s="89" t="s">
        <v>305</v>
      </c>
      <c r="P240" s="89" t="s">
        <v>305</v>
      </c>
      <c r="Q240" s="98" t="s">
        <v>10</v>
      </c>
      <c r="R240" s="98" t="s">
        <v>10</v>
      </c>
      <c r="S240" s="98"/>
      <c r="T240" s="98" t="s">
        <v>10</v>
      </c>
      <c r="U240" s="98" t="s">
        <v>17</v>
      </c>
      <c r="V240" s="89" t="s">
        <v>10</v>
      </c>
      <c r="W240" s="89" t="s">
        <v>305</v>
      </c>
      <c r="X240" s="98" t="s">
        <v>10</v>
      </c>
      <c r="AH240" s="89" t="str">
        <f>IFERROR(VLOOKUP($Y240,#REF!,AH$1,FALSE),"")</f>
        <v/>
      </c>
      <c r="AI240" s="89" t="str">
        <f>IFERROR(VLOOKUP($Y240,#REF!,AI$1,FALSE),"")</f>
        <v/>
      </c>
    </row>
    <row r="241" spans="1:35" ht="38.25" x14ac:dyDescent="0.25">
      <c r="A241" s="89" t="s">
        <v>868</v>
      </c>
      <c r="B241" s="89" t="s">
        <v>209</v>
      </c>
      <c r="C241" s="89" t="str">
        <f t="shared" si="4"/>
        <v>A.13.1.2 241</v>
      </c>
      <c r="D241" s="90" t="s">
        <v>11</v>
      </c>
      <c r="E241" s="89" t="s">
        <v>8</v>
      </c>
      <c r="F241" s="91" t="s">
        <v>210</v>
      </c>
      <c r="G241" s="91"/>
      <c r="H241" s="91"/>
      <c r="I241" s="91"/>
      <c r="K241" s="89" t="s">
        <v>305</v>
      </c>
      <c r="L241" s="89" t="s">
        <v>305</v>
      </c>
      <c r="M241" s="89" t="s">
        <v>17</v>
      </c>
      <c r="N241" s="89" t="s">
        <v>17</v>
      </c>
      <c r="O241" s="89" t="s">
        <v>305</v>
      </c>
      <c r="P241" s="89" t="s">
        <v>305</v>
      </c>
      <c r="Q241" s="98" t="s">
        <v>10</v>
      </c>
      <c r="R241" s="98" t="s">
        <v>10</v>
      </c>
      <c r="S241" s="98"/>
      <c r="T241" s="98" t="s">
        <v>10</v>
      </c>
      <c r="U241" s="98" t="s">
        <v>17</v>
      </c>
      <c r="V241" s="89" t="s">
        <v>10</v>
      </c>
      <c r="W241" s="89" t="s">
        <v>305</v>
      </c>
      <c r="X241" s="98" t="s">
        <v>10</v>
      </c>
      <c r="AH241" s="89" t="str">
        <f>IFERROR(VLOOKUP($Y241,#REF!,AH$1,FALSE),"")</f>
        <v/>
      </c>
      <c r="AI241" s="89" t="str">
        <f>IFERROR(VLOOKUP($Y241,#REF!,AI$1,FALSE),"")</f>
        <v/>
      </c>
    </row>
    <row r="242" spans="1:35" ht="25.5" x14ac:dyDescent="0.25">
      <c r="A242" s="89" t="s">
        <v>868</v>
      </c>
      <c r="B242" s="89" t="s">
        <v>209</v>
      </c>
      <c r="C242" s="89" t="str">
        <f t="shared" si="4"/>
        <v>A.13.1.2 242</v>
      </c>
      <c r="D242" s="90" t="s">
        <v>12</v>
      </c>
      <c r="E242" s="89" t="s">
        <v>8</v>
      </c>
      <c r="F242" s="91" t="s">
        <v>211</v>
      </c>
      <c r="G242" s="91"/>
      <c r="H242" s="91"/>
      <c r="I242" s="91"/>
      <c r="K242" s="89" t="s">
        <v>305</v>
      </c>
      <c r="L242" s="89" t="s">
        <v>305</v>
      </c>
      <c r="M242" s="89" t="s">
        <v>17</v>
      </c>
      <c r="N242" s="89" t="s">
        <v>17</v>
      </c>
      <c r="O242" s="89" t="s">
        <v>305</v>
      </c>
      <c r="P242" s="89" t="s">
        <v>305</v>
      </c>
      <c r="Q242" s="98" t="s">
        <v>10</v>
      </c>
      <c r="R242" s="98" t="s">
        <v>10</v>
      </c>
      <c r="S242" s="98"/>
      <c r="T242" s="98" t="s">
        <v>10</v>
      </c>
      <c r="U242" s="98" t="s">
        <v>17</v>
      </c>
      <c r="V242" s="89" t="s">
        <v>10</v>
      </c>
      <c r="W242" s="89" t="s">
        <v>305</v>
      </c>
      <c r="X242" s="98" t="s">
        <v>10</v>
      </c>
      <c r="AH242" s="89" t="str">
        <f>IFERROR(VLOOKUP($Y242,#REF!,AH$1,FALSE),"")</f>
        <v/>
      </c>
      <c r="AI242" s="89" t="str">
        <f>IFERROR(VLOOKUP($Y242,#REF!,AI$1,FALSE),"")</f>
        <v/>
      </c>
    </row>
    <row r="243" spans="1:35" ht="25.5" x14ac:dyDescent="0.25">
      <c r="A243" s="89" t="s">
        <v>868</v>
      </c>
      <c r="B243" s="89" t="s">
        <v>209</v>
      </c>
      <c r="C243" s="89" t="str">
        <f t="shared" si="4"/>
        <v>A.13.1.2 243</v>
      </c>
      <c r="D243" s="90" t="s">
        <v>14</v>
      </c>
      <c r="E243" s="89" t="s">
        <v>13</v>
      </c>
      <c r="F243" s="91" t="s">
        <v>216</v>
      </c>
      <c r="G243" s="91"/>
      <c r="H243" s="91"/>
      <c r="I243" s="91"/>
      <c r="K243" s="89" t="s">
        <v>305</v>
      </c>
      <c r="L243" s="89" t="s">
        <v>305</v>
      </c>
      <c r="M243" s="89" t="s">
        <v>17</v>
      </c>
      <c r="N243" s="89" t="s">
        <v>17</v>
      </c>
      <c r="O243" s="89" t="s">
        <v>305</v>
      </c>
      <c r="P243" s="89" t="s">
        <v>305</v>
      </c>
      <c r="Q243" s="98" t="s">
        <v>10</v>
      </c>
      <c r="R243" s="98" t="s">
        <v>10</v>
      </c>
      <c r="S243" s="98"/>
      <c r="T243" s="98" t="s">
        <v>10</v>
      </c>
      <c r="U243" s="98" t="s">
        <v>17</v>
      </c>
      <c r="V243" s="89" t="s">
        <v>10</v>
      </c>
      <c r="W243" s="89" t="s">
        <v>305</v>
      </c>
      <c r="X243" s="98" t="s">
        <v>10</v>
      </c>
      <c r="AH243" s="89" t="str">
        <f>IFERROR(VLOOKUP($Y243,#REF!,AH$1,FALSE),"")</f>
        <v/>
      </c>
      <c r="AI243" s="89" t="str">
        <f>IFERROR(VLOOKUP($Y243,#REF!,AI$1,FALSE),"")</f>
        <v/>
      </c>
    </row>
    <row r="244" spans="1:35" ht="25.5" x14ac:dyDescent="0.25">
      <c r="A244" s="89" t="s">
        <v>868</v>
      </c>
      <c r="B244" s="89" t="s">
        <v>209</v>
      </c>
      <c r="C244" s="89" t="str">
        <f t="shared" si="4"/>
        <v>A.13.1.2 244</v>
      </c>
      <c r="D244" s="90" t="s">
        <v>15</v>
      </c>
      <c r="E244" s="89" t="s">
        <v>8</v>
      </c>
      <c r="F244" s="91" t="s">
        <v>212</v>
      </c>
      <c r="G244" s="91"/>
      <c r="H244" s="91"/>
      <c r="I244" s="91"/>
      <c r="K244" s="89" t="s">
        <v>305</v>
      </c>
      <c r="L244" s="89" t="s">
        <v>305</v>
      </c>
      <c r="M244" s="89" t="s">
        <v>17</v>
      </c>
      <c r="N244" s="89" t="s">
        <v>17</v>
      </c>
      <c r="O244" s="89" t="s">
        <v>305</v>
      </c>
      <c r="P244" s="89" t="s">
        <v>305</v>
      </c>
      <c r="Q244" s="98" t="s">
        <v>10</v>
      </c>
      <c r="R244" s="98" t="s">
        <v>10</v>
      </c>
      <c r="S244" s="98"/>
      <c r="T244" s="98" t="s">
        <v>10</v>
      </c>
      <c r="U244" s="98" t="s">
        <v>17</v>
      </c>
      <c r="V244" s="89" t="s">
        <v>10</v>
      </c>
      <c r="W244" s="89" t="s">
        <v>305</v>
      </c>
      <c r="X244" s="98" t="s">
        <v>10</v>
      </c>
      <c r="AH244" s="89" t="str">
        <f>IFERROR(VLOOKUP($Y244,#REF!,AH$1,FALSE),"")</f>
        <v/>
      </c>
      <c r="AI244" s="89" t="str">
        <f>IFERROR(VLOOKUP($Y244,#REF!,AI$1,FALSE),"")</f>
        <v/>
      </c>
    </row>
    <row r="245" spans="1:35" ht="38.25" x14ac:dyDescent="0.25">
      <c r="A245" s="89" t="s">
        <v>868</v>
      </c>
      <c r="B245" s="89" t="s">
        <v>209</v>
      </c>
      <c r="C245" s="89" t="str">
        <f t="shared" si="4"/>
        <v>A.13.1.2 245</v>
      </c>
      <c r="D245" s="90" t="s">
        <v>28</v>
      </c>
      <c r="E245" s="89" t="s">
        <v>8</v>
      </c>
      <c r="F245" s="91" t="s">
        <v>213</v>
      </c>
      <c r="G245" s="91"/>
      <c r="H245" s="91"/>
      <c r="I245" s="91"/>
      <c r="K245" s="89" t="s">
        <v>305</v>
      </c>
      <c r="L245" s="89" t="s">
        <v>305</v>
      </c>
      <c r="M245" s="89" t="s">
        <v>17</v>
      </c>
      <c r="N245" s="89" t="s">
        <v>17</v>
      </c>
      <c r="O245" s="89" t="s">
        <v>305</v>
      </c>
      <c r="P245" s="89" t="s">
        <v>305</v>
      </c>
      <c r="Q245" s="98" t="s">
        <v>10</v>
      </c>
      <c r="R245" s="98" t="s">
        <v>10</v>
      </c>
      <c r="S245" s="98"/>
      <c r="T245" s="98" t="s">
        <v>10</v>
      </c>
      <c r="U245" s="98" t="s">
        <v>17</v>
      </c>
      <c r="V245" s="89" t="s">
        <v>10</v>
      </c>
      <c r="W245" s="89" t="s">
        <v>305</v>
      </c>
      <c r="X245" s="98" t="s">
        <v>10</v>
      </c>
      <c r="AH245" s="89" t="str">
        <f>IFERROR(VLOOKUP($Y245,#REF!,AH$1,FALSE),"")</f>
        <v/>
      </c>
      <c r="AI245" s="89" t="str">
        <f>IFERROR(VLOOKUP($Y245,#REF!,AI$1,FALSE),"")</f>
        <v/>
      </c>
    </row>
    <row r="246" spans="1:35" ht="38.25" x14ac:dyDescent="0.25">
      <c r="A246" s="89" t="s">
        <v>868</v>
      </c>
      <c r="B246" s="89" t="s">
        <v>209</v>
      </c>
      <c r="C246" s="89" t="str">
        <f t="shared" si="4"/>
        <v>A.13.1.2 246</v>
      </c>
      <c r="D246" s="90" t="s">
        <v>32</v>
      </c>
      <c r="E246" s="89" t="s">
        <v>8</v>
      </c>
      <c r="F246" s="91" t="s">
        <v>214</v>
      </c>
      <c r="G246" s="91"/>
      <c r="H246" s="91"/>
      <c r="I246" s="91"/>
      <c r="K246" s="89" t="s">
        <v>305</v>
      </c>
      <c r="L246" s="89" t="s">
        <v>305</v>
      </c>
      <c r="M246" s="89" t="s">
        <v>17</v>
      </c>
      <c r="N246" s="89" t="s">
        <v>17</v>
      </c>
      <c r="O246" s="89" t="s">
        <v>305</v>
      </c>
      <c r="P246" s="89" t="s">
        <v>305</v>
      </c>
      <c r="Q246" s="98" t="s">
        <v>10</v>
      </c>
      <c r="R246" s="98" t="s">
        <v>10</v>
      </c>
      <c r="S246" s="98"/>
      <c r="T246" s="98" t="s">
        <v>10</v>
      </c>
      <c r="U246" s="98" t="s">
        <v>17</v>
      </c>
      <c r="V246" s="89" t="s">
        <v>10</v>
      </c>
      <c r="W246" s="89" t="s">
        <v>305</v>
      </c>
      <c r="X246" s="98" t="s">
        <v>10</v>
      </c>
      <c r="AH246" s="89" t="str">
        <f>IFERROR(VLOOKUP($Y246,#REF!,AH$1,FALSE),"")</f>
        <v/>
      </c>
      <c r="AI246" s="89" t="str">
        <f>IFERROR(VLOOKUP($Y246,#REF!,AI$1,FALSE),"")</f>
        <v/>
      </c>
    </row>
    <row r="247" spans="1:35" ht="38.25" x14ac:dyDescent="0.25">
      <c r="A247" s="89" t="s">
        <v>868</v>
      </c>
      <c r="B247" s="89" t="s">
        <v>209</v>
      </c>
      <c r="C247" s="89" t="str">
        <f t="shared" si="4"/>
        <v>A.13.1.2 247</v>
      </c>
      <c r="D247" s="90" t="s">
        <v>30</v>
      </c>
      <c r="E247" s="89" t="s">
        <v>13</v>
      </c>
      <c r="F247" s="91" t="s">
        <v>217</v>
      </c>
      <c r="G247" s="91"/>
      <c r="H247" s="91"/>
      <c r="I247" s="91"/>
      <c r="K247" s="89" t="s">
        <v>305</v>
      </c>
      <c r="L247" s="89" t="s">
        <v>305</v>
      </c>
      <c r="M247" s="89" t="s">
        <v>17</v>
      </c>
      <c r="N247" s="89" t="s">
        <v>17</v>
      </c>
      <c r="O247" s="89" t="s">
        <v>305</v>
      </c>
      <c r="P247" s="89" t="s">
        <v>305</v>
      </c>
      <c r="Q247" s="98" t="s">
        <v>10</v>
      </c>
      <c r="R247" s="98" t="s">
        <v>10</v>
      </c>
      <c r="S247" s="98"/>
      <c r="T247" s="98" t="s">
        <v>10</v>
      </c>
      <c r="U247" s="98" t="s">
        <v>17</v>
      </c>
      <c r="V247" s="89" t="s">
        <v>10</v>
      </c>
      <c r="W247" s="89" t="s">
        <v>305</v>
      </c>
      <c r="X247" s="98" t="s">
        <v>10</v>
      </c>
      <c r="AH247" s="89" t="str">
        <f>IFERROR(VLOOKUP($Y247,#REF!,AH$1,FALSE),"")</f>
        <v/>
      </c>
      <c r="AI247" s="89" t="str">
        <f>IFERROR(VLOOKUP($Y247,#REF!,AI$1,FALSE),"")</f>
        <v/>
      </c>
    </row>
    <row r="248" spans="1:35" x14ac:dyDescent="0.25">
      <c r="A248" s="89" t="s">
        <v>868</v>
      </c>
      <c r="B248" s="89" t="s">
        <v>219</v>
      </c>
      <c r="C248" s="89" t="str">
        <f t="shared" si="4"/>
        <v>A.13.1.3 248</v>
      </c>
      <c r="D248" s="90" t="s">
        <v>612</v>
      </c>
      <c r="E248" s="89" t="s">
        <v>309</v>
      </c>
      <c r="F248" s="91" t="s">
        <v>222</v>
      </c>
      <c r="G248" s="20" t="s">
        <v>648</v>
      </c>
      <c r="H248" s="91"/>
      <c r="I248" s="91"/>
      <c r="K248" s="89" t="s">
        <v>305</v>
      </c>
      <c r="L248" s="89" t="s">
        <v>305</v>
      </c>
      <c r="M248" s="89" t="s">
        <v>17</v>
      </c>
      <c r="N248" s="89" t="s">
        <v>17</v>
      </c>
      <c r="O248" s="89" t="s">
        <v>305</v>
      </c>
      <c r="P248" s="89" t="s">
        <v>305</v>
      </c>
      <c r="Q248" s="98" t="s">
        <v>17</v>
      </c>
      <c r="R248" s="98" t="s">
        <v>17</v>
      </c>
      <c r="S248" s="98"/>
      <c r="T248" s="98" t="s">
        <v>10</v>
      </c>
      <c r="U248" s="98"/>
      <c r="W248" s="89" t="s">
        <v>305</v>
      </c>
      <c r="X248" s="98" t="s">
        <v>17</v>
      </c>
      <c r="Y248" s="96"/>
      <c r="AH248" s="89" t="str">
        <f>IFERROR(VLOOKUP($Y248,#REF!,AH$1,FALSE),"")</f>
        <v/>
      </c>
      <c r="AI248" s="89" t="str">
        <f>IFERROR(VLOOKUP($Y248,#REF!,AI$1,FALSE),"")</f>
        <v/>
      </c>
    </row>
    <row r="249" spans="1:35" x14ac:dyDescent="0.25">
      <c r="A249" s="89" t="s">
        <v>868</v>
      </c>
      <c r="B249" s="89" t="s">
        <v>219</v>
      </c>
      <c r="C249" s="89" t="str">
        <f t="shared" si="4"/>
        <v>A.13.1.3 249</v>
      </c>
      <c r="D249" s="90" t="s">
        <v>9</v>
      </c>
      <c r="E249" s="89" t="s">
        <v>13</v>
      </c>
      <c r="F249" s="91" t="s">
        <v>221</v>
      </c>
      <c r="G249" s="91"/>
      <c r="H249" s="91"/>
      <c r="I249" s="91"/>
      <c r="K249" s="89" t="s">
        <v>305</v>
      </c>
      <c r="L249" s="89" t="s">
        <v>305</v>
      </c>
      <c r="M249" s="89" t="s">
        <v>17</v>
      </c>
      <c r="N249" s="89" t="s">
        <v>17</v>
      </c>
      <c r="O249" s="89" t="s">
        <v>305</v>
      </c>
      <c r="P249" s="89" t="s">
        <v>305</v>
      </c>
      <c r="Q249" s="98" t="s">
        <v>17</v>
      </c>
      <c r="R249" s="98" t="s">
        <v>17</v>
      </c>
      <c r="S249" s="98"/>
      <c r="T249" s="98" t="s">
        <v>10</v>
      </c>
      <c r="U249" s="98"/>
      <c r="V249" s="89" t="s">
        <v>10</v>
      </c>
      <c r="W249" s="89" t="s">
        <v>305</v>
      </c>
      <c r="X249" s="98" t="s">
        <v>17</v>
      </c>
      <c r="AH249" s="89" t="str">
        <f>IFERROR(VLOOKUP($Y249,#REF!,AH$1,FALSE),"")</f>
        <v/>
      </c>
      <c r="AI249" s="89" t="str">
        <f>IFERROR(VLOOKUP($Y249,#REF!,AI$1,FALSE),"")</f>
        <v/>
      </c>
    </row>
    <row r="250" spans="1:35" ht="25.5" x14ac:dyDescent="0.25">
      <c r="A250" s="89" t="s">
        <v>868</v>
      </c>
      <c r="B250" s="89" t="s">
        <v>219</v>
      </c>
      <c r="C250" s="89" t="str">
        <f t="shared" si="4"/>
        <v>A.13.1.3 250</v>
      </c>
      <c r="D250" s="90" t="s">
        <v>601</v>
      </c>
      <c r="E250" s="89" t="s">
        <v>8</v>
      </c>
      <c r="F250" s="91" t="s">
        <v>575</v>
      </c>
      <c r="G250" s="91" t="s">
        <v>574</v>
      </c>
      <c r="H250" s="91"/>
      <c r="I250" s="91"/>
      <c r="K250" s="89" t="s">
        <v>305</v>
      </c>
      <c r="L250" s="89" t="s">
        <v>305</v>
      </c>
      <c r="M250" s="89" t="s">
        <v>17</v>
      </c>
      <c r="N250" s="89" t="s">
        <v>17</v>
      </c>
      <c r="O250" s="89" t="s">
        <v>305</v>
      </c>
      <c r="P250" s="89" t="s">
        <v>305</v>
      </c>
      <c r="Q250" s="98" t="s">
        <v>17</v>
      </c>
      <c r="R250" s="98" t="s">
        <v>17</v>
      </c>
      <c r="S250" s="98"/>
      <c r="T250" s="98" t="s">
        <v>10</v>
      </c>
      <c r="U250" s="98"/>
      <c r="V250" s="89" t="s">
        <v>17</v>
      </c>
      <c r="W250" s="89" t="s">
        <v>305</v>
      </c>
      <c r="X250" s="98" t="s">
        <v>17</v>
      </c>
      <c r="Y250" s="95"/>
      <c r="AH250" s="89" t="str">
        <f>IFERROR(VLOOKUP($Y250,#REF!,AH$1,FALSE),"")</f>
        <v/>
      </c>
      <c r="AI250" s="89" t="str">
        <f>IFERROR(VLOOKUP($Y250,#REF!,AI$1,FALSE),"")</f>
        <v/>
      </c>
    </row>
    <row r="251" spans="1:35" ht="38.25" x14ac:dyDescent="0.25">
      <c r="A251" s="89" t="s">
        <v>868</v>
      </c>
      <c r="B251" s="89" t="s">
        <v>219</v>
      </c>
      <c r="C251" s="89" t="str">
        <f t="shared" si="4"/>
        <v>A.13.1.3 251</v>
      </c>
      <c r="D251" s="90" t="s">
        <v>12</v>
      </c>
      <c r="E251" s="89" t="s">
        <v>8</v>
      </c>
      <c r="F251" s="91" t="s">
        <v>220</v>
      </c>
      <c r="G251" s="91"/>
      <c r="H251" s="91"/>
      <c r="I251" s="91"/>
      <c r="K251" s="89" t="s">
        <v>305</v>
      </c>
      <c r="L251" s="89" t="s">
        <v>305</v>
      </c>
      <c r="M251" s="89" t="s">
        <v>17</v>
      </c>
      <c r="N251" s="89" t="s">
        <v>17</v>
      </c>
      <c r="O251" s="89" t="s">
        <v>305</v>
      </c>
      <c r="P251" s="89" t="s">
        <v>305</v>
      </c>
      <c r="Q251" s="98" t="s">
        <v>17</v>
      </c>
      <c r="R251" s="98" t="s">
        <v>17</v>
      </c>
      <c r="S251" s="98"/>
      <c r="T251" s="98" t="s">
        <v>10</v>
      </c>
      <c r="U251" s="98"/>
      <c r="V251" s="89" t="s">
        <v>10</v>
      </c>
      <c r="W251" s="89" t="s">
        <v>305</v>
      </c>
      <c r="X251" s="98" t="s">
        <v>17</v>
      </c>
      <c r="AH251" s="89" t="str">
        <f>IFERROR(VLOOKUP($Y251,#REF!,AH$1,FALSE),"")</f>
        <v/>
      </c>
      <c r="AI251" s="89" t="str">
        <f>IFERROR(VLOOKUP($Y251,#REF!,AI$1,FALSE),"")</f>
        <v/>
      </c>
    </row>
    <row r="252" spans="1:35" ht="25.5" x14ac:dyDescent="0.25">
      <c r="A252" s="89" t="s">
        <v>868</v>
      </c>
      <c r="B252" s="89" t="s">
        <v>219</v>
      </c>
      <c r="C252" s="89" t="str">
        <f t="shared" si="4"/>
        <v>A.13.1.3 252</v>
      </c>
      <c r="D252" s="90" t="s">
        <v>14</v>
      </c>
      <c r="E252" s="89" t="s">
        <v>8</v>
      </c>
      <c r="F252" s="91" t="s">
        <v>678</v>
      </c>
      <c r="G252" s="91"/>
      <c r="H252" s="91"/>
      <c r="I252" s="91"/>
      <c r="K252" s="89" t="s">
        <v>305</v>
      </c>
      <c r="L252" s="89" t="s">
        <v>305</v>
      </c>
      <c r="M252" s="89" t="s">
        <v>17</v>
      </c>
      <c r="N252" s="89" t="s">
        <v>17</v>
      </c>
      <c r="O252" s="89" t="s">
        <v>305</v>
      </c>
      <c r="P252" s="89" t="s">
        <v>305</v>
      </c>
      <c r="Q252" s="98" t="s">
        <v>17</v>
      </c>
      <c r="R252" s="98" t="s">
        <v>17</v>
      </c>
      <c r="S252" s="98"/>
      <c r="T252" s="98" t="s">
        <v>10</v>
      </c>
      <c r="U252" s="98"/>
      <c r="V252" s="89" t="s">
        <v>10</v>
      </c>
      <c r="W252" s="89" t="s">
        <v>305</v>
      </c>
      <c r="X252" s="98" t="s">
        <v>17</v>
      </c>
      <c r="AH252" s="89" t="str">
        <f>IFERROR(VLOOKUP($Y252,#REF!,AH$1,FALSE),"")</f>
        <v/>
      </c>
      <c r="AI252" s="89" t="str">
        <f>IFERROR(VLOOKUP($Y252,#REF!,AI$1,FALSE),"")</f>
        <v/>
      </c>
    </row>
    <row r="253" spans="1:35" ht="25.5" x14ac:dyDescent="0.25">
      <c r="A253" s="89" t="s">
        <v>868</v>
      </c>
      <c r="B253" s="89" t="s">
        <v>219</v>
      </c>
      <c r="C253" s="89" t="str">
        <f t="shared" si="4"/>
        <v>A.13.1.3 253</v>
      </c>
      <c r="D253" s="90" t="s">
        <v>15</v>
      </c>
      <c r="E253" s="89" t="s">
        <v>13</v>
      </c>
      <c r="F253" s="91" t="s">
        <v>169</v>
      </c>
      <c r="G253" s="91"/>
      <c r="H253" s="91"/>
      <c r="I253" s="91"/>
      <c r="K253" s="89" t="s">
        <v>305</v>
      </c>
      <c r="L253" s="89" t="s">
        <v>305</v>
      </c>
      <c r="M253" s="89" t="s">
        <v>17</v>
      </c>
      <c r="N253" s="89" t="s">
        <v>17</v>
      </c>
      <c r="O253" s="89" t="s">
        <v>305</v>
      </c>
      <c r="P253" s="89" t="s">
        <v>305</v>
      </c>
      <c r="Q253" s="98" t="s">
        <v>17</v>
      </c>
      <c r="R253" s="98" t="s">
        <v>17</v>
      </c>
      <c r="S253" s="98"/>
      <c r="T253" s="98" t="s">
        <v>10</v>
      </c>
      <c r="U253" s="98"/>
      <c r="V253" s="89" t="s">
        <v>10</v>
      </c>
      <c r="W253" s="89" t="s">
        <v>305</v>
      </c>
      <c r="X253" s="98" t="s">
        <v>17</v>
      </c>
      <c r="AH253" s="89" t="str">
        <f>IFERROR(VLOOKUP($Y253,#REF!,AH$1,FALSE),"")</f>
        <v/>
      </c>
      <c r="AI253" s="89" t="str">
        <f>IFERROR(VLOOKUP($Y253,#REF!,AI$1,FALSE),"")</f>
        <v/>
      </c>
    </row>
    <row r="254" spans="1:35" x14ac:dyDescent="0.25">
      <c r="A254" s="89" t="s">
        <v>868</v>
      </c>
      <c r="B254" s="89" t="s">
        <v>223</v>
      </c>
      <c r="C254" s="89" t="str">
        <f t="shared" si="4"/>
        <v>A.13.2.4 254</v>
      </c>
      <c r="D254" s="90" t="s">
        <v>612</v>
      </c>
      <c r="E254" s="89" t="s">
        <v>309</v>
      </c>
      <c r="F254" s="91" t="s">
        <v>314</v>
      </c>
      <c r="G254" s="91"/>
      <c r="H254" s="91"/>
      <c r="I254" s="91"/>
      <c r="K254" s="89" t="s">
        <v>17</v>
      </c>
      <c r="L254" s="89" t="s">
        <v>305</v>
      </c>
      <c r="M254" s="89" t="s">
        <v>305</v>
      </c>
      <c r="N254" s="89" t="s">
        <v>17</v>
      </c>
      <c r="O254" s="89" t="s">
        <v>305</v>
      </c>
      <c r="P254" s="89" t="s">
        <v>305</v>
      </c>
      <c r="Q254" s="98" t="s">
        <v>17</v>
      </c>
      <c r="R254" s="98" t="s">
        <v>17</v>
      </c>
      <c r="S254" s="98"/>
      <c r="T254" s="98" t="s">
        <v>10</v>
      </c>
      <c r="U254" s="98"/>
      <c r="V254" s="89" t="s">
        <v>10</v>
      </c>
      <c r="W254" s="89" t="s">
        <v>305</v>
      </c>
      <c r="X254" s="98" t="s">
        <v>17</v>
      </c>
      <c r="Y254" s="96"/>
      <c r="AH254" s="89" t="str">
        <f>IFERROR(VLOOKUP($Y254,#REF!,AH$1,FALSE),"")</f>
        <v/>
      </c>
      <c r="AI254" s="89" t="str">
        <f>IFERROR(VLOOKUP($Y254,#REF!,AI$1,FALSE),"")</f>
        <v/>
      </c>
    </row>
    <row r="255" spans="1:35" ht="25.5" x14ac:dyDescent="0.25">
      <c r="A255" s="89" t="s">
        <v>868</v>
      </c>
      <c r="B255" s="89" t="s">
        <v>223</v>
      </c>
      <c r="C255" s="89" t="str">
        <f t="shared" si="4"/>
        <v>A.13.2.4 255</v>
      </c>
      <c r="D255" s="90" t="s">
        <v>9</v>
      </c>
      <c r="E255" s="89" t="s">
        <v>13</v>
      </c>
      <c r="F255" s="91" t="s">
        <v>224</v>
      </c>
      <c r="G255" s="91"/>
      <c r="H255" s="91"/>
      <c r="I255" s="91"/>
      <c r="K255" s="89" t="s">
        <v>17</v>
      </c>
      <c r="L255" s="89" t="s">
        <v>305</v>
      </c>
      <c r="M255" s="89" t="s">
        <v>305</v>
      </c>
      <c r="N255" s="89" t="s">
        <v>17</v>
      </c>
      <c r="O255" s="89" t="s">
        <v>305</v>
      </c>
      <c r="P255" s="89" t="s">
        <v>305</v>
      </c>
      <c r="Q255" s="98" t="s">
        <v>17</v>
      </c>
      <c r="R255" s="98" t="s">
        <v>17</v>
      </c>
      <c r="S255" s="98"/>
      <c r="T255" s="98" t="s">
        <v>10</v>
      </c>
      <c r="U255" s="98"/>
      <c r="V255" s="89" t="s">
        <v>10</v>
      </c>
      <c r="W255" s="89" t="s">
        <v>305</v>
      </c>
      <c r="X255" s="98" t="s">
        <v>17</v>
      </c>
      <c r="AH255" s="89" t="str">
        <f>IFERROR(VLOOKUP($Y255,#REF!,AH$1,FALSE),"")</f>
        <v/>
      </c>
      <c r="AI255" s="89" t="str">
        <f>IFERROR(VLOOKUP($Y255,#REF!,AI$1,FALSE),"")</f>
        <v/>
      </c>
    </row>
    <row r="256" spans="1:35" ht="38.25" x14ac:dyDescent="0.25">
      <c r="A256" s="89" t="s">
        <v>868</v>
      </c>
      <c r="B256" s="89" t="s">
        <v>225</v>
      </c>
      <c r="C256" s="89" t="str">
        <f t="shared" si="4"/>
        <v>A.14.1.1 256</v>
      </c>
      <c r="D256" s="90" t="s">
        <v>612</v>
      </c>
      <c r="E256" s="89" t="s">
        <v>309</v>
      </c>
      <c r="F256" s="91" t="s">
        <v>228</v>
      </c>
      <c r="G256" s="20" t="s">
        <v>649</v>
      </c>
      <c r="H256" s="91"/>
      <c r="I256" s="91"/>
      <c r="K256" s="89" t="s">
        <v>17</v>
      </c>
      <c r="L256" s="89" t="s">
        <v>17</v>
      </c>
      <c r="M256" s="89" t="s">
        <v>17</v>
      </c>
      <c r="N256" s="89" t="s">
        <v>17</v>
      </c>
      <c r="O256" s="89" t="s">
        <v>305</v>
      </c>
      <c r="P256" s="89" t="s">
        <v>305</v>
      </c>
      <c r="Q256" s="89" t="s">
        <v>17</v>
      </c>
      <c r="R256" s="89" t="s">
        <v>17</v>
      </c>
      <c r="S256" s="89" t="s">
        <v>17</v>
      </c>
      <c r="T256" s="89" t="s">
        <v>17</v>
      </c>
      <c r="U256" s="89" t="s">
        <v>17</v>
      </c>
      <c r="V256" s="89" t="s">
        <v>10</v>
      </c>
      <c r="W256" s="89" t="s">
        <v>305</v>
      </c>
      <c r="X256" s="89" t="s">
        <v>17</v>
      </c>
      <c r="Y256" s="96"/>
      <c r="AH256" s="89" t="str">
        <f>IFERROR(VLOOKUP($Y256,#REF!,AH$1,FALSE),"")</f>
        <v/>
      </c>
      <c r="AI256" s="89" t="str">
        <f>IFERROR(VLOOKUP($Y256,#REF!,AI$1,FALSE),"")</f>
        <v/>
      </c>
    </row>
    <row r="257" spans="1:35" ht="25.5" x14ac:dyDescent="0.25">
      <c r="A257" s="89" t="s">
        <v>868</v>
      </c>
      <c r="B257" s="89" t="s">
        <v>225</v>
      </c>
      <c r="C257" s="89" t="str">
        <f t="shared" ref="C257:C320" si="5">CONCATENATE(B257," ",TEXT(ROW(B257),"000"))</f>
        <v>A.14.1.1 257</v>
      </c>
      <c r="D257" s="90" t="s">
        <v>9</v>
      </c>
      <c r="E257" s="89" t="s">
        <v>8</v>
      </c>
      <c r="F257" s="91" t="s">
        <v>226</v>
      </c>
      <c r="G257" s="91"/>
      <c r="H257" s="91"/>
      <c r="I257" s="91"/>
      <c r="K257" s="89" t="s">
        <v>17</v>
      </c>
      <c r="L257" s="89" t="s">
        <v>17</v>
      </c>
      <c r="M257" s="89" t="s">
        <v>17</v>
      </c>
      <c r="N257" s="89" t="s">
        <v>17</v>
      </c>
      <c r="O257" s="89" t="s">
        <v>305</v>
      </c>
      <c r="P257" s="89" t="s">
        <v>305</v>
      </c>
      <c r="Q257" s="89" t="s">
        <v>17</v>
      </c>
      <c r="R257" s="89" t="s">
        <v>17</v>
      </c>
      <c r="S257" s="89" t="s">
        <v>17</v>
      </c>
      <c r="T257" s="89" t="s">
        <v>17</v>
      </c>
      <c r="U257" s="89" t="s">
        <v>17</v>
      </c>
      <c r="V257" s="89" t="s">
        <v>10</v>
      </c>
      <c r="W257" s="89" t="s">
        <v>305</v>
      </c>
      <c r="X257" s="89" t="s">
        <v>17</v>
      </c>
      <c r="AH257" s="89" t="str">
        <f>IFERROR(VLOOKUP($Y257,#REF!,AH$1,FALSE),"")</f>
        <v/>
      </c>
      <c r="AI257" s="89" t="str">
        <f>IFERROR(VLOOKUP($Y257,#REF!,AI$1,FALSE),"")</f>
        <v/>
      </c>
    </row>
    <row r="258" spans="1:35" ht="38.25" x14ac:dyDescent="0.25">
      <c r="A258" s="89" t="s">
        <v>868</v>
      </c>
      <c r="B258" s="89" t="s">
        <v>225</v>
      </c>
      <c r="C258" s="89" t="str">
        <f t="shared" si="5"/>
        <v>A.14.1.1 258</v>
      </c>
      <c r="D258" s="90" t="s">
        <v>11</v>
      </c>
      <c r="E258" s="89" t="s">
        <v>8</v>
      </c>
      <c r="F258" s="91" t="s">
        <v>227</v>
      </c>
      <c r="G258" s="91"/>
      <c r="H258" s="91"/>
      <c r="I258" s="91"/>
      <c r="K258" s="89" t="s">
        <v>17</v>
      </c>
      <c r="L258" s="89" t="s">
        <v>17</v>
      </c>
      <c r="M258" s="89" t="s">
        <v>17</v>
      </c>
      <c r="N258" s="89" t="s">
        <v>17</v>
      </c>
      <c r="O258" s="89" t="s">
        <v>305</v>
      </c>
      <c r="P258" s="89" t="s">
        <v>305</v>
      </c>
      <c r="Q258" s="89" t="s">
        <v>17</v>
      </c>
      <c r="R258" s="89" t="s">
        <v>10</v>
      </c>
      <c r="S258" s="89" t="s">
        <v>10</v>
      </c>
      <c r="T258" s="89" t="s">
        <v>10</v>
      </c>
      <c r="U258" s="89" t="s">
        <v>10</v>
      </c>
      <c r="V258" s="89" t="s">
        <v>10</v>
      </c>
      <c r="W258" s="89" t="s">
        <v>305</v>
      </c>
      <c r="X258" s="89" t="s">
        <v>10</v>
      </c>
      <c r="AH258" s="89" t="str">
        <f>IFERROR(VLOOKUP($Y258,#REF!,AH$1,FALSE),"")</f>
        <v/>
      </c>
      <c r="AI258" s="89" t="str">
        <f>IFERROR(VLOOKUP($Y258,#REF!,AI$1,FALSE),"")</f>
        <v/>
      </c>
    </row>
    <row r="259" spans="1:35" ht="25.5" x14ac:dyDescent="0.25">
      <c r="A259" s="89" t="s">
        <v>868</v>
      </c>
      <c r="B259" s="89" t="s">
        <v>229</v>
      </c>
      <c r="C259" s="89" t="str">
        <f t="shared" si="5"/>
        <v>A.14.2.1 259</v>
      </c>
      <c r="D259" s="90" t="s">
        <v>612</v>
      </c>
      <c r="E259" s="89" t="s">
        <v>309</v>
      </c>
      <c r="F259" s="91" t="s">
        <v>268</v>
      </c>
      <c r="G259" s="20" t="s">
        <v>650</v>
      </c>
      <c r="H259" s="91"/>
      <c r="I259" s="91"/>
      <c r="K259" s="89" t="s">
        <v>17</v>
      </c>
      <c r="L259" s="89" t="s">
        <v>17</v>
      </c>
      <c r="M259" s="89" t="s">
        <v>17</v>
      </c>
      <c r="N259" s="89" t="s">
        <v>17</v>
      </c>
      <c r="O259" s="89" t="s">
        <v>305</v>
      </c>
      <c r="P259" s="89" t="s">
        <v>305</v>
      </c>
      <c r="Q259" s="89" t="s">
        <v>10</v>
      </c>
      <c r="R259" s="89" t="s">
        <v>17</v>
      </c>
      <c r="S259" s="89" t="s">
        <v>17</v>
      </c>
      <c r="T259" s="89" t="s">
        <v>17</v>
      </c>
      <c r="U259" s="89" t="s">
        <v>17</v>
      </c>
      <c r="V259" s="89" t="s">
        <v>10</v>
      </c>
      <c r="W259" s="89" t="s">
        <v>305</v>
      </c>
      <c r="X259" s="89" t="s">
        <v>17</v>
      </c>
      <c r="Y259" s="96"/>
      <c r="AH259" s="89" t="str">
        <f>IFERROR(VLOOKUP($Y259,#REF!,AH$1,FALSE),"")</f>
        <v/>
      </c>
      <c r="AI259" s="89" t="str">
        <f>IFERROR(VLOOKUP($Y259,#REF!,AI$1,FALSE),"")</f>
        <v/>
      </c>
    </row>
    <row r="260" spans="1:35" ht="25.5" x14ac:dyDescent="0.25">
      <c r="A260" s="89" t="s">
        <v>868</v>
      </c>
      <c r="B260" s="89" t="s">
        <v>229</v>
      </c>
      <c r="C260" s="89" t="str">
        <f t="shared" si="5"/>
        <v>A.14.2.1 260</v>
      </c>
      <c r="D260" s="90" t="s">
        <v>9</v>
      </c>
      <c r="E260" s="89" t="s">
        <v>8</v>
      </c>
      <c r="F260" s="91" t="s">
        <v>230</v>
      </c>
      <c r="G260" s="91"/>
      <c r="H260" s="91"/>
      <c r="I260" s="91"/>
      <c r="K260" s="89" t="s">
        <v>17</v>
      </c>
      <c r="L260" s="89" t="s">
        <v>17</v>
      </c>
      <c r="M260" s="89" t="s">
        <v>17</v>
      </c>
      <c r="N260" s="89" t="s">
        <v>17</v>
      </c>
      <c r="O260" s="89" t="s">
        <v>305</v>
      </c>
      <c r="P260" s="89" t="s">
        <v>305</v>
      </c>
      <c r="Q260" s="89" t="s">
        <v>10</v>
      </c>
      <c r="R260" s="89" t="s">
        <v>17</v>
      </c>
      <c r="S260" s="89" t="s">
        <v>17</v>
      </c>
      <c r="T260" s="89" t="s">
        <v>17</v>
      </c>
      <c r="U260" s="89" t="s">
        <v>17</v>
      </c>
      <c r="V260" s="89" t="s">
        <v>10</v>
      </c>
      <c r="W260" s="89" t="s">
        <v>305</v>
      </c>
      <c r="X260" s="89" t="s">
        <v>17</v>
      </c>
      <c r="AH260" s="89" t="str">
        <f>IFERROR(VLOOKUP($Y260,#REF!,AH$1,FALSE),"")</f>
        <v/>
      </c>
      <c r="AI260" s="89" t="str">
        <f>IFERROR(VLOOKUP($Y260,#REF!,AI$1,FALSE),"")</f>
        <v/>
      </c>
    </row>
    <row r="261" spans="1:35" ht="38.25" x14ac:dyDescent="0.25">
      <c r="A261" s="89" t="s">
        <v>868</v>
      </c>
      <c r="B261" s="89" t="s">
        <v>229</v>
      </c>
      <c r="C261" s="89" t="str">
        <f t="shared" si="5"/>
        <v>A.14.2.1 261</v>
      </c>
      <c r="D261" s="90" t="s">
        <v>81</v>
      </c>
      <c r="E261" s="89" t="s">
        <v>8</v>
      </c>
      <c r="F261" s="91" t="s">
        <v>231</v>
      </c>
      <c r="G261" s="91"/>
      <c r="H261" s="91"/>
      <c r="I261" s="91"/>
      <c r="K261" s="89" t="s">
        <v>17</v>
      </c>
      <c r="L261" s="89" t="s">
        <v>17</v>
      </c>
      <c r="M261" s="89" t="s">
        <v>17</v>
      </c>
      <c r="N261" s="89" t="s">
        <v>17</v>
      </c>
      <c r="O261" s="89" t="s">
        <v>305</v>
      </c>
      <c r="P261" s="89" t="s">
        <v>305</v>
      </c>
      <c r="Q261" s="89" t="s">
        <v>10</v>
      </c>
      <c r="R261" s="89" t="s">
        <v>17</v>
      </c>
      <c r="S261" s="89" t="s">
        <v>17</v>
      </c>
      <c r="T261" s="89" t="s">
        <v>17</v>
      </c>
      <c r="U261" s="89" t="s">
        <v>17</v>
      </c>
      <c r="V261" s="89" t="s">
        <v>10</v>
      </c>
      <c r="W261" s="89" t="s">
        <v>305</v>
      </c>
      <c r="X261" s="89" t="s">
        <v>17</v>
      </c>
      <c r="AH261" s="89" t="str">
        <f>IFERROR(VLOOKUP($Y261,#REF!,AH$1,FALSE),"")</f>
        <v/>
      </c>
      <c r="AI261" s="89" t="str">
        <f>IFERROR(VLOOKUP($Y261,#REF!,AI$1,FALSE),"")</f>
        <v/>
      </c>
    </row>
    <row r="262" spans="1:35" ht="25.5" x14ac:dyDescent="0.25">
      <c r="A262" s="89" t="s">
        <v>868</v>
      </c>
      <c r="B262" s="89" t="s">
        <v>229</v>
      </c>
      <c r="C262" s="89" t="str">
        <f t="shared" si="5"/>
        <v>A.14.2.1 262</v>
      </c>
      <c r="D262" s="90" t="s">
        <v>82</v>
      </c>
      <c r="E262" s="89" t="s">
        <v>8</v>
      </c>
      <c r="F262" s="91" t="s">
        <v>232</v>
      </c>
      <c r="G262" s="91"/>
      <c r="H262" s="91"/>
      <c r="I262" s="91"/>
      <c r="K262" s="89" t="s">
        <v>17</v>
      </c>
      <c r="L262" s="89" t="s">
        <v>17</v>
      </c>
      <c r="M262" s="89" t="s">
        <v>17</v>
      </c>
      <c r="N262" s="89" t="s">
        <v>17</v>
      </c>
      <c r="O262" s="89" t="s">
        <v>305</v>
      </c>
      <c r="P262" s="89" t="s">
        <v>305</v>
      </c>
      <c r="Q262" s="89" t="s">
        <v>10</v>
      </c>
      <c r="R262" s="89" t="s">
        <v>17</v>
      </c>
      <c r="S262" s="89" t="s">
        <v>17</v>
      </c>
      <c r="T262" s="89" t="s">
        <v>17</v>
      </c>
      <c r="U262" s="89" t="s">
        <v>17</v>
      </c>
      <c r="V262" s="89" t="s">
        <v>10</v>
      </c>
      <c r="W262" s="89" t="s">
        <v>305</v>
      </c>
      <c r="X262" s="89" t="s">
        <v>17</v>
      </c>
      <c r="AH262" s="89" t="str">
        <f>IFERROR(VLOOKUP($Y262,#REF!,AH$1,FALSE),"")</f>
        <v/>
      </c>
      <c r="AI262" s="89" t="str">
        <f>IFERROR(VLOOKUP($Y262,#REF!,AI$1,FALSE),"")</f>
        <v/>
      </c>
    </row>
    <row r="263" spans="1:35" ht="38.25" x14ac:dyDescent="0.25">
      <c r="A263" s="89" t="s">
        <v>868</v>
      </c>
      <c r="B263" s="89" t="s">
        <v>229</v>
      </c>
      <c r="C263" s="89" t="str">
        <f t="shared" si="5"/>
        <v>A.14.2.1 263</v>
      </c>
      <c r="D263" s="90" t="s">
        <v>83</v>
      </c>
      <c r="E263" s="89" t="s">
        <v>8</v>
      </c>
      <c r="F263" s="91" t="s">
        <v>233</v>
      </c>
      <c r="G263" s="91"/>
      <c r="H263" s="91"/>
      <c r="I263" s="91"/>
      <c r="K263" s="89" t="s">
        <v>17</v>
      </c>
      <c r="L263" s="89" t="s">
        <v>17</v>
      </c>
      <c r="M263" s="89" t="s">
        <v>17</v>
      </c>
      <c r="N263" s="89" t="s">
        <v>17</v>
      </c>
      <c r="O263" s="89" t="s">
        <v>305</v>
      </c>
      <c r="P263" s="89" t="s">
        <v>305</v>
      </c>
      <c r="Q263" s="89" t="s">
        <v>10</v>
      </c>
      <c r="R263" s="89" t="s">
        <v>17</v>
      </c>
      <c r="S263" s="89" t="s">
        <v>17</v>
      </c>
      <c r="T263" s="89" t="s">
        <v>17</v>
      </c>
      <c r="U263" s="89" t="s">
        <v>17</v>
      </c>
      <c r="V263" s="89" t="s">
        <v>10</v>
      </c>
      <c r="W263" s="89" t="s">
        <v>305</v>
      </c>
      <c r="X263" s="89" t="s">
        <v>17</v>
      </c>
      <c r="AH263" s="89" t="str">
        <f>IFERROR(VLOOKUP($Y263,#REF!,AH$1,FALSE),"")</f>
        <v/>
      </c>
      <c r="AI263" s="89" t="str">
        <f>IFERROR(VLOOKUP($Y263,#REF!,AI$1,FALSE),"")</f>
        <v/>
      </c>
    </row>
    <row r="264" spans="1:35" ht="25.5" x14ac:dyDescent="0.25">
      <c r="A264" s="89" t="s">
        <v>868</v>
      </c>
      <c r="B264" s="89" t="s">
        <v>229</v>
      </c>
      <c r="C264" s="89" t="str">
        <f t="shared" si="5"/>
        <v>A.14.2.1 264</v>
      </c>
      <c r="D264" s="90" t="s">
        <v>106</v>
      </c>
      <c r="E264" s="89" t="s">
        <v>8</v>
      </c>
      <c r="F264" s="91" t="s">
        <v>234</v>
      </c>
      <c r="G264" s="91"/>
      <c r="H264" s="91"/>
      <c r="I264" s="91"/>
      <c r="K264" s="89" t="s">
        <v>17</v>
      </c>
      <c r="L264" s="89" t="s">
        <v>17</v>
      </c>
      <c r="M264" s="89" t="s">
        <v>17</v>
      </c>
      <c r="N264" s="89" t="s">
        <v>17</v>
      </c>
      <c r="O264" s="89" t="s">
        <v>305</v>
      </c>
      <c r="P264" s="89" t="s">
        <v>305</v>
      </c>
      <c r="Q264" s="89" t="s">
        <v>10</v>
      </c>
      <c r="R264" s="89" t="s">
        <v>17</v>
      </c>
      <c r="S264" s="89" t="s">
        <v>17</v>
      </c>
      <c r="T264" s="89" t="s">
        <v>17</v>
      </c>
      <c r="U264" s="89" t="s">
        <v>17</v>
      </c>
      <c r="V264" s="89" t="s">
        <v>10</v>
      </c>
      <c r="W264" s="89" t="s">
        <v>305</v>
      </c>
      <c r="X264" s="89" t="s">
        <v>17</v>
      </c>
      <c r="AH264" s="89" t="str">
        <f>IFERROR(VLOOKUP($Y264,#REF!,AH$1,FALSE),"")</f>
        <v/>
      </c>
      <c r="AI264" s="89" t="str">
        <f>IFERROR(VLOOKUP($Y264,#REF!,AI$1,FALSE),"")</f>
        <v/>
      </c>
    </row>
    <row r="265" spans="1:35" ht="38.25" x14ac:dyDescent="0.25">
      <c r="A265" s="89" t="s">
        <v>868</v>
      </c>
      <c r="B265" s="89" t="s">
        <v>229</v>
      </c>
      <c r="C265" s="89" t="str">
        <f t="shared" si="5"/>
        <v>A.14.2.1 265</v>
      </c>
      <c r="D265" s="90" t="s">
        <v>108</v>
      </c>
      <c r="E265" s="89" t="s">
        <v>8</v>
      </c>
      <c r="F265" s="91" t="s">
        <v>235</v>
      </c>
      <c r="G265" s="91"/>
      <c r="H265" s="91"/>
      <c r="I265" s="91"/>
      <c r="K265" s="89" t="s">
        <v>17</v>
      </c>
      <c r="L265" s="89" t="s">
        <v>17</v>
      </c>
      <c r="M265" s="89" t="s">
        <v>17</v>
      </c>
      <c r="N265" s="89" t="s">
        <v>17</v>
      </c>
      <c r="O265" s="89" t="s">
        <v>305</v>
      </c>
      <c r="P265" s="89" t="s">
        <v>305</v>
      </c>
      <c r="Q265" s="89" t="s">
        <v>10</v>
      </c>
      <c r="R265" s="89" t="s">
        <v>17</v>
      </c>
      <c r="S265" s="89" t="s">
        <v>17</v>
      </c>
      <c r="T265" s="89" t="s">
        <v>17</v>
      </c>
      <c r="U265" s="89" t="s">
        <v>17</v>
      </c>
      <c r="V265" s="89" t="s">
        <v>10</v>
      </c>
      <c r="W265" s="89" t="s">
        <v>305</v>
      </c>
      <c r="X265" s="89" t="s">
        <v>17</v>
      </c>
      <c r="AH265" s="89" t="str">
        <f>IFERROR(VLOOKUP($Y265,#REF!,AH$1,FALSE),"")</f>
        <v/>
      </c>
      <c r="AI265" s="89" t="str">
        <f>IFERROR(VLOOKUP($Y265,#REF!,AI$1,FALSE),"")</f>
        <v/>
      </c>
    </row>
    <row r="266" spans="1:35" ht="25.5" x14ac:dyDescent="0.25">
      <c r="A266" s="89" t="s">
        <v>868</v>
      </c>
      <c r="B266" s="89" t="s">
        <v>229</v>
      </c>
      <c r="C266" s="89" t="str">
        <f t="shared" si="5"/>
        <v>A.14.2.1 266</v>
      </c>
      <c r="D266" s="90" t="s">
        <v>236</v>
      </c>
      <c r="E266" s="89" t="s">
        <v>8</v>
      </c>
      <c r="F266" s="91" t="s">
        <v>237</v>
      </c>
      <c r="G266" s="91"/>
      <c r="H266" s="91"/>
      <c r="I266" s="91"/>
      <c r="K266" s="89" t="s">
        <v>17</v>
      </c>
      <c r="L266" s="89" t="s">
        <v>17</v>
      </c>
      <c r="M266" s="89" t="s">
        <v>17</v>
      </c>
      <c r="N266" s="89" t="s">
        <v>17</v>
      </c>
      <c r="O266" s="89" t="s">
        <v>305</v>
      </c>
      <c r="P266" s="89" t="s">
        <v>305</v>
      </c>
      <c r="Q266" s="89" t="s">
        <v>10</v>
      </c>
      <c r="R266" s="89" t="s">
        <v>17</v>
      </c>
      <c r="S266" s="89" t="s">
        <v>17</v>
      </c>
      <c r="T266" s="89" t="s">
        <v>17</v>
      </c>
      <c r="U266" s="89" t="s">
        <v>17</v>
      </c>
      <c r="V266" s="89" t="s">
        <v>10</v>
      </c>
      <c r="W266" s="89" t="s">
        <v>305</v>
      </c>
      <c r="X266" s="89" t="s">
        <v>17</v>
      </c>
      <c r="AH266" s="89" t="str">
        <f>IFERROR(VLOOKUP($Y266,#REF!,AH$1,FALSE),"")</f>
        <v/>
      </c>
      <c r="AI266" s="89" t="str">
        <f>IFERROR(VLOOKUP($Y266,#REF!,AI$1,FALSE),"")</f>
        <v/>
      </c>
    </row>
    <row r="267" spans="1:35" ht="25.5" x14ac:dyDescent="0.25">
      <c r="A267" s="89" t="s">
        <v>868</v>
      </c>
      <c r="B267" s="89" t="s">
        <v>229</v>
      </c>
      <c r="C267" s="89" t="str">
        <f t="shared" si="5"/>
        <v>A.14.2.1 267</v>
      </c>
      <c r="D267" s="90" t="s">
        <v>238</v>
      </c>
      <c r="E267" s="89" t="s">
        <v>8</v>
      </c>
      <c r="F267" s="91" t="s">
        <v>239</v>
      </c>
      <c r="G267" s="91"/>
      <c r="H267" s="91"/>
      <c r="I267" s="91"/>
      <c r="K267" s="89" t="s">
        <v>17</v>
      </c>
      <c r="L267" s="89" t="s">
        <v>17</v>
      </c>
      <c r="M267" s="89" t="s">
        <v>17</v>
      </c>
      <c r="N267" s="89" t="s">
        <v>17</v>
      </c>
      <c r="O267" s="89" t="s">
        <v>305</v>
      </c>
      <c r="P267" s="89" t="s">
        <v>305</v>
      </c>
      <c r="Q267" s="89" t="s">
        <v>10</v>
      </c>
      <c r="R267" s="89" t="s">
        <v>17</v>
      </c>
      <c r="S267" s="89" t="s">
        <v>17</v>
      </c>
      <c r="T267" s="89" t="s">
        <v>17</v>
      </c>
      <c r="U267" s="89" t="s">
        <v>17</v>
      </c>
      <c r="V267" s="89" t="s">
        <v>10</v>
      </c>
      <c r="W267" s="89" t="s">
        <v>305</v>
      </c>
      <c r="X267" s="89" t="s">
        <v>17</v>
      </c>
      <c r="AH267" s="89" t="str">
        <f>IFERROR(VLOOKUP($Y267,#REF!,AH$1,FALSE),"")</f>
        <v/>
      </c>
      <c r="AI267" s="89" t="str">
        <f>IFERROR(VLOOKUP($Y267,#REF!,AI$1,FALSE),"")</f>
        <v/>
      </c>
    </row>
    <row r="268" spans="1:35" ht="38.25" x14ac:dyDescent="0.25">
      <c r="A268" s="89" t="s">
        <v>868</v>
      </c>
      <c r="B268" s="89" t="s">
        <v>229</v>
      </c>
      <c r="C268" s="89" t="str">
        <f t="shared" si="5"/>
        <v>A.14.2.1 268</v>
      </c>
      <c r="D268" s="90" t="s">
        <v>261</v>
      </c>
      <c r="E268" s="89" t="s">
        <v>13</v>
      </c>
      <c r="F268" s="91" t="s">
        <v>262</v>
      </c>
      <c r="G268" s="91"/>
      <c r="H268" s="91"/>
      <c r="I268" s="91"/>
      <c r="K268" s="89" t="s">
        <v>17</v>
      </c>
      <c r="L268" s="89" t="s">
        <v>17</v>
      </c>
      <c r="M268" s="89" t="s">
        <v>17</v>
      </c>
      <c r="N268" s="89" t="s">
        <v>17</v>
      </c>
      <c r="O268" s="89" t="s">
        <v>305</v>
      </c>
      <c r="P268" s="89" t="s">
        <v>305</v>
      </c>
      <c r="Q268" s="89" t="s">
        <v>10</v>
      </c>
      <c r="R268" s="89" t="s">
        <v>17</v>
      </c>
      <c r="S268" s="89" t="s">
        <v>17</v>
      </c>
      <c r="T268" s="89" t="s">
        <v>17</v>
      </c>
      <c r="U268" s="89" t="s">
        <v>17</v>
      </c>
      <c r="V268" s="89" t="s">
        <v>10</v>
      </c>
      <c r="W268" s="89" t="s">
        <v>305</v>
      </c>
      <c r="X268" s="89" t="s">
        <v>17</v>
      </c>
      <c r="AH268" s="89" t="str">
        <f>IFERROR(VLOOKUP($Y268,#REF!,AH$1,FALSE),"")</f>
        <v/>
      </c>
      <c r="AI268" s="89" t="str">
        <f>IFERROR(VLOOKUP($Y268,#REF!,AI$1,FALSE),"")</f>
        <v/>
      </c>
    </row>
    <row r="269" spans="1:35" ht="38.25" x14ac:dyDescent="0.25">
      <c r="A269" s="89" t="s">
        <v>868</v>
      </c>
      <c r="B269" s="89" t="s">
        <v>229</v>
      </c>
      <c r="C269" s="89" t="str">
        <f t="shared" si="5"/>
        <v>A.14.2.1 269</v>
      </c>
      <c r="D269" s="90" t="s">
        <v>240</v>
      </c>
      <c r="E269" s="89" t="s">
        <v>8</v>
      </c>
      <c r="F269" s="91" t="s">
        <v>241</v>
      </c>
      <c r="G269" s="91"/>
      <c r="H269" s="91"/>
      <c r="I269" s="91"/>
      <c r="K269" s="89" t="s">
        <v>17</v>
      </c>
      <c r="L269" s="89" t="s">
        <v>17</v>
      </c>
      <c r="M269" s="89" t="s">
        <v>17</v>
      </c>
      <c r="N269" s="89" t="s">
        <v>17</v>
      </c>
      <c r="O269" s="89" t="s">
        <v>305</v>
      </c>
      <c r="P269" s="89" t="s">
        <v>305</v>
      </c>
      <c r="Q269" s="89" t="s">
        <v>10</v>
      </c>
      <c r="R269" s="89" t="s">
        <v>17</v>
      </c>
      <c r="S269" s="89" t="s">
        <v>17</v>
      </c>
      <c r="T269" s="89" t="s">
        <v>17</v>
      </c>
      <c r="U269" s="89" t="s">
        <v>17</v>
      </c>
      <c r="V269" s="89" t="s">
        <v>10</v>
      </c>
      <c r="W269" s="89" t="s">
        <v>305</v>
      </c>
      <c r="X269" s="89" t="s">
        <v>17</v>
      </c>
      <c r="AH269" s="89" t="str">
        <f>IFERROR(VLOOKUP($Y269,#REF!,AH$1,FALSE),"")</f>
        <v/>
      </c>
      <c r="AI269" s="89" t="str">
        <f>IFERROR(VLOOKUP($Y269,#REF!,AI$1,FALSE),"")</f>
        <v/>
      </c>
    </row>
    <row r="270" spans="1:35" ht="51" x14ac:dyDescent="0.25">
      <c r="A270" s="89" t="s">
        <v>868</v>
      </c>
      <c r="B270" s="89" t="s">
        <v>229</v>
      </c>
      <c r="C270" s="89" t="str">
        <f t="shared" si="5"/>
        <v>A.14.2.1 270</v>
      </c>
      <c r="D270" s="90" t="s">
        <v>263</v>
      </c>
      <c r="E270" s="89" t="s">
        <v>13</v>
      </c>
      <c r="F270" s="91" t="s">
        <v>264</v>
      </c>
      <c r="G270" s="91"/>
      <c r="H270" s="91"/>
      <c r="I270" s="91"/>
      <c r="K270" s="89" t="s">
        <v>17</v>
      </c>
      <c r="L270" s="89" t="s">
        <v>17</v>
      </c>
      <c r="M270" s="89" t="s">
        <v>17</v>
      </c>
      <c r="N270" s="89" t="s">
        <v>17</v>
      </c>
      <c r="O270" s="89" t="s">
        <v>305</v>
      </c>
      <c r="P270" s="89" t="s">
        <v>305</v>
      </c>
      <c r="Q270" s="89" t="s">
        <v>10</v>
      </c>
      <c r="R270" s="89" t="s">
        <v>17</v>
      </c>
      <c r="S270" s="89" t="s">
        <v>17</v>
      </c>
      <c r="T270" s="89" t="s">
        <v>17</v>
      </c>
      <c r="U270" s="89" t="s">
        <v>17</v>
      </c>
      <c r="V270" s="89" t="s">
        <v>10</v>
      </c>
      <c r="W270" s="89" t="s">
        <v>305</v>
      </c>
      <c r="X270" s="89" t="s">
        <v>17</v>
      </c>
      <c r="AH270" s="89" t="str">
        <f>IFERROR(VLOOKUP($Y270,#REF!,AH$1,FALSE),"")</f>
        <v/>
      </c>
      <c r="AI270" s="89" t="str">
        <f>IFERROR(VLOOKUP($Y270,#REF!,AI$1,FALSE),"")</f>
        <v/>
      </c>
    </row>
    <row r="271" spans="1:35" x14ac:dyDescent="0.25">
      <c r="A271" s="89" t="s">
        <v>868</v>
      </c>
      <c r="B271" s="89" t="s">
        <v>229</v>
      </c>
      <c r="C271" s="89" t="str">
        <f t="shared" si="5"/>
        <v>A.14.2.1 271</v>
      </c>
      <c r="D271" s="90" t="s">
        <v>11</v>
      </c>
      <c r="E271" s="89" t="s">
        <v>13</v>
      </c>
      <c r="F271" s="91" t="s">
        <v>265</v>
      </c>
      <c r="G271" s="91"/>
      <c r="H271" s="91"/>
      <c r="I271" s="91"/>
      <c r="K271" s="89" t="s">
        <v>17</v>
      </c>
      <c r="L271" s="89" t="s">
        <v>17</v>
      </c>
      <c r="M271" s="89" t="s">
        <v>17</v>
      </c>
      <c r="N271" s="89" t="s">
        <v>17</v>
      </c>
      <c r="O271" s="89" t="s">
        <v>305</v>
      </c>
      <c r="P271" s="89" t="s">
        <v>305</v>
      </c>
      <c r="Q271" s="89" t="s">
        <v>10</v>
      </c>
      <c r="R271" s="89" t="s">
        <v>17</v>
      </c>
      <c r="S271" s="89" t="s">
        <v>17</v>
      </c>
      <c r="T271" s="89" t="s">
        <v>17</v>
      </c>
      <c r="U271" s="89" t="s">
        <v>17</v>
      </c>
      <c r="V271" s="89" t="s">
        <v>10</v>
      </c>
      <c r="W271" s="89" t="s">
        <v>305</v>
      </c>
      <c r="X271" s="89" t="s">
        <v>17</v>
      </c>
      <c r="AH271" s="89" t="str">
        <f>IFERROR(VLOOKUP($Y271,#REF!,AH$1,FALSE),"")</f>
        <v/>
      </c>
      <c r="AI271" s="89" t="str">
        <f>IFERROR(VLOOKUP($Y271,#REF!,AI$1,FALSE),"")</f>
        <v/>
      </c>
    </row>
    <row r="272" spans="1:35" ht="25.5" x14ac:dyDescent="0.25">
      <c r="A272" s="89" t="s">
        <v>868</v>
      </c>
      <c r="B272" s="89" t="s">
        <v>229</v>
      </c>
      <c r="C272" s="89" t="str">
        <f t="shared" si="5"/>
        <v>A.14.2.1 272</v>
      </c>
      <c r="D272" s="90" t="s">
        <v>242</v>
      </c>
      <c r="E272" s="89" t="s">
        <v>8</v>
      </c>
      <c r="F272" s="91" t="s">
        <v>243</v>
      </c>
      <c r="G272" s="91"/>
      <c r="H272" s="91"/>
      <c r="I272" s="91"/>
      <c r="K272" s="89" t="s">
        <v>17</v>
      </c>
      <c r="L272" s="89" t="s">
        <v>17</v>
      </c>
      <c r="M272" s="89" t="s">
        <v>17</v>
      </c>
      <c r="N272" s="89" t="s">
        <v>17</v>
      </c>
      <c r="O272" s="89" t="s">
        <v>305</v>
      </c>
      <c r="P272" s="89" t="s">
        <v>305</v>
      </c>
      <c r="Q272" s="89" t="s">
        <v>10</v>
      </c>
      <c r="R272" s="89" t="s">
        <v>17</v>
      </c>
      <c r="S272" s="89" t="s">
        <v>17</v>
      </c>
      <c r="T272" s="89" t="s">
        <v>17</v>
      </c>
      <c r="U272" s="89" t="s">
        <v>17</v>
      </c>
      <c r="V272" s="89" t="s">
        <v>10</v>
      </c>
      <c r="W272" s="89" t="s">
        <v>305</v>
      </c>
      <c r="X272" s="89" t="s">
        <v>17</v>
      </c>
      <c r="AH272" s="89" t="str">
        <f>IFERROR(VLOOKUP($Y272,#REF!,AH$1,FALSE),"")</f>
        <v/>
      </c>
      <c r="AI272" s="89" t="str">
        <f>IFERROR(VLOOKUP($Y272,#REF!,AI$1,FALSE),"")</f>
        <v/>
      </c>
    </row>
    <row r="273" spans="1:35" ht="38.25" x14ac:dyDescent="0.25">
      <c r="A273" s="89" t="s">
        <v>868</v>
      </c>
      <c r="B273" s="89" t="s">
        <v>229</v>
      </c>
      <c r="C273" s="89" t="str">
        <f t="shared" si="5"/>
        <v>A.14.2.1 273</v>
      </c>
      <c r="D273" s="90" t="s">
        <v>244</v>
      </c>
      <c r="E273" s="89" t="s">
        <v>8</v>
      </c>
      <c r="F273" s="91" t="s">
        <v>245</v>
      </c>
      <c r="G273" s="91"/>
      <c r="H273" s="91"/>
      <c r="I273" s="91"/>
      <c r="K273" s="89" t="s">
        <v>17</v>
      </c>
      <c r="L273" s="89" t="s">
        <v>17</v>
      </c>
      <c r="M273" s="89" t="s">
        <v>17</v>
      </c>
      <c r="N273" s="89" t="s">
        <v>17</v>
      </c>
      <c r="O273" s="89" t="s">
        <v>305</v>
      </c>
      <c r="P273" s="89" t="s">
        <v>305</v>
      </c>
      <c r="Q273" s="89" t="s">
        <v>10</v>
      </c>
      <c r="R273" s="89" t="s">
        <v>17</v>
      </c>
      <c r="S273" s="89" t="s">
        <v>17</v>
      </c>
      <c r="T273" s="89" t="s">
        <v>17</v>
      </c>
      <c r="U273" s="89" t="s">
        <v>17</v>
      </c>
      <c r="V273" s="89" t="s">
        <v>10</v>
      </c>
      <c r="W273" s="89" t="s">
        <v>305</v>
      </c>
      <c r="X273" s="89" t="s">
        <v>17</v>
      </c>
      <c r="AH273" s="89" t="str">
        <f>IFERROR(VLOOKUP($Y273,#REF!,AH$1,FALSE),"")</f>
        <v/>
      </c>
      <c r="AI273" s="89" t="str">
        <f>IFERROR(VLOOKUP($Y273,#REF!,AI$1,FALSE),"")</f>
        <v/>
      </c>
    </row>
    <row r="274" spans="1:35" ht="38.25" x14ac:dyDescent="0.25">
      <c r="A274" s="89" t="s">
        <v>868</v>
      </c>
      <c r="B274" s="89" t="s">
        <v>229</v>
      </c>
      <c r="C274" s="89" t="str">
        <f t="shared" si="5"/>
        <v>A.14.2.1 274</v>
      </c>
      <c r="D274" s="90" t="s">
        <v>246</v>
      </c>
      <c r="E274" s="89" t="s">
        <v>8</v>
      </c>
      <c r="F274" s="91" t="s">
        <v>247</v>
      </c>
      <c r="G274" s="91"/>
      <c r="H274" s="91"/>
      <c r="I274" s="91"/>
      <c r="K274" s="89" t="s">
        <v>17</v>
      </c>
      <c r="L274" s="89" t="s">
        <v>17</v>
      </c>
      <c r="M274" s="89" t="s">
        <v>17</v>
      </c>
      <c r="N274" s="89" t="s">
        <v>17</v>
      </c>
      <c r="O274" s="89" t="s">
        <v>305</v>
      </c>
      <c r="P274" s="89" t="s">
        <v>305</v>
      </c>
      <c r="Q274" s="89" t="s">
        <v>10</v>
      </c>
      <c r="R274" s="89" t="s">
        <v>17</v>
      </c>
      <c r="S274" s="89" t="s">
        <v>17</v>
      </c>
      <c r="T274" s="89" t="s">
        <v>17</v>
      </c>
      <c r="U274" s="89" t="s">
        <v>17</v>
      </c>
      <c r="V274" s="89" t="s">
        <v>10</v>
      </c>
      <c r="W274" s="89" t="s">
        <v>305</v>
      </c>
      <c r="X274" s="89" t="s">
        <v>17</v>
      </c>
      <c r="AH274" s="89" t="str">
        <f>IFERROR(VLOOKUP($Y274,#REF!,AH$1,FALSE),"")</f>
        <v/>
      </c>
      <c r="AI274" s="89" t="str">
        <f>IFERROR(VLOOKUP($Y274,#REF!,AI$1,FALSE),"")</f>
        <v/>
      </c>
    </row>
    <row r="275" spans="1:35" ht="38.25" x14ac:dyDescent="0.25">
      <c r="A275" s="89" t="s">
        <v>868</v>
      </c>
      <c r="B275" s="89" t="s">
        <v>229</v>
      </c>
      <c r="C275" s="89" t="str">
        <f t="shared" si="5"/>
        <v>A.14.2.1 275</v>
      </c>
      <c r="D275" s="90" t="s">
        <v>248</v>
      </c>
      <c r="E275" s="89" t="s">
        <v>8</v>
      </c>
      <c r="F275" s="91" t="s">
        <v>249</v>
      </c>
      <c r="G275" s="91"/>
      <c r="H275" s="91"/>
      <c r="I275" s="91"/>
      <c r="K275" s="89" t="s">
        <v>17</v>
      </c>
      <c r="L275" s="89" t="s">
        <v>17</v>
      </c>
      <c r="M275" s="89" t="s">
        <v>17</v>
      </c>
      <c r="N275" s="89" t="s">
        <v>17</v>
      </c>
      <c r="O275" s="89" t="s">
        <v>305</v>
      </c>
      <c r="P275" s="89" t="s">
        <v>305</v>
      </c>
      <c r="Q275" s="89" t="s">
        <v>10</v>
      </c>
      <c r="R275" s="89" t="s">
        <v>17</v>
      </c>
      <c r="S275" s="89" t="s">
        <v>17</v>
      </c>
      <c r="T275" s="89" t="s">
        <v>17</v>
      </c>
      <c r="U275" s="89" t="s">
        <v>17</v>
      </c>
      <c r="V275" s="89" t="s">
        <v>10</v>
      </c>
      <c r="W275" s="89" t="s">
        <v>305</v>
      </c>
      <c r="X275" s="89" t="s">
        <v>17</v>
      </c>
      <c r="AH275" s="89" t="str">
        <f>IFERROR(VLOOKUP($Y275,#REF!,AH$1,FALSE),"")</f>
        <v/>
      </c>
      <c r="AI275" s="89" t="str">
        <f>IFERROR(VLOOKUP($Y275,#REF!,AI$1,FALSE),"")</f>
        <v/>
      </c>
    </row>
    <row r="276" spans="1:35" ht="25.5" x14ac:dyDescent="0.25">
      <c r="A276" s="89" t="s">
        <v>868</v>
      </c>
      <c r="B276" s="89" t="s">
        <v>229</v>
      </c>
      <c r="C276" s="89" t="str">
        <f t="shared" si="5"/>
        <v>A.14.2.1 276</v>
      </c>
      <c r="D276" s="90" t="s">
        <v>250</v>
      </c>
      <c r="E276" s="89" t="s">
        <v>8</v>
      </c>
      <c r="F276" s="91" t="s">
        <v>251</v>
      </c>
      <c r="G276" s="91"/>
      <c r="H276" s="91"/>
      <c r="I276" s="91"/>
      <c r="K276" s="89" t="s">
        <v>17</v>
      </c>
      <c r="L276" s="89" t="s">
        <v>17</v>
      </c>
      <c r="M276" s="89" t="s">
        <v>17</v>
      </c>
      <c r="N276" s="89" t="s">
        <v>17</v>
      </c>
      <c r="O276" s="89" t="s">
        <v>305</v>
      </c>
      <c r="P276" s="89" t="s">
        <v>305</v>
      </c>
      <c r="Q276" s="89" t="s">
        <v>10</v>
      </c>
      <c r="R276" s="89" t="s">
        <v>17</v>
      </c>
      <c r="S276" s="89" t="s">
        <v>17</v>
      </c>
      <c r="T276" s="89" t="s">
        <v>17</v>
      </c>
      <c r="U276" s="89" t="s">
        <v>17</v>
      </c>
      <c r="V276" s="89" t="s">
        <v>10</v>
      </c>
      <c r="W276" s="89" t="s">
        <v>305</v>
      </c>
      <c r="X276" s="89" t="s">
        <v>17</v>
      </c>
      <c r="AH276" s="89" t="str">
        <f>IFERROR(VLOOKUP($Y276,#REF!,AH$1,FALSE),"")</f>
        <v/>
      </c>
      <c r="AI276" s="89" t="str">
        <f>IFERROR(VLOOKUP($Y276,#REF!,AI$1,FALSE),"")</f>
        <v/>
      </c>
    </row>
    <row r="277" spans="1:35" ht="25.5" x14ac:dyDescent="0.25">
      <c r="A277" s="89" t="s">
        <v>868</v>
      </c>
      <c r="B277" s="89" t="s">
        <v>229</v>
      </c>
      <c r="C277" s="89" t="str">
        <f t="shared" si="5"/>
        <v>A.14.2.1 277</v>
      </c>
      <c r="D277" s="90" t="s">
        <v>252</v>
      </c>
      <c r="E277" s="89" t="s">
        <v>8</v>
      </c>
      <c r="F277" s="91" t="s">
        <v>253</v>
      </c>
      <c r="G277" s="91"/>
      <c r="H277" s="91"/>
      <c r="I277" s="91"/>
      <c r="K277" s="89" t="s">
        <v>17</v>
      </c>
      <c r="L277" s="89" t="s">
        <v>17</v>
      </c>
      <c r="M277" s="89" t="s">
        <v>17</v>
      </c>
      <c r="N277" s="89" t="s">
        <v>17</v>
      </c>
      <c r="O277" s="89" t="s">
        <v>305</v>
      </c>
      <c r="P277" s="89" t="s">
        <v>305</v>
      </c>
      <c r="Q277" s="89" t="s">
        <v>10</v>
      </c>
      <c r="R277" s="89" t="s">
        <v>17</v>
      </c>
      <c r="S277" s="89" t="s">
        <v>17</v>
      </c>
      <c r="T277" s="89" t="s">
        <v>17</v>
      </c>
      <c r="U277" s="89" t="s">
        <v>17</v>
      </c>
      <c r="V277" s="89" t="s">
        <v>10</v>
      </c>
      <c r="W277" s="89" t="s">
        <v>305</v>
      </c>
      <c r="X277" s="89" t="s">
        <v>17</v>
      </c>
      <c r="AH277" s="89" t="str">
        <f>IFERROR(VLOOKUP($Y277,#REF!,AH$1,FALSE),"")</f>
        <v/>
      </c>
      <c r="AI277" s="89" t="str">
        <f>IFERROR(VLOOKUP($Y277,#REF!,AI$1,FALSE),"")</f>
        <v/>
      </c>
    </row>
    <row r="278" spans="1:35" ht="38.25" x14ac:dyDescent="0.25">
      <c r="A278" s="89" t="s">
        <v>868</v>
      </c>
      <c r="B278" s="89" t="s">
        <v>229</v>
      </c>
      <c r="C278" s="89" t="str">
        <f t="shared" si="5"/>
        <v>A.14.2.1 278</v>
      </c>
      <c r="D278" s="90" t="s">
        <v>266</v>
      </c>
      <c r="E278" s="89" t="s">
        <v>13</v>
      </c>
      <c r="F278" s="91" t="s">
        <v>267</v>
      </c>
      <c r="G278" s="91"/>
      <c r="H278" s="91"/>
      <c r="I278" s="91"/>
      <c r="K278" s="89" t="s">
        <v>17</v>
      </c>
      <c r="L278" s="89" t="s">
        <v>17</v>
      </c>
      <c r="M278" s="89" t="s">
        <v>17</v>
      </c>
      <c r="N278" s="89" t="s">
        <v>17</v>
      </c>
      <c r="O278" s="89" t="s">
        <v>305</v>
      </c>
      <c r="P278" s="89" t="s">
        <v>305</v>
      </c>
      <c r="Q278" s="89" t="s">
        <v>10</v>
      </c>
      <c r="R278" s="89" t="s">
        <v>17</v>
      </c>
      <c r="S278" s="89" t="s">
        <v>17</v>
      </c>
      <c r="T278" s="89" t="s">
        <v>17</v>
      </c>
      <c r="U278" s="89" t="s">
        <v>17</v>
      </c>
      <c r="V278" s="89" t="s">
        <v>10</v>
      </c>
      <c r="W278" s="89" t="s">
        <v>305</v>
      </c>
      <c r="X278" s="89" t="s">
        <v>17</v>
      </c>
      <c r="AH278" s="89" t="str">
        <f>IFERROR(VLOOKUP($Y278,#REF!,AH$1,FALSE),"")</f>
        <v/>
      </c>
      <c r="AI278" s="89" t="str">
        <f>IFERROR(VLOOKUP($Y278,#REF!,AI$1,FALSE),"")</f>
        <v/>
      </c>
    </row>
    <row r="279" spans="1:35" ht="25.5" x14ac:dyDescent="0.25">
      <c r="A279" s="89" t="s">
        <v>868</v>
      </c>
      <c r="B279" s="89" t="s">
        <v>229</v>
      </c>
      <c r="C279" s="89" t="str">
        <f t="shared" si="5"/>
        <v>A.14.2.1 279</v>
      </c>
      <c r="D279" s="90" t="s">
        <v>12</v>
      </c>
      <c r="E279" s="89" t="s">
        <v>8</v>
      </c>
      <c r="F279" s="91" t="s">
        <v>254</v>
      </c>
      <c r="G279" s="91"/>
      <c r="H279" s="91"/>
      <c r="I279" s="91"/>
      <c r="K279" s="89" t="s">
        <v>17</v>
      </c>
      <c r="L279" s="89" t="s">
        <v>17</v>
      </c>
      <c r="M279" s="89" t="s">
        <v>17</v>
      </c>
      <c r="N279" s="89" t="s">
        <v>17</v>
      </c>
      <c r="O279" s="89" t="s">
        <v>305</v>
      </c>
      <c r="P279" s="89" t="s">
        <v>305</v>
      </c>
      <c r="Q279" s="89" t="s">
        <v>10</v>
      </c>
      <c r="R279" s="89" t="s">
        <v>17</v>
      </c>
      <c r="S279" s="89" t="s">
        <v>17</v>
      </c>
      <c r="T279" s="89" t="s">
        <v>17</v>
      </c>
      <c r="U279" s="89" t="s">
        <v>17</v>
      </c>
      <c r="V279" s="89" t="s">
        <v>10</v>
      </c>
      <c r="W279" s="89" t="s">
        <v>305</v>
      </c>
      <c r="X279" s="89" t="s">
        <v>17</v>
      </c>
      <c r="AH279" s="89" t="str">
        <f>IFERROR(VLOOKUP($Y279,#REF!,AH$1,FALSE),"")</f>
        <v/>
      </c>
      <c r="AI279" s="89" t="str">
        <f>IFERROR(VLOOKUP($Y279,#REF!,AI$1,FALSE),"")</f>
        <v/>
      </c>
    </row>
    <row r="280" spans="1:35" ht="25.5" x14ac:dyDescent="0.25">
      <c r="A280" s="89" t="s">
        <v>868</v>
      </c>
      <c r="B280" s="89" t="s">
        <v>229</v>
      </c>
      <c r="C280" s="89" t="str">
        <f t="shared" si="5"/>
        <v>A.14.2.1 280</v>
      </c>
      <c r="D280" s="90" t="s">
        <v>14</v>
      </c>
      <c r="E280" s="89" t="s">
        <v>8</v>
      </c>
      <c r="F280" s="91" t="s">
        <v>255</v>
      </c>
      <c r="G280" s="91"/>
      <c r="H280" s="91"/>
      <c r="I280" s="91"/>
      <c r="K280" s="89" t="s">
        <v>17</v>
      </c>
      <c r="L280" s="89" t="s">
        <v>17</v>
      </c>
      <c r="M280" s="89" t="s">
        <v>17</v>
      </c>
      <c r="N280" s="89" t="s">
        <v>17</v>
      </c>
      <c r="O280" s="89" t="s">
        <v>305</v>
      </c>
      <c r="P280" s="89" t="s">
        <v>305</v>
      </c>
      <c r="Q280" s="89" t="s">
        <v>10</v>
      </c>
      <c r="R280" s="89" t="s">
        <v>17</v>
      </c>
      <c r="S280" s="89" t="s">
        <v>17</v>
      </c>
      <c r="T280" s="89" t="s">
        <v>17</v>
      </c>
      <c r="U280" s="89" t="s">
        <v>17</v>
      </c>
      <c r="V280" s="89" t="s">
        <v>10</v>
      </c>
      <c r="W280" s="89" t="s">
        <v>305</v>
      </c>
      <c r="X280" s="89" t="s">
        <v>17</v>
      </c>
      <c r="AH280" s="89" t="str">
        <f>IFERROR(VLOOKUP($Y280,#REF!,AH$1,FALSE),"")</f>
        <v/>
      </c>
      <c r="AI280" s="89" t="str">
        <f>IFERROR(VLOOKUP($Y280,#REF!,AI$1,FALSE),"")</f>
        <v/>
      </c>
    </row>
    <row r="281" spans="1:35" ht="38.25" x14ac:dyDescent="0.25">
      <c r="A281" s="89" t="s">
        <v>868</v>
      </c>
      <c r="B281" s="89" t="s">
        <v>229</v>
      </c>
      <c r="C281" s="89" t="str">
        <f t="shared" si="5"/>
        <v>A.14.2.1 281</v>
      </c>
      <c r="D281" s="90" t="s">
        <v>15</v>
      </c>
      <c r="E281" s="89" t="s">
        <v>8</v>
      </c>
      <c r="F281" s="91" t="s">
        <v>256</v>
      </c>
      <c r="G281" s="91"/>
      <c r="H281" s="91"/>
      <c r="I281" s="91"/>
      <c r="K281" s="89" t="s">
        <v>17</v>
      </c>
      <c r="L281" s="89" t="s">
        <v>17</v>
      </c>
      <c r="M281" s="89" t="s">
        <v>17</v>
      </c>
      <c r="N281" s="89" t="s">
        <v>17</v>
      </c>
      <c r="O281" s="89" t="s">
        <v>305</v>
      </c>
      <c r="P281" s="89" t="s">
        <v>305</v>
      </c>
      <c r="Q281" s="89" t="s">
        <v>10</v>
      </c>
      <c r="R281" s="89" t="s">
        <v>17</v>
      </c>
      <c r="S281" s="89" t="s">
        <v>17</v>
      </c>
      <c r="T281" s="89" t="s">
        <v>17</v>
      </c>
      <c r="U281" s="89" t="s">
        <v>17</v>
      </c>
      <c r="V281" s="89" t="s">
        <v>10</v>
      </c>
      <c r="W281" s="89" t="s">
        <v>305</v>
      </c>
      <c r="X281" s="89" t="s">
        <v>17</v>
      </c>
      <c r="AH281" s="89" t="str">
        <f>IFERROR(VLOOKUP($Y281,#REF!,AH$1,FALSE),"")</f>
        <v/>
      </c>
      <c r="AI281" s="89" t="str">
        <f>IFERROR(VLOOKUP($Y281,#REF!,AI$1,FALSE),"")</f>
        <v/>
      </c>
    </row>
    <row r="282" spans="1:35" ht="38.25" x14ac:dyDescent="0.25">
      <c r="A282" s="89" t="s">
        <v>868</v>
      </c>
      <c r="B282" s="89" t="s">
        <v>229</v>
      </c>
      <c r="C282" s="89" t="str">
        <f t="shared" si="5"/>
        <v>A.14.2.1 282</v>
      </c>
      <c r="D282" s="90" t="s">
        <v>28</v>
      </c>
      <c r="E282" s="89" t="s">
        <v>8</v>
      </c>
      <c r="F282" s="91" t="s">
        <v>257</v>
      </c>
      <c r="G282" s="91"/>
      <c r="H282" s="91"/>
      <c r="I282" s="91"/>
      <c r="K282" s="89" t="s">
        <v>17</v>
      </c>
      <c r="L282" s="89" t="s">
        <v>17</v>
      </c>
      <c r="M282" s="89" t="s">
        <v>17</v>
      </c>
      <c r="N282" s="89" t="s">
        <v>17</v>
      </c>
      <c r="O282" s="89" t="s">
        <v>305</v>
      </c>
      <c r="P282" s="89" t="s">
        <v>305</v>
      </c>
      <c r="Q282" s="89" t="s">
        <v>10</v>
      </c>
      <c r="R282" s="89" t="s">
        <v>17</v>
      </c>
      <c r="S282" s="89" t="s">
        <v>17</v>
      </c>
      <c r="T282" s="89" t="s">
        <v>17</v>
      </c>
      <c r="U282" s="89" t="s">
        <v>17</v>
      </c>
      <c r="V282" s="89" t="s">
        <v>10</v>
      </c>
      <c r="W282" s="89" t="s">
        <v>305</v>
      </c>
      <c r="X282" s="89" t="s">
        <v>17</v>
      </c>
      <c r="AH282" s="89" t="str">
        <f>IFERROR(VLOOKUP($Y282,#REF!,AH$1,FALSE),"")</f>
        <v/>
      </c>
      <c r="AI282" s="89" t="str">
        <f>IFERROR(VLOOKUP($Y282,#REF!,AI$1,FALSE),"")</f>
        <v/>
      </c>
    </row>
    <row r="283" spans="1:35" ht="38.25" x14ac:dyDescent="0.25">
      <c r="A283" s="89" t="s">
        <v>868</v>
      </c>
      <c r="B283" s="89" t="s">
        <v>229</v>
      </c>
      <c r="C283" s="89" t="str">
        <f t="shared" si="5"/>
        <v>A.14.2.1 283</v>
      </c>
      <c r="D283" s="90" t="s">
        <v>32</v>
      </c>
      <c r="E283" s="89" t="s">
        <v>8</v>
      </c>
      <c r="F283" s="91" t="s">
        <v>258</v>
      </c>
      <c r="G283" s="91"/>
      <c r="H283" s="91"/>
      <c r="I283" s="91"/>
      <c r="K283" s="89" t="s">
        <v>17</v>
      </c>
      <c r="L283" s="89" t="s">
        <v>17</v>
      </c>
      <c r="M283" s="89" t="s">
        <v>17</v>
      </c>
      <c r="N283" s="89" t="s">
        <v>17</v>
      </c>
      <c r="O283" s="89" t="s">
        <v>305</v>
      </c>
      <c r="P283" s="89" t="s">
        <v>305</v>
      </c>
      <c r="Q283" s="89" t="s">
        <v>10</v>
      </c>
      <c r="R283" s="89" t="s">
        <v>17</v>
      </c>
      <c r="S283" s="89" t="s">
        <v>17</v>
      </c>
      <c r="T283" s="89" t="s">
        <v>17</v>
      </c>
      <c r="U283" s="89" t="s">
        <v>17</v>
      </c>
      <c r="V283" s="89" t="s">
        <v>10</v>
      </c>
      <c r="W283" s="89" t="s">
        <v>305</v>
      </c>
      <c r="X283" s="89" t="s">
        <v>17</v>
      </c>
      <c r="AH283" s="89" t="str">
        <f>IFERROR(VLOOKUP($Y283,#REF!,AH$1,FALSE),"")</f>
        <v/>
      </c>
      <c r="AI283" s="89" t="str">
        <f>IFERROR(VLOOKUP($Y283,#REF!,AI$1,FALSE),"")</f>
        <v/>
      </c>
    </row>
    <row r="284" spans="1:35" ht="25.5" x14ac:dyDescent="0.25">
      <c r="A284" s="89" t="s">
        <v>868</v>
      </c>
      <c r="B284" s="89" t="s">
        <v>229</v>
      </c>
      <c r="C284" s="89" t="str">
        <f t="shared" si="5"/>
        <v>A.14.2.1 284</v>
      </c>
      <c r="D284" s="90" t="s">
        <v>30</v>
      </c>
      <c r="E284" s="89" t="s">
        <v>8</v>
      </c>
      <c r="F284" s="91" t="s">
        <v>259</v>
      </c>
      <c r="G284" s="91"/>
      <c r="H284" s="91"/>
      <c r="I284" s="91"/>
      <c r="K284" s="89" t="s">
        <v>17</v>
      </c>
      <c r="L284" s="89" t="s">
        <v>17</v>
      </c>
      <c r="M284" s="89" t="s">
        <v>17</v>
      </c>
      <c r="N284" s="89" t="s">
        <v>17</v>
      </c>
      <c r="O284" s="89" t="s">
        <v>305</v>
      </c>
      <c r="P284" s="89" t="s">
        <v>305</v>
      </c>
      <c r="Q284" s="89" t="s">
        <v>10</v>
      </c>
      <c r="R284" s="89" t="s">
        <v>17</v>
      </c>
      <c r="S284" s="89" t="s">
        <v>17</v>
      </c>
      <c r="T284" s="89" t="s">
        <v>17</v>
      </c>
      <c r="U284" s="89" t="s">
        <v>17</v>
      </c>
      <c r="V284" s="89" t="s">
        <v>10</v>
      </c>
      <c r="W284" s="89" t="s">
        <v>305</v>
      </c>
      <c r="X284" s="89" t="s">
        <v>17</v>
      </c>
      <c r="AH284" s="89" t="str">
        <f>IFERROR(VLOOKUP($Y284,#REF!,AH$1,FALSE),"")</f>
        <v/>
      </c>
      <c r="AI284" s="89" t="str">
        <f>IFERROR(VLOOKUP($Y284,#REF!,AI$1,FALSE),"")</f>
        <v/>
      </c>
    </row>
    <row r="285" spans="1:35" ht="25.5" x14ac:dyDescent="0.25">
      <c r="A285" s="89" t="s">
        <v>868</v>
      </c>
      <c r="B285" s="89" t="s">
        <v>229</v>
      </c>
      <c r="C285" s="89" t="str">
        <f t="shared" si="5"/>
        <v>A.14.2.1 285</v>
      </c>
      <c r="D285" s="90" t="s">
        <v>34</v>
      </c>
      <c r="E285" s="89" t="s">
        <v>8</v>
      </c>
      <c r="F285" s="91" t="s">
        <v>260</v>
      </c>
      <c r="G285" s="91"/>
      <c r="H285" s="91"/>
      <c r="I285" s="91"/>
      <c r="K285" s="89" t="s">
        <v>17</v>
      </c>
      <c r="L285" s="89" t="s">
        <v>17</v>
      </c>
      <c r="M285" s="89" t="s">
        <v>17</v>
      </c>
      <c r="N285" s="89" t="s">
        <v>17</v>
      </c>
      <c r="O285" s="89" t="s">
        <v>305</v>
      </c>
      <c r="P285" s="89" t="s">
        <v>305</v>
      </c>
      <c r="Q285" s="89" t="s">
        <v>10</v>
      </c>
      <c r="R285" s="89" t="s">
        <v>17</v>
      </c>
      <c r="S285" s="89" t="s">
        <v>17</v>
      </c>
      <c r="T285" s="89" t="s">
        <v>17</v>
      </c>
      <c r="U285" s="89" t="s">
        <v>17</v>
      </c>
      <c r="V285" s="89" t="s">
        <v>10</v>
      </c>
      <c r="W285" s="89" t="s">
        <v>305</v>
      </c>
      <c r="X285" s="89" t="s">
        <v>17</v>
      </c>
      <c r="AH285" s="89" t="str">
        <f>IFERROR(VLOOKUP($Y285,#REF!,AH$1,FALSE),"")</f>
        <v/>
      </c>
      <c r="AI285" s="89" t="str">
        <f>IFERROR(VLOOKUP($Y285,#REF!,AI$1,FALSE),"")</f>
        <v/>
      </c>
    </row>
    <row r="286" spans="1:35" x14ac:dyDescent="0.25">
      <c r="A286" s="89" t="s">
        <v>868</v>
      </c>
      <c r="B286" s="89" t="s">
        <v>269</v>
      </c>
      <c r="C286" s="89" t="str">
        <f t="shared" si="5"/>
        <v>A.14.2.8 286</v>
      </c>
      <c r="D286" s="90" t="s">
        <v>612</v>
      </c>
      <c r="E286" s="89" t="s">
        <v>309</v>
      </c>
      <c r="F286" s="91" t="s">
        <v>272</v>
      </c>
      <c r="G286" s="20" t="s">
        <v>651</v>
      </c>
      <c r="H286" s="91"/>
      <c r="I286" s="91"/>
      <c r="K286" s="89" t="s">
        <v>17</v>
      </c>
      <c r="L286" s="89" t="s">
        <v>17</v>
      </c>
      <c r="M286" s="89" t="s">
        <v>17</v>
      </c>
      <c r="N286" s="89" t="s">
        <v>305</v>
      </c>
      <c r="O286" s="89" t="s">
        <v>17</v>
      </c>
      <c r="P286" s="89" t="s">
        <v>17</v>
      </c>
      <c r="Q286" s="89" t="s">
        <v>10</v>
      </c>
      <c r="R286" s="89" t="s">
        <v>17</v>
      </c>
      <c r="S286" s="89" t="s">
        <v>17</v>
      </c>
      <c r="T286" s="89" t="s">
        <v>17</v>
      </c>
      <c r="U286" s="89" t="s">
        <v>17</v>
      </c>
      <c r="W286" s="89" t="s">
        <v>305</v>
      </c>
      <c r="X286" s="89" t="s">
        <v>17</v>
      </c>
      <c r="Y286" s="96"/>
      <c r="AH286" s="89" t="str">
        <f>IFERROR(VLOOKUP($Y286,#REF!,AH$1,FALSE),"")</f>
        <v/>
      </c>
      <c r="AI286" s="89" t="str">
        <f>IFERROR(VLOOKUP($Y286,#REF!,AI$1,FALSE),"")</f>
        <v/>
      </c>
    </row>
    <row r="287" spans="1:35" ht="38.25" x14ac:dyDescent="0.25">
      <c r="A287" s="89" t="s">
        <v>868</v>
      </c>
      <c r="B287" s="89" t="s">
        <v>269</v>
      </c>
      <c r="C287" s="89" t="str">
        <f t="shared" si="5"/>
        <v>A.14.2.8 287</v>
      </c>
      <c r="D287" s="90" t="s">
        <v>9</v>
      </c>
      <c r="E287" s="89" t="s">
        <v>8</v>
      </c>
      <c r="F287" s="91" t="s">
        <v>270</v>
      </c>
      <c r="G287" s="91"/>
      <c r="H287" s="91"/>
      <c r="I287" s="91"/>
      <c r="K287" s="89" t="s">
        <v>17</v>
      </c>
      <c r="L287" s="89" t="s">
        <v>17</v>
      </c>
      <c r="M287" s="89" t="s">
        <v>17</v>
      </c>
      <c r="N287" s="89" t="s">
        <v>305</v>
      </c>
      <c r="O287" s="89" t="s">
        <v>17</v>
      </c>
      <c r="P287" s="89" t="s">
        <v>17</v>
      </c>
      <c r="Q287" s="89" t="s">
        <v>10</v>
      </c>
      <c r="R287" s="89" t="s">
        <v>17</v>
      </c>
      <c r="S287" s="89" t="s">
        <v>17</v>
      </c>
      <c r="T287" s="89" t="s">
        <v>17</v>
      </c>
      <c r="U287" s="89" t="s">
        <v>17</v>
      </c>
      <c r="V287" s="89" t="s">
        <v>10</v>
      </c>
      <c r="W287" s="89" t="s">
        <v>305</v>
      </c>
      <c r="X287" s="89" t="s">
        <v>17</v>
      </c>
      <c r="AH287" s="89" t="str">
        <f>IFERROR(VLOOKUP($Y287,#REF!,AH$1,FALSE),"")</f>
        <v/>
      </c>
      <c r="AI287" s="89" t="str">
        <f>IFERROR(VLOOKUP($Y287,#REF!,AI$1,FALSE),"")</f>
        <v/>
      </c>
    </row>
    <row r="288" spans="1:35" x14ac:dyDescent="0.25">
      <c r="A288" s="89" t="s">
        <v>868</v>
      </c>
      <c r="B288" s="89" t="s">
        <v>269</v>
      </c>
      <c r="C288" s="89" t="str">
        <f t="shared" si="5"/>
        <v>A.14.2.8 288</v>
      </c>
      <c r="D288" s="90" t="s">
        <v>11</v>
      </c>
      <c r="E288" s="89" t="s">
        <v>13</v>
      </c>
      <c r="F288" s="91" t="s">
        <v>271</v>
      </c>
      <c r="G288" s="91"/>
      <c r="H288" s="91"/>
      <c r="I288" s="91"/>
      <c r="K288" s="89" t="s">
        <v>17</v>
      </c>
      <c r="L288" s="89" t="s">
        <v>17</v>
      </c>
      <c r="M288" s="89" t="s">
        <v>17</v>
      </c>
      <c r="N288" s="89" t="s">
        <v>305</v>
      </c>
      <c r="O288" s="89" t="s">
        <v>17</v>
      </c>
      <c r="P288" s="89" t="s">
        <v>17</v>
      </c>
      <c r="Q288" s="89" t="s">
        <v>10</v>
      </c>
      <c r="R288" s="89" t="s">
        <v>17</v>
      </c>
      <c r="S288" s="89" t="s">
        <v>17</v>
      </c>
      <c r="T288" s="89" t="s">
        <v>17</v>
      </c>
      <c r="U288" s="89" t="s">
        <v>17</v>
      </c>
      <c r="V288" s="89" t="s">
        <v>10</v>
      </c>
      <c r="W288" s="89" t="s">
        <v>305</v>
      </c>
      <c r="X288" s="89" t="s">
        <v>17</v>
      </c>
      <c r="AH288" s="89" t="str">
        <f>IFERROR(VLOOKUP($Y288,#REF!,AH$1,FALSE),"")</f>
        <v/>
      </c>
      <c r="AI288" s="89" t="str">
        <f>IFERROR(VLOOKUP($Y288,#REF!,AI$1,FALSE),"")</f>
        <v/>
      </c>
    </row>
    <row r="289" spans="1:35" ht="38.25" x14ac:dyDescent="0.25">
      <c r="A289" s="89" t="s">
        <v>868</v>
      </c>
      <c r="B289" s="89" t="s">
        <v>273</v>
      </c>
      <c r="C289" s="89" t="str">
        <f t="shared" si="5"/>
        <v>A.15.1.1 289</v>
      </c>
      <c r="D289" s="90" t="s">
        <v>612</v>
      </c>
      <c r="E289" s="89" t="s">
        <v>309</v>
      </c>
      <c r="F289" s="91" t="s">
        <v>1460</v>
      </c>
      <c r="G289" s="20" t="s">
        <v>1461</v>
      </c>
      <c r="H289" s="91"/>
      <c r="I289" s="91"/>
      <c r="K289" s="89" t="s">
        <v>17</v>
      </c>
      <c r="L289" s="89" t="s">
        <v>17</v>
      </c>
      <c r="M289" s="89" t="s">
        <v>17</v>
      </c>
      <c r="N289" s="89" t="s">
        <v>17</v>
      </c>
      <c r="O289" s="89" t="s">
        <v>305</v>
      </c>
      <c r="P289" s="89" t="s">
        <v>305</v>
      </c>
      <c r="Q289" s="89" t="s">
        <v>17</v>
      </c>
      <c r="R289" s="89" t="s">
        <v>17</v>
      </c>
      <c r="S289" s="89" t="s">
        <v>17</v>
      </c>
      <c r="T289" s="89" t="s">
        <v>17</v>
      </c>
      <c r="U289" s="89" t="s">
        <v>17</v>
      </c>
      <c r="V289" s="89" t="s">
        <v>17</v>
      </c>
      <c r="W289" s="89" t="s">
        <v>305</v>
      </c>
      <c r="X289" s="89" t="s">
        <v>17</v>
      </c>
      <c r="Y289" s="96"/>
      <c r="AH289" s="89" t="str">
        <f>IFERROR(VLOOKUP($Y289,#REF!,AH$1,FALSE),"")</f>
        <v/>
      </c>
      <c r="AI289" s="89" t="str">
        <f>IFERROR(VLOOKUP($Y289,#REF!,AI$1,FALSE),"")</f>
        <v/>
      </c>
    </row>
    <row r="290" spans="1:35" ht="38.25" x14ac:dyDescent="0.25">
      <c r="A290" s="89" t="s">
        <v>868</v>
      </c>
      <c r="B290" s="89" t="s">
        <v>273</v>
      </c>
      <c r="C290" s="89" t="str">
        <f t="shared" si="5"/>
        <v>A.15.1.1 290</v>
      </c>
      <c r="D290" s="90" t="s">
        <v>9</v>
      </c>
      <c r="E290" s="89" t="s">
        <v>8</v>
      </c>
      <c r="F290" s="91" t="s">
        <v>274</v>
      </c>
      <c r="G290" s="91"/>
      <c r="H290" s="91"/>
      <c r="I290" s="91"/>
      <c r="K290" s="89" t="s">
        <v>17</v>
      </c>
      <c r="L290" s="89" t="s">
        <v>17</v>
      </c>
      <c r="M290" s="89" t="s">
        <v>17</v>
      </c>
      <c r="N290" s="89" t="s">
        <v>17</v>
      </c>
      <c r="O290" s="89" t="s">
        <v>305</v>
      </c>
      <c r="P290" s="89" t="s">
        <v>305</v>
      </c>
      <c r="Q290" s="89" t="s">
        <v>10</v>
      </c>
      <c r="R290" s="89" t="s">
        <v>10</v>
      </c>
      <c r="S290" s="89" t="s">
        <v>876</v>
      </c>
      <c r="T290" s="89" t="s">
        <v>10</v>
      </c>
      <c r="U290" s="89" t="s">
        <v>10</v>
      </c>
      <c r="V290" s="89" t="s">
        <v>10</v>
      </c>
      <c r="W290" s="89" t="s">
        <v>305</v>
      </c>
      <c r="X290" s="89" t="s">
        <v>10</v>
      </c>
      <c r="AH290" s="89" t="str">
        <f>IFERROR(VLOOKUP($Y290,#REF!,AH$1,FALSE),"")</f>
        <v/>
      </c>
      <c r="AI290" s="89" t="str">
        <f>IFERROR(VLOOKUP($Y290,#REF!,AI$1,FALSE),"")</f>
        <v/>
      </c>
    </row>
    <row r="291" spans="1:35" ht="38.25" x14ac:dyDescent="0.25">
      <c r="A291" s="89" t="s">
        <v>868</v>
      </c>
      <c r="B291" s="89" t="s">
        <v>273</v>
      </c>
      <c r="C291" s="89" t="str">
        <f t="shared" si="5"/>
        <v>A.15.1.1 291</v>
      </c>
      <c r="D291" s="90" t="s">
        <v>9</v>
      </c>
      <c r="E291" s="89" t="s">
        <v>8</v>
      </c>
      <c r="F291" s="91" t="s">
        <v>275</v>
      </c>
      <c r="G291" s="91"/>
      <c r="H291" s="91"/>
      <c r="I291" s="91"/>
      <c r="K291" s="89" t="s">
        <v>17</v>
      </c>
      <c r="L291" s="89" t="s">
        <v>17</v>
      </c>
      <c r="M291" s="89" t="s">
        <v>17</v>
      </c>
      <c r="N291" s="89" t="s">
        <v>17</v>
      </c>
      <c r="O291" s="89" t="s">
        <v>305</v>
      </c>
      <c r="P291" s="89" t="s">
        <v>305</v>
      </c>
      <c r="Q291" s="89" t="s">
        <v>10</v>
      </c>
      <c r="R291" s="89" t="s">
        <v>10</v>
      </c>
      <c r="S291" s="89" t="s">
        <v>876</v>
      </c>
      <c r="T291" s="89" t="s">
        <v>10</v>
      </c>
      <c r="U291" s="89" t="s">
        <v>10</v>
      </c>
      <c r="V291" s="89" t="s">
        <v>10</v>
      </c>
      <c r="W291" s="89" t="s">
        <v>305</v>
      </c>
      <c r="X291" s="89" t="s">
        <v>10</v>
      </c>
      <c r="AH291" s="89" t="str">
        <f>IFERROR(VLOOKUP($Y291,#REF!,AH$1,FALSE),"")</f>
        <v/>
      </c>
      <c r="AI291" s="89" t="str">
        <f>IFERROR(VLOOKUP($Y291,#REF!,AI$1,FALSE),"")</f>
        <v/>
      </c>
    </row>
    <row r="292" spans="1:35" ht="51" x14ac:dyDescent="0.25">
      <c r="A292" s="89" t="s">
        <v>868</v>
      </c>
      <c r="B292" s="89" t="s">
        <v>273</v>
      </c>
      <c r="C292" s="89" t="str">
        <f t="shared" si="5"/>
        <v>A.15.1.1 292</v>
      </c>
      <c r="D292" s="90" t="s">
        <v>602</v>
      </c>
      <c r="E292" s="89" t="s">
        <v>8</v>
      </c>
      <c r="F292" s="91" t="s">
        <v>577</v>
      </c>
      <c r="G292" s="91" t="s">
        <v>576</v>
      </c>
      <c r="H292" s="91"/>
      <c r="I292" s="91"/>
      <c r="K292" s="89" t="s">
        <v>17</v>
      </c>
      <c r="L292" s="89" t="s">
        <v>17</v>
      </c>
      <c r="M292" s="89" t="s">
        <v>17</v>
      </c>
      <c r="N292" s="89" t="s">
        <v>17</v>
      </c>
      <c r="O292" s="89" t="s">
        <v>305</v>
      </c>
      <c r="P292" s="89" t="s">
        <v>305</v>
      </c>
      <c r="Q292" s="89" t="s">
        <v>17</v>
      </c>
      <c r="R292" s="89" t="s">
        <v>17</v>
      </c>
      <c r="S292" s="89" t="s">
        <v>17</v>
      </c>
      <c r="T292" s="89" t="s">
        <v>17</v>
      </c>
      <c r="U292" s="89" t="s">
        <v>17</v>
      </c>
      <c r="V292" s="89" t="s">
        <v>17</v>
      </c>
      <c r="W292" s="89" t="s">
        <v>305</v>
      </c>
      <c r="X292" s="89" t="s">
        <v>17</v>
      </c>
      <c r="Y292" s="95"/>
      <c r="AH292" s="89" t="str">
        <f>IFERROR(VLOOKUP($Y292,#REF!,AH$1,FALSE),"")</f>
        <v/>
      </c>
      <c r="AI292" s="89" t="str">
        <f>IFERROR(VLOOKUP($Y292,#REF!,AI$1,FALSE),"")</f>
        <v/>
      </c>
    </row>
    <row r="293" spans="1:35" ht="38.25" x14ac:dyDescent="0.25">
      <c r="A293" s="89" t="s">
        <v>868</v>
      </c>
      <c r="B293" s="89" t="s">
        <v>273</v>
      </c>
      <c r="C293" s="89" t="str">
        <f t="shared" si="5"/>
        <v>A.15.1.1 293</v>
      </c>
      <c r="D293" s="90" t="s">
        <v>603</v>
      </c>
      <c r="E293" s="89" t="s">
        <v>8</v>
      </c>
      <c r="F293" s="91" t="s">
        <v>579</v>
      </c>
      <c r="G293" s="91" t="s">
        <v>578</v>
      </c>
      <c r="H293" s="91"/>
      <c r="I293" s="91"/>
      <c r="K293" s="89" t="s">
        <v>17</v>
      </c>
      <c r="L293" s="89" t="s">
        <v>17</v>
      </c>
      <c r="M293" s="89" t="s">
        <v>17</v>
      </c>
      <c r="N293" s="89" t="s">
        <v>17</v>
      </c>
      <c r="O293" s="89" t="s">
        <v>305</v>
      </c>
      <c r="P293" s="89" t="s">
        <v>305</v>
      </c>
      <c r="Q293" s="89" t="s">
        <v>17</v>
      </c>
      <c r="R293" s="89" t="s">
        <v>17</v>
      </c>
      <c r="S293" s="89" t="s">
        <v>17</v>
      </c>
      <c r="T293" s="89" t="s">
        <v>17</v>
      </c>
      <c r="U293" s="89" t="s">
        <v>17</v>
      </c>
      <c r="V293" s="89" t="s">
        <v>17</v>
      </c>
      <c r="W293" s="89" t="s">
        <v>305</v>
      </c>
      <c r="X293" s="89" t="s">
        <v>17</v>
      </c>
      <c r="Y293" s="95"/>
      <c r="AH293" s="89" t="str">
        <f>IFERROR(VLOOKUP($Y293,#REF!,AH$1,FALSE),"")</f>
        <v/>
      </c>
      <c r="AI293" s="89" t="str">
        <f>IFERROR(VLOOKUP($Y293,#REF!,AI$1,FALSE),"")</f>
        <v/>
      </c>
    </row>
    <row r="294" spans="1:35" ht="63.75" x14ac:dyDescent="0.25">
      <c r="A294" s="89" t="s">
        <v>868</v>
      </c>
      <c r="B294" s="89" t="s">
        <v>273</v>
      </c>
      <c r="C294" s="89" t="str">
        <f t="shared" si="5"/>
        <v>A.15.1.1 294</v>
      </c>
      <c r="D294" s="90" t="s">
        <v>604</v>
      </c>
      <c r="E294" s="89" t="s">
        <v>8</v>
      </c>
      <c r="F294" s="91" t="s">
        <v>581</v>
      </c>
      <c r="G294" s="91" t="s">
        <v>580</v>
      </c>
      <c r="H294" s="91"/>
      <c r="I294" s="91"/>
      <c r="K294" s="89" t="s">
        <v>17</v>
      </c>
      <c r="L294" s="89" t="s">
        <v>17</v>
      </c>
      <c r="M294" s="89" t="s">
        <v>17</v>
      </c>
      <c r="N294" s="89" t="s">
        <v>17</v>
      </c>
      <c r="O294" s="89" t="s">
        <v>305</v>
      </c>
      <c r="P294" s="89" t="s">
        <v>305</v>
      </c>
      <c r="Q294" s="89" t="s">
        <v>10</v>
      </c>
      <c r="R294" s="89" t="s">
        <v>10</v>
      </c>
      <c r="S294" s="89" t="s">
        <v>876</v>
      </c>
      <c r="T294" s="89" t="s">
        <v>10</v>
      </c>
      <c r="U294" s="89" t="s">
        <v>10</v>
      </c>
      <c r="V294" s="89" t="s">
        <v>17</v>
      </c>
      <c r="W294" s="89" t="s">
        <v>305</v>
      </c>
      <c r="X294" s="89" t="s">
        <v>10</v>
      </c>
      <c r="Y294" s="95"/>
      <c r="AH294" s="89" t="str">
        <f>IFERROR(VLOOKUP($Y294,#REF!,AH$1,FALSE),"")</f>
        <v/>
      </c>
      <c r="AI294" s="89" t="str">
        <f>IFERROR(VLOOKUP($Y294,#REF!,AI$1,FALSE),"")</f>
        <v/>
      </c>
    </row>
    <row r="295" spans="1:35" ht="51" x14ac:dyDescent="0.25">
      <c r="A295" s="89" t="s">
        <v>868</v>
      </c>
      <c r="B295" s="89" t="s">
        <v>273</v>
      </c>
      <c r="C295" s="89" t="str">
        <f t="shared" si="5"/>
        <v>A.15.1.1 295</v>
      </c>
      <c r="D295" s="90" t="s">
        <v>15</v>
      </c>
      <c r="E295" s="89" t="s">
        <v>13</v>
      </c>
      <c r="F295" s="91" t="s">
        <v>276</v>
      </c>
      <c r="G295" s="91"/>
      <c r="H295" s="91"/>
      <c r="I295" s="91"/>
      <c r="K295" s="89" t="s">
        <v>17</v>
      </c>
      <c r="L295" s="89" t="s">
        <v>17</v>
      </c>
      <c r="M295" s="89" t="s">
        <v>17</v>
      </c>
      <c r="N295" s="89" t="s">
        <v>17</v>
      </c>
      <c r="O295" s="89" t="s">
        <v>305</v>
      </c>
      <c r="P295" s="89" t="s">
        <v>305</v>
      </c>
      <c r="Q295" s="89" t="s">
        <v>10</v>
      </c>
      <c r="R295" s="89" t="s">
        <v>10</v>
      </c>
      <c r="S295" s="89" t="s">
        <v>876</v>
      </c>
      <c r="T295" s="89" t="s">
        <v>10</v>
      </c>
      <c r="U295" s="89" t="s">
        <v>10</v>
      </c>
      <c r="V295" s="89" t="s">
        <v>10</v>
      </c>
      <c r="W295" s="89" t="s">
        <v>305</v>
      </c>
      <c r="X295" s="89" t="s">
        <v>10</v>
      </c>
      <c r="AH295" s="89" t="str">
        <f>IFERROR(VLOOKUP($Y295,#REF!,AH$1,FALSE),"")</f>
        <v/>
      </c>
      <c r="AI295" s="89" t="str">
        <f>IFERROR(VLOOKUP($Y295,#REF!,AI$1,FALSE),"")</f>
        <v/>
      </c>
    </row>
    <row r="296" spans="1:35" ht="51" x14ac:dyDescent="0.25">
      <c r="A296" s="89" t="s">
        <v>868</v>
      </c>
      <c r="B296" s="89" t="s">
        <v>273</v>
      </c>
      <c r="C296" s="89" t="str">
        <f t="shared" si="5"/>
        <v>A.15.1.1 296</v>
      </c>
      <c r="D296" s="90" t="s">
        <v>15</v>
      </c>
      <c r="E296" s="89" t="s">
        <v>13</v>
      </c>
      <c r="F296" s="91" t="s">
        <v>277</v>
      </c>
      <c r="G296" s="91"/>
      <c r="H296" s="91"/>
      <c r="I296" s="91"/>
      <c r="K296" s="89" t="s">
        <v>17</v>
      </c>
      <c r="L296" s="89" t="s">
        <v>17</v>
      </c>
      <c r="M296" s="89" t="s">
        <v>17</v>
      </c>
      <c r="N296" s="89" t="s">
        <v>17</v>
      </c>
      <c r="O296" s="89" t="s">
        <v>305</v>
      </c>
      <c r="P296" s="89" t="s">
        <v>305</v>
      </c>
      <c r="Q296" s="89" t="s">
        <v>10</v>
      </c>
      <c r="R296" s="89" t="s">
        <v>10</v>
      </c>
      <c r="S296" s="89" t="s">
        <v>876</v>
      </c>
      <c r="T296" s="89" t="s">
        <v>10</v>
      </c>
      <c r="U296" s="89" t="s">
        <v>10</v>
      </c>
      <c r="V296" s="89" t="s">
        <v>10</v>
      </c>
      <c r="W296" s="89" t="s">
        <v>305</v>
      </c>
      <c r="X296" s="89" t="s">
        <v>10</v>
      </c>
      <c r="AH296" s="89" t="str">
        <f>IFERROR(VLOOKUP($Y296,#REF!,AH$1,FALSE),"")</f>
        <v/>
      </c>
      <c r="AI296" s="89" t="str">
        <f>IFERROR(VLOOKUP($Y296,#REF!,AI$1,FALSE),"")</f>
        <v/>
      </c>
    </row>
    <row r="297" spans="1:35" x14ac:dyDescent="0.25">
      <c r="A297" s="89" t="s">
        <v>868</v>
      </c>
      <c r="B297" s="89" t="s">
        <v>278</v>
      </c>
      <c r="C297" s="89" t="str">
        <f t="shared" si="5"/>
        <v>A.15.1.2 297</v>
      </c>
      <c r="D297" s="90" t="s">
        <v>612</v>
      </c>
      <c r="E297" s="89" t="s">
        <v>309</v>
      </c>
      <c r="F297" s="91" t="s">
        <v>315</v>
      </c>
      <c r="G297" s="91"/>
      <c r="H297" s="91"/>
      <c r="I297" s="91"/>
      <c r="K297" s="89" t="s">
        <v>17</v>
      </c>
      <c r="L297" s="89" t="s">
        <v>17</v>
      </c>
      <c r="M297" s="89" t="s">
        <v>17</v>
      </c>
      <c r="N297" s="89" t="s">
        <v>17</v>
      </c>
      <c r="O297" s="89" t="s">
        <v>305</v>
      </c>
      <c r="P297" s="89" t="s">
        <v>305</v>
      </c>
      <c r="Q297" s="89" t="s">
        <v>10</v>
      </c>
      <c r="R297" s="89" t="s">
        <v>10</v>
      </c>
      <c r="S297" s="89" t="s">
        <v>876</v>
      </c>
      <c r="T297" s="89" t="s">
        <v>10</v>
      </c>
      <c r="U297" s="89" t="s">
        <v>10</v>
      </c>
      <c r="V297" s="89" t="s">
        <v>10</v>
      </c>
      <c r="W297" s="89" t="s">
        <v>305</v>
      </c>
      <c r="X297" s="89" t="s">
        <v>10</v>
      </c>
      <c r="Y297" s="96"/>
      <c r="AH297" s="89" t="str">
        <f>IFERROR(VLOOKUP($Y297,#REF!,AH$1,FALSE),"")</f>
        <v/>
      </c>
      <c r="AI297" s="89" t="str">
        <f>IFERROR(VLOOKUP($Y297,#REF!,AI$1,FALSE),"")</f>
        <v/>
      </c>
    </row>
    <row r="298" spans="1:35" ht="76.5" x14ac:dyDescent="0.25">
      <c r="A298" s="89" t="s">
        <v>868</v>
      </c>
      <c r="B298" s="89" t="s">
        <v>278</v>
      </c>
      <c r="C298" s="89" t="str">
        <f t="shared" si="5"/>
        <v>A.15.1.2 298</v>
      </c>
      <c r="D298" s="90" t="s">
        <v>601</v>
      </c>
      <c r="E298" s="89" t="s">
        <v>8</v>
      </c>
      <c r="F298" s="91" t="s">
        <v>583</v>
      </c>
      <c r="G298" s="91" t="s">
        <v>582</v>
      </c>
      <c r="H298" s="91"/>
      <c r="I298" s="91"/>
      <c r="K298" s="89" t="s">
        <v>17</v>
      </c>
      <c r="L298" s="89" t="s">
        <v>17</v>
      </c>
      <c r="M298" s="89" t="s">
        <v>17</v>
      </c>
      <c r="N298" s="89" t="s">
        <v>17</v>
      </c>
      <c r="O298" s="89" t="s">
        <v>305</v>
      </c>
      <c r="P298" s="89" t="s">
        <v>305</v>
      </c>
      <c r="Q298" s="89" t="s">
        <v>10</v>
      </c>
      <c r="R298" s="89" t="s">
        <v>10</v>
      </c>
      <c r="S298" s="89" t="s">
        <v>876</v>
      </c>
      <c r="T298" s="89" t="s">
        <v>10</v>
      </c>
      <c r="U298" s="89" t="s">
        <v>10</v>
      </c>
      <c r="V298" s="89" t="s">
        <v>17</v>
      </c>
      <c r="W298" s="89" t="s">
        <v>305</v>
      </c>
      <c r="X298" s="89" t="s">
        <v>10</v>
      </c>
      <c r="Y298" s="95"/>
      <c r="AH298" s="89" t="str">
        <f>IFERROR(VLOOKUP($Y298,#REF!,AH$1,FALSE),"")</f>
        <v/>
      </c>
      <c r="AI298" s="89" t="str">
        <f>IFERROR(VLOOKUP($Y298,#REF!,AI$1,FALSE),"")</f>
        <v/>
      </c>
    </row>
    <row r="299" spans="1:35" x14ac:dyDescent="0.25">
      <c r="A299" s="89" t="s">
        <v>868</v>
      </c>
      <c r="B299" s="89" t="s">
        <v>278</v>
      </c>
      <c r="C299" s="89" t="str">
        <f t="shared" si="5"/>
        <v>A.15.1.2 299</v>
      </c>
      <c r="D299" s="90" t="s">
        <v>11</v>
      </c>
      <c r="E299" s="89" t="s">
        <v>13</v>
      </c>
      <c r="F299" s="91" t="s">
        <v>279</v>
      </c>
      <c r="G299" s="91"/>
      <c r="H299" s="91"/>
      <c r="I299" s="91"/>
      <c r="K299" s="89" t="s">
        <v>17</v>
      </c>
      <c r="L299" s="89" t="s">
        <v>17</v>
      </c>
      <c r="M299" s="89" t="s">
        <v>17</v>
      </c>
      <c r="N299" s="89" t="s">
        <v>17</v>
      </c>
      <c r="O299" s="89" t="s">
        <v>305</v>
      </c>
      <c r="P299" s="89" t="s">
        <v>305</v>
      </c>
      <c r="Q299" s="89" t="s">
        <v>10</v>
      </c>
      <c r="R299" s="89" t="s">
        <v>10</v>
      </c>
      <c r="S299" s="89" t="s">
        <v>876</v>
      </c>
      <c r="T299" s="89" t="s">
        <v>10</v>
      </c>
      <c r="U299" s="89" t="s">
        <v>10</v>
      </c>
      <c r="V299" s="89" t="s">
        <v>10</v>
      </c>
      <c r="W299" s="89" t="s">
        <v>305</v>
      </c>
      <c r="X299" s="89" t="s">
        <v>10</v>
      </c>
      <c r="AH299" s="89" t="str">
        <f>IFERROR(VLOOKUP($Y299,#REF!,AH$1,FALSE),"")</f>
        <v/>
      </c>
      <c r="AI299" s="89" t="str">
        <f>IFERROR(VLOOKUP($Y299,#REF!,AI$1,FALSE),"")</f>
        <v/>
      </c>
    </row>
    <row r="300" spans="1:35" ht="25.5" x14ac:dyDescent="0.25">
      <c r="A300" s="89" t="s">
        <v>868</v>
      </c>
      <c r="B300" s="89" t="s">
        <v>280</v>
      </c>
      <c r="C300" s="89" t="str">
        <f t="shared" si="5"/>
        <v>A.15.1.3 300</v>
      </c>
      <c r="D300" s="90" t="s">
        <v>612</v>
      </c>
      <c r="E300" s="89" t="s">
        <v>309</v>
      </c>
      <c r="F300" s="91" t="s">
        <v>316</v>
      </c>
      <c r="G300" s="20" t="s">
        <v>652</v>
      </c>
      <c r="H300" s="91"/>
      <c r="I300" s="91"/>
      <c r="K300" s="89" t="s">
        <v>17</v>
      </c>
      <c r="L300" s="89" t="s">
        <v>17</v>
      </c>
      <c r="M300" s="89" t="s">
        <v>17</v>
      </c>
      <c r="N300" s="89" t="s">
        <v>17</v>
      </c>
      <c r="O300" s="89" t="s">
        <v>305</v>
      </c>
      <c r="P300" s="89" t="s">
        <v>305</v>
      </c>
      <c r="Q300" s="89" t="s">
        <v>10</v>
      </c>
      <c r="R300" s="89" t="s">
        <v>10</v>
      </c>
      <c r="S300" s="89" t="s">
        <v>876</v>
      </c>
      <c r="T300" s="89" t="s">
        <v>10</v>
      </c>
      <c r="U300" s="89" t="s">
        <v>10</v>
      </c>
      <c r="V300" s="89" t="s">
        <v>10</v>
      </c>
      <c r="W300" s="89" t="s">
        <v>305</v>
      </c>
      <c r="X300" s="89" t="s">
        <v>10</v>
      </c>
      <c r="Y300" s="96"/>
      <c r="AH300" s="89" t="str">
        <f>IFERROR(VLOOKUP($Y300,#REF!,AH$1,FALSE),"")</f>
        <v/>
      </c>
      <c r="AI300" s="89" t="str">
        <f>IFERROR(VLOOKUP($Y300,#REF!,AI$1,FALSE),"")</f>
        <v/>
      </c>
    </row>
    <row r="301" spans="1:35" ht="25.5" x14ac:dyDescent="0.25">
      <c r="A301" s="89" t="s">
        <v>868</v>
      </c>
      <c r="B301" s="89" t="s">
        <v>280</v>
      </c>
      <c r="C301" s="89" t="str">
        <f t="shared" si="5"/>
        <v>A.15.1.3 301</v>
      </c>
      <c r="D301" s="90" t="s">
        <v>9</v>
      </c>
      <c r="E301" s="89" t="s">
        <v>13</v>
      </c>
      <c r="F301" s="91" t="s">
        <v>281</v>
      </c>
      <c r="G301" s="91"/>
      <c r="H301" s="91"/>
      <c r="I301" s="91"/>
      <c r="K301" s="89" t="s">
        <v>17</v>
      </c>
      <c r="L301" s="89" t="s">
        <v>17</v>
      </c>
      <c r="M301" s="89" t="s">
        <v>17</v>
      </c>
      <c r="N301" s="89" t="s">
        <v>17</v>
      </c>
      <c r="O301" s="89" t="s">
        <v>305</v>
      </c>
      <c r="P301" s="89" t="s">
        <v>305</v>
      </c>
      <c r="Q301" s="89" t="s">
        <v>10</v>
      </c>
      <c r="R301" s="89" t="s">
        <v>10</v>
      </c>
      <c r="S301" s="89" t="s">
        <v>876</v>
      </c>
      <c r="T301" s="89" t="s">
        <v>10</v>
      </c>
      <c r="U301" s="89" t="s">
        <v>10</v>
      </c>
      <c r="V301" s="89" t="s">
        <v>10</v>
      </c>
      <c r="W301" s="89" t="s">
        <v>305</v>
      </c>
      <c r="X301" s="89" t="s">
        <v>10</v>
      </c>
      <c r="AH301" s="89" t="str">
        <f>IFERROR(VLOOKUP($Y301,#REF!,AH$1,FALSE),"")</f>
        <v/>
      </c>
      <c r="AI301" s="89" t="str">
        <f>IFERROR(VLOOKUP($Y301,#REF!,AI$1,FALSE),"")</f>
        <v/>
      </c>
    </row>
    <row r="302" spans="1:35" ht="25.5" x14ac:dyDescent="0.25">
      <c r="A302" s="89" t="s">
        <v>868</v>
      </c>
      <c r="B302" s="89" t="s">
        <v>282</v>
      </c>
      <c r="C302" s="89" t="str">
        <f t="shared" si="5"/>
        <v>A.16.1.1 302</v>
      </c>
      <c r="D302" s="90" t="s">
        <v>612</v>
      </c>
      <c r="E302" s="89" t="s">
        <v>309</v>
      </c>
      <c r="F302" s="91" t="s">
        <v>1485</v>
      </c>
      <c r="G302" s="20" t="s">
        <v>1487</v>
      </c>
      <c r="H302" s="91"/>
      <c r="I302" s="91"/>
      <c r="K302" s="89" t="s">
        <v>17</v>
      </c>
      <c r="L302" s="89" t="s">
        <v>17</v>
      </c>
      <c r="M302" s="89" t="s">
        <v>17</v>
      </c>
      <c r="N302" s="89" t="s">
        <v>17</v>
      </c>
      <c r="O302" s="89" t="s">
        <v>305</v>
      </c>
      <c r="P302" s="89" t="s">
        <v>305</v>
      </c>
      <c r="Q302" s="89" t="s">
        <v>17</v>
      </c>
      <c r="R302" s="89" t="s">
        <v>17</v>
      </c>
      <c r="S302" s="89" t="s">
        <v>17</v>
      </c>
      <c r="T302" s="89" t="s">
        <v>17</v>
      </c>
      <c r="U302" s="89" t="s">
        <v>17</v>
      </c>
      <c r="V302" s="89" t="s">
        <v>17</v>
      </c>
      <c r="W302" s="89" t="s">
        <v>305</v>
      </c>
      <c r="X302" s="89" t="s">
        <v>17</v>
      </c>
      <c r="Y302" s="96"/>
      <c r="AH302" s="89" t="str">
        <f>IFERROR(VLOOKUP($Y302,#REF!,AH$1,FALSE),"")</f>
        <v/>
      </c>
      <c r="AI302" s="89" t="str">
        <f>IFERROR(VLOOKUP($Y302,#REF!,AI$1,FALSE),"")</f>
        <v/>
      </c>
    </row>
    <row r="303" spans="1:35" ht="25.5" x14ac:dyDescent="0.25">
      <c r="A303" s="89" t="s">
        <v>868</v>
      </c>
      <c r="B303" s="89" t="s">
        <v>282</v>
      </c>
      <c r="C303" s="89" t="str">
        <f t="shared" si="5"/>
        <v>A.16.1.1 303</v>
      </c>
      <c r="D303" s="90" t="s">
        <v>612</v>
      </c>
      <c r="E303" s="89" t="s">
        <v>309</v>
      </c>
      <c r="F303" s="91" t="s">
        <v>1483</v>
      </c>
      <c r="G303" s="20" t="s">
        <v>1486</v>
      </c>
      <c r="H303" s="91"/>
      <c r="I303" s="91"/>
      <c r="K303" s="89" t="s">
        <v>17</v>
      </c>
      <c r="L303" s="89" t="s">
        <v>17</v>
      </c>
      <c r="M303" s="89" t="s">
        <v>17</v>
      </c>
      <c r="N303" s="89" t="s">
        <v>17</v>
      </c>
      <c r="O303" s="89" t="s">
        <v>305</v>
      </c>
      <c r="P303" s="89" t="s">
        <v>305</v>
      </c>
      <c r="Q303" s="89" t="s">
        <v>17</v>
      </c>
      <c r="R303" s="89" t="s">
        <v>17</v>
      </c>
      <c r="S303" s="89" t="s">
        <v>17</v>
      </c>
      <c r="T303" s="89" t="s">
        <v>17</v>
      </c>
      <c r="U303" s="89" t="s">
        <v>17</v>
      </c>
      <c r="W303" s="89" t="s">
        <v>305</v>
      </c>
      <c r="X303" s="89" t="s">
        <v>17</v>
      </c>
      <c r="Y303" s="96"/>
      <c r="AH303" s="89" t="str">
        <f>IFERROR(VLOOKUP($Y303,#REF!,AH$1,FALSE),"")</f>
        <v/>
      </c>
      <c r="AI303" s="89" t="str">
        <f>IFERROR(VLOOKUP($Y303,#REF!,AI$1,FALSE),"")</f>
        <v/>
      </c>
    </row>
    <row r="304" spans="1:35" ht="38.25" x14ac:dyDescent="0.25">
      <c r="A304" s="89" t="s">
        <v>868</v>
      </c>
      <c r="B304" s="89" t="s">
        <v>282</v>
      </c>
      <c r="C304" s="89" t="str">
        <f t="shared" si="5"/>
        <v>A.16.1.1 304</v>
      </c>
      <c r="D304" s="90" t="s">
        <v>9</v>
      </c>
      <c r="E304" s="89" t="s">
        <v>8</v>
      </c>
      <c r="F304" s="91" t="s">
        <v>283</v>
      </c>
      <c r="G304" s="91"/>
      <c r="H304" s="91"/>
      <c r="I304" s="91"/>
      <c r="K304" s="89" t="s">
        <v>17</v>
      </c>
      <c r="L304" s="89" t="s">
        <v>17</v>
      </c>
      <c r="M304" s="89" t="s">
        <v>17</v>
      </c>
      <c r="N304" s="89" t="s">
        <v>17</v>
      </c>
      <c r="O304" s="89" t="s">
        <v>305</v>
      </c>
      <c r="P304" s="89" t="s">
        <v>305</v>
      </c>
      <c r="Q304" s="89" t="s">
        <v>17</v>
      </c>
      <c r="R304" s="89" t="s">
        <v>17</v>
      </c>
      <c r="S304" s="89" t="s">
        <v>17</v>
      </c>
      <c r="T304" s="89" t="s">
        <v>17</v>
      </c>
      <c r="U304" s="89" t="s">
        <v>17</v>
      </c>
      <c r="V304" s="89" t="s">
        <v>10</v>
      </c>
      <c r="W304" s="89" t="s">
        <v>305</v>
      </c>
      <c r="X304" s="89" t="s">
        <v>17</v>
      </c>
      <c r="AH304" s="89" t="str">
        <f>IFERROR(VLOOKUP($Y304,#REF!,AH$1,FALSE),"")</f>
        <v/>
      </c>
      <c r="AI304" s="89" t="str">
        <f>IFERROR(VLOOKUP($Y304,#REF!,AI$1,FALSE),"")</f>
        <v/>
      </c>
    </row>
    <row r="305" spans="1:35" ht="38.25" x14ac:dyDescent="0.25">
      <c r="A305" s="89" t="s">
        <v>868</v>
      </c>
      <c r="B305" s="89" t="s">
        <v>282</v>
      </c>
      <c r="C305" s="89" t="str">
        <f t="shared" si="5"/>
        <v>A.16.1.1 305</v>
      </c>
      <c r="D305" s="90" t="s">
        <v>11</v>
      </c>
      <c r="E305" s="89" t="s">
        <v>8</v>
      </c>
      <c r="F305" s="91" t="s">
        <v>284</v>
      </c>
      <c r="G305" s="91"/>
      <c r="H305" s="91"/>
      <c r="I305" s="91"/>
      <c r="K305" s="89" t="s">
        <v>17</v>
      </c>
      <c r="L305" s="89" t="s">
        <v>17</v>
      </c>
      <c r="M305" s="89" t="s">
        <v>17</v>
      </c>
      <c r="N305" s="89" t="s">
        <v>17</v>
      </c>
      <c r="O305" s="89" t="s">
        <v>305</v>
      </c>
      <c r="P305" s="89" t="s">
        <v>305</v>
      </c>
      <c r="Q305" s="89" t="s">
        <v>17</v>
      </c>
      <c r="R305" s="89" t="s">
        <v>10</v>
      </c>
      <c r="S305" s="89" t="s">
        <v>10</v>
      </c>
      <c r="T305" s="89" t="s">
        <v>10</v>
      </c>
      <c r="U305" s="89" t="s">
        <v>10</v>
      </c>
      <c r="V305" s="89" t="s">
        <v>10</v>
      </c>
      <c r="W305" s="89" t="s">
        <v>305</v>
      </c>
      <c r="X305" s="89" t="s">
        <v>10</v>
      </c>
      <c r="AH305" s="89" t="str">
        <f>IFERROR(VLOOKUP($Y305,#REF!,AH$1,FALSE),"")</f>
        <v/>
      </c>
      <c r="AI305" s="89" t="str">
        <f>IFERROR(VLOOKUP($Y305,#REF!,AI$1,FALSE),"")</f>
        <v/>
      </c>
    </row>
    <row r="306" spans="1:35" ht="38.25" x14ac:dyDescent="0.25">
      <c r="A306" s="89" t="s">
        <v>868</v>
      </c>
      <c r="B306" s="89" t="s">
        <v>282</v>
      </c>
      <c r="C306" s="89" t="str">
        <f t="shared" si="5"/>
        <v>A.16.1.1 306</v>
      </c>
      <c r="D306" s="90" t="s">
        <v>12</v>
      </c>
      <c r="E306" s="89" t="s">
        <v>8</v>
      </c>
      <c r="F306" s="91" t="s">
        <v>285</v>
      </c>
      <c r="G306" s="91"/>
      <c r="H306" s="91"/>
      <c r="I306" s="91"/>
      <c r="K306" s="89" t="s">
        <v>17</v>
      </c>
      <c r="L306" s="89" t="s">
        <v>17</v>
      </c>
      <c r="M306" s="89" t="s">
        <v>17</v>
      </c>
      <c r="N306" s="89" t="s">
        <v>17</v>
      </c>
      <c r="O306" s="89" t="s">
        <v>305</v>
      </c>
      <c r="P306" s="89" t="s">
        <v>305</v>
      </c>
      <c r="Q306" s="89" t="s">
        <v>17</v>
      </c>
      <c r="R306" s="89" t="s">
        <v>17</v>
      </c>
      <c r="S306" s="89" t="s">
        <v>17</v>
      </c>
      <c r="T306" s="89" t="s">
        <v>17</v>
      </c>
      <c r="U306" s="89" t="s">
        <v>17</v>
      </c>
      <c r="V306" s="89" t="s">
        <v>10</v>
      </c>
      <c r="W306" s="89" t="s">
        <v>305</v>
      </c>
      <c r="X306" s="89" t="s">
        <v>17</v>
      </c>
      <c r="AH306" s="89" t="str">
        <f>IFERROR(VLOOKUP($Y306,#REF!,AH$1,FALSE),"")</f>
        <v/>
      </c>
      <c r="AI306" s="89" t="str">
        <f>IFERROR(VLOOKUP($Y306,#REF!,AI$1,FALSE),"")</f>
        <v/>
      </c>
    </row>
    <row r="307" spans="1:35" ht="38.25" x14ac:dyDescent="0.25">
      <c r="A307" s="89" t="s">
        <v>868</v>
      </c>
      <c r="B307" s="89" t="s">
        <v>282</v>
      </c>
      <c r="C307" s="89" t="str">
        <f t="shared" si="5"/>
        <v>A.16.1.1 307</v>
      </c>
      <c r="D307" s="90" t="s">
        <v>604</v>
      </c>
      <c r="E307" s="89" t="s">
        <v>8</v>
      </c>
      <c r="F307" s="91" t="s">
        <v>585</v>
      </c>
      <c r="G307" s="91" t="s">
        <v>584</v>
      </c>
      <c r="H307" s="91"/>
      <c r="I307" s="91"/>
      <c r="K307" s="89" t="s">
        <v>17</v>
      </c>
      <c r="L307" s="89" t="s">
        <v>17</v>
      </c>
      <c r="M307" s="89" t="s">
        <v>17</v>
      </c>
      <c r="N307" s="89" t="s">
        <v>17</v>
      </c>
      <c r="O307" s="89" t="s">
        <v>305</v>
      </c>
      <c r="P307" s="89" t="s">
        <v>305</v>
      </c>
      <c r="Q307" s="89" t="s">
        <v>17</v>
      </c>
      <c r="R307" s="89" t="s">
        <v>17</v>
      </c>
      <c r="S307" s="89" t="s">
        <v>17</v>
      </c>
      <c r="T307" s="89" t="s">
        <v>17</v>
      </c>
      <c r="U307" s="89" t="s">
        <v>17</v>
      </c>
      <c r="V307" s="89" t="s">
        <v>17</v>
      </c>
      <c r="W307" s="89" t="s">
        <v>305</v>
      </c>
      <c r="X307" s="89" t="s">
        <v>17</v>
      </c>
      <c r="Y307" s="95"/>
      <c r="AH307" s="89" t="str">
        <f>IFERROR(VLOOKUP($Y307,#REF!,AH$1,FALSE),"")</f>
        <v/>
      </c>
      <c r="AI307" s="89" t="str">
        <f>IFERROR(VLOOKUP($Y307,#REF!,AI$1,FALSE),"")</f>
        <v/>
      </c>
    </row>
    <row r="308" spans="1:35" ht="63.75" x14ac:dyDescent="0.25">
      <c r="A308" s="89" t="s">
        <v>868</v>
      </c>
      <c r="B308" s="89" t="s">
        <v>282</v>
      </c>
      <c r="C308" s="89" t="str">
        <f t="shared" si="5"/>
        <v>A.16.1.1 308</v>
      </c>
      <c r="D308" s="90" t="s">
        <v>605</v>
      </c>
      <c r="E308" s="89" t="s">
        <v>8</v>
      </c>
      <c r="F308" s="91" t="s">
        <v>587</v>
      </c>
      <c r="G308" s="91" t="s">
        <v>586</v>
      </c>
      <c r="H308" s="91"/>
      <c r="I308" s="91"/>
      <c r="K308" s="89" t="s">
        <v>17</v>
      </c>
      <c r="L308" s="89" t="s">
        <v>17</v>
      </c>
      <c r="M308" s="89" t="s">
        <v>17</v>
      </c>
      <c r="N308" s="89" t="s">
        <v>17</v>
      </c>
      <c r="O308" s="89" t="s">
        <v>305</v>
      </c>
      <c r="P308" s="89" t="s">
        <v>305</v>
      </c>
      <c r="Q308" s="89" t="s">
        <v>17</v>
      </c>
      <c r="R308" s="89" t="s">
        <v>17</v>
      </c>
      <c r="S308" s="89" t="s">
        <v>17</v>
      </c>
      <c r="T308" s="89" t="s">
        <v>17</v>
      </c>
      <c r="U308" s="89" t="s">
        <v>17</v>
      </c>
      <c r="V308" s="89" t="s">
        <v>17</v>
      </c>
      <c r="W308" s="89" t="s">
        <v>305</v>
      </c>
      <c r="X308" s="89" t="s">
        <v>17</v>
      </c>
      <c r="Y308" s="95"/>
      <c r="AH308" s="89" t="str">
        <f>IFERROR(VLOOKUP($Y308,#REF!,AH$1,FALSE),"")</f>
        <v/>
      </c>
      <c r="AI308" s="89" t="str">
        <f>IFERROR(VLOOKUP($Y308,#REF!,AI$1,FALSE),"")</f>
        <v/>
      </c>
    </row>
    <row r="309" spans="1:35" ht="76.5" x14ac:dyDescent="0.25">
      <c r="A309" s="89" t="s">
        <v>868</v>
      </c>
      <c r="B309" s="89" t="s">
        <v>282</v>
      </c>
      <c r="C309" s="89" t="str">
        <f t="shared" si="5"/>
        <v>A.16.1.1 309</v>
      </c>
      <c r="D309" s="90" t="s">
        <v>606</v>
      </c>
      <c r="E309" s="89" t="s">
        <v>8</v>
      </c>
      <c r="F309" s="91" t="s">
        <v>589</v>
      </c>
      <c r="G309" s="91" t="s">
        <v>588</v>
      </c>
      <c r="H309" s="91"/>
      <c r="I309" s="91"/>
      <c r="K309" s="89" t="s">
        <v>17</v>
      </c>
      <c r="L309" s="89" t="s">
        <v>17</v>
      </c>
      <c r="M309" s="89" t="s">
        <v>17</v>
      </c>
      <c r="N309" s="89" t="s">
        <v>17</v>
      </c>
      <c r="O309" s="89" t="s">
        <v>305</v>
      </c>
      <c r="P309" s="89" t="s">
        <v>305</v>
      </c>
      <c r="Q309" s="89" t="s">
        <v>17</v>
      </c>
      <c r="R309" s="89" t="s">
        <v>17</v>
      </c>
      <c r="S309" s="89" t="s">
        <v>17</v>
      </c>
      <c r="T309" s="89" t="s">
        <v>17</v>
      </c>
      <c r="U309" s="89" t="s">
        <v>17</v>
      </c>
      <c r="V309" s="89" t="s">
        <v>17</v>
      </c>
      <c r="W309" s="89" t="s">
        <v>305</v>
      </c>
      <c r="X309" s="89" t="s">
        <v>17</v>
      </c>
      <c r="Y309" s="95"/>
      <c r="AH309" s="89" t="str">
        <f>IFERROR(VLOOKUP($Y309,#REF!,AH$1,FALSE),"")</f>
        <v/>
      </c>
      <c r="AI309" s="89" t="str">
        <f>IFERROR(VLOOKUP($Y309,#REF!,AI$1,FALSE),"")</f>
        <v/>
      </c>
    </row>
    <row r="310" spans="1:35" ht="51" x14ac:dyDescent="0.25">
      <c r="A310" s="89" t="s">
        <v>868</v>
      </c>
      <c r="B310" s="89" t="s">
        <v>282</v>
      </c>
      <c r="C310" s="89" t="str">
        <f t="shared" si="5"/>
        <v>A.16.1.1 310</v>
      </c>
      <c r="D310" s="90" t="s">
        <v>608</v>
      </c>
      <c r="E310" s="89" t="s">
        <v>8</v>
      </c>
      <c r="F310" s="91" t="s">
        <v>591</v>
      </c>
      <c r="G310" s="91" t="s">
        <v>590</v>
      </c>
      <c r="H310" s="91"/>
      <c r="I310" s="91"/>
      <c r="K310" s="89" t="s">
        <v>17</v>
      </c>
      <c r="L310" s="89" t="s">
        <v>17</v>
      </c>
      <c r="M310" s="89" t="s">
        <v>17</v>
      </c>
      <c r="N310" s="89" t="s">
        <v>17</v>
      </c>
      <c r="O310" s="89" t="s">
        <v>305</v>
      </c>
      <c r="P310" s="89" t="s">
        <v>305</v>
      </c>
      <c r="Q310" s="89" t="s">
        <v>17</v>
      </c>
      <c r="R310" s="89" t="s">
        <v>17</v>
      </c>
      <c r="S310" s="89" t="s">
        <v>17</v>
      </c>
      <c r="T310" s="89" t="s">
        <v>17</v>
      </c>
      <c r="U310" s="89" t="s">
        <v>17</v>
      </c>
      <c r="V310" s="89" t="s">
        <v>17</v>
      </c>
      <c r="W310" s="89" t="s">
        <v>305</v>
      </c>
      <c r="X310" s="89" t="s">
        <v>17</v>
      </c>
      <c r="Y310" s="95"/>
      <c r="AH310" s="89" t="str">
        <f>IFERROR(VLOOKUP($Y310,#REF!,AH$1,FALSE),"")</f>
        <v/>
      </c>
      <c r="AI310" s="89" t="str">
        <f>IFERROR(VLOOKUP($Y310,#REF!,AI$1,FALSE),"")</f>
        <v/>
      </c>
    </row>
    <row r="311" spans="1:35" ht="38.25" x14ac:dyDescent="0.25">
      <c r="A311" s="89" t="s">
        <v>868</v>
      </c>
      <c r="B311" s="89" t="s">
        <v>282</v>
      </c>
      <c r="C311" s="89" t="str">
        <f t="shared" si="5"/>
        <v>A.16.1.1 311</v>
      </c>
      <c r="D311" s="90" t="s">
        <v>30</v>
      </c>
      <c r="E311" s="89" t="s">
        <v>8</v>
      </c>
      <c r="F311" s="91" t="s">
        <v>286</v>
      </c>
      <c r="G311" s="91"/>
      <c r="H311" s="91"/>
      <c r="I311" s="91"/>
      <c r="K311" s="89" t="s">
        <v>17</v>
      </c>
      <c r="L311" s="89" t="s">
        <v>17</v>
      </c>
      <c r="M311" s="89" t="s">
        <v>17</v>
      </c>
      <c r="N311" s="89" t="s">
        <v>17</v>
      </c>
      <c r="O311" s="89" t="s">
        <v>305</v>
      </c>
      <c r="P311" s="89" t="s">
        <v>305</v>
      </c>
      <c r="Q311" s="89" t="s">
        <v>17</v>
      </c>
      <c r="R311" s="89" t="s">
        <v>17</v>
      </c>
      <c r="S311" s="89" t="s">
        <v>17</v>
      </c>
      <c r="T311" s="89" t="s">
        <v>17</v>
      </c>
      <c r="U311" s="89" t="s">
        <v>17</v>
      </c>
      <c r="V311" s="89" t="s">
        <v>10</v>
      </c>
      <c r="W311" s="89" t="s">
        <v>305</v>
      </c>
      <c r="X311" s="89" t="s">
        <v>17</v>
      </c>
      <c r="AH311" s="89" t="str">
        <f>IFERROR(VLOOKUP($Y311,#REF!,AH$1,FALSE),"")</f>
        <v/>
      </c>
      <c r="AI311" s="89" t="str">
        <f>IFERROR(VLOOKUP($Y311,#REF!,AI$1,FALSE),"")</f>
        <v/>
      </c>
    </row>
    <row r="312" spans="1:35" ht="38.25" x14ac:dyDescent="0.25">
      <c r="A312" s="89" t="s">
        <v>868</v>
      </c>
      <c r="B312" s="89" t="s">
        <v>282</v>
      </c>
      <c r="C312" s="89" t="str">
        <f t="shared" si="5"/>
        <v>A.16.1.1 312</v>
      </c>
      <c r="D312" s="90" t="s">
        <v>34</v>
      </c>
      <c r="E312" s="89" t="s">
        <v>8</v>
      </c>
      <c r="F312" s="91" t="s">
        <v>287</v>
      </c>
      <c r="G312" s="91"/>
      <c r="H312" s="91"/>
      <c r="I312" s="91"/>
      <c r="K312" s="89" t="s">
        <v>17</v>
      </c>
      <c r="L312" s="89" t="s">
        <v>17</v>
      </c>
      <c r="M312" s="89" t="s">
        <v>17</v>
      </c>
      <c r="N312" s="89" t="s">
        <v>17</v>
      </c>
      <c r="O312" s="89" t="s">
        <v>305</v>
      </c>
      <c r="P312" s="89" t="s">
        <v>305</v>
      </c>
      <c r="Q312" s="89" t="s">
        <v>17</v>
      </c>
      <c r="R312" s="89" t="s">
        <v>17</v>
      </c>
      <c r="S312" s="89" t="s">
        <v>17</v>
      </c>
      <c r="T312" s="89" t="s">
        <v>17</v>
      </c>
      <c r="U312" s="89" t="s">
        <v>17</v>
      </c>
      <c r="V312" s="89" t="s">
        <v>10</v>
      </c>
      <c r="W312" s="89" t="s">
        <v>305</v>
      </c>
      <c r="X312" s="89" t="s">
        <v>17</v>
      </c>
      <c r="AH312" s="89" t="str">
        <f>IFERROR(VLOOKUP($Y312,#REF!,AH$1,FALSE),"")</f>
        <v/>
      </c>
      <c r="AI312" s="89" t="str">
        <f>IFERROR(VLOOKUP($Y312,#REF!,AI$1,FALSE),"")</f>
        <v/>
      </c>
    </row>
    <row r="313" spans="1:35" ht="25.5" x14ac:dyDescent="0.25">
      <c r="A313" s="89" t="s">
        <v>867</v>
      </c>
      <c r="B313" s="89" t="s">
        <v>288</v>
      </c>
      <c r="C313" s="89" t="str">
        <f t="shared" si="5"/>
        <v>A.16.1.2 313</v>
      </c>
      <c r="D313" s="90" t="s">
        <v>612</v>
      </c>
      <c r="E313" s="89" t="s">
        <v>309</v>
      </c>
      <c r="F313" s="97" t="s">
        <v>419</v>
      </c>
      <c r="G313" s="97" t="s">
        <v>418</v>
      </c>
      <c r="H313" s="91"/>
      <c r="I313" s="91"/>
      <c r="K313" s="89" t="s">
        <v>17</v>
      </c>
      <c r="L313" s="89" t="s">
        <v>17</v>
      </c>
      <c r="M313" s="89" t="s">
        <v>17</v>
      </c>
      <c r="N313" s="89" t="s">
        <v>17</v>
      </c>
      <c r="O313" s="89" t="s">
        <v>305</v>
      </c>
      <c r="P313" s="89" t="s">
        <v>305</v>
      </c>
      <c r="Q313" s="89" t="s">
        <v>17</v>
      </c>
      <c r="R313" s="89" t="s">
        <v>17</v>
      </c>
      <c r="S313" s="89" t="s">
        <v>17</v>
      </c>
      <c r="T313" s="89" t="s">
        <v>17</v>
      </c>
      <c r="U313" s="89" t="s">
        <v>17</v>
      </c>
      <c r="V313" s="89" t="s">
        <v>17</v>
      </c>
      <c r="W313" s="89" t="s">
        <v>305</v>
      </c>
      <c r="X313" s="89" t="s">
        <v>17</v>
      </c>
      <c r="Y313" s="96"/>
      <c r="AH313" s="89" t="str">
        <f>IFERROR(VLOOKUP($Y313,#REF!,AH$1,FALSE),"")</f>
        <v/>
      </c>
      <c r="AI313" s="89" t="str">
        <f>IFERROR(VLOOKUP($Y313,#REF!,AI$1,FALSE),"")</f>
        <v/>
      </c>
    </row>
    <row r="314" spans="1:35" ht="38.25" x14ac:dyDescent="0.25">
      <c r="A314" s="89" t="s">
        <v>868</v>
      </c>
      <c r="B314" s="89" t="s">
        <v>288</v>
      </c>
      <c r="C314" s="89" t="str">
        <f t="shared" si="5"/>
        <v>A.16.1.2 314</v>
      </c>
      <c r="D314" s="90" t="s">
        <v>601</v>
      </c>
      <c r="E314" s="89" t="s">
        <v>8</v>
      </c>
      <c r="F314" s="91" t="s">
        <v>655</v>
      </c>
      <c r="G314" s="91" t="s">
        <v>592</v>
      </c>
      <c r="H314" s="91"/>
      <c r="I314" s="91"/>
      <c r="K314" s="89" t="s">
        <v>17</v>
      </c>
      <c r="L314" s="89" t="s">
        <v>17</v>
      </c>
      <c r="M314" s="89" t="s">
        <v>17</v>
      </c>
      <c r="N314" s="89" t="s">
        <v>17</v>
      </c>
      <c r="O314" s="89" t="s">
        <v>305</v>
      </c>
      <c r="P314" s="89" t="s">
        <v>305</v>
      </c>
      <c r="Q314" s="89" t="s">
        <v>17</v>
      </c>
      <c r="R314" s="89" t="s">
        <v>17</v>
      </c>
      <c r="S314" s="89" t="s">
        <v>17</v>
      </c>
      <c r="T314" s="89" t="s">
        <v>17</v>
      </c>
      <c r="U314" s="89" t="s">
        <v>17</v>
      </c>
      <c r="V314" s="89" t="s">
        <v>17</v>
      </c>
      <c r="W314" s="89" t="s">
        <v>305</v>
      </c>
      <c r="X314" s="89" t="s">
        <v>17</v>
      </c>
      <c r="Y314" s="95"/>
      <c r="AH314" s="89" t="str">
        <f>IFERROR(VLOOKUP($Y314,#REF!,AH$1,FALSE),"")</f>
        <v/>
      </c>
      <c r="AI314" s="89" t="str">
        <f>IFERROR(VLOOKUP($Y314,#REF!,AI$1,FALSE),"")</f>
        <v/>
      </c>
    </row>
    <row r="315" spans="1:35" ht="51" x14ac:dyDescent="0.25">
      <c r="A315" s="89" t="s">
        <v>868</v>
      </c>
      <c r="B315" s="89" t="s">
        <v>288</v>
      </c>
      <c r="C315" s="89" t="str">
        <f t="shared" si="5"/>
        <v>A.16.1.2 315</v>
      </c>
      <c r="D315" s="90" t="s">
        <v>11</v>
      </c>
      <c r="E315" s="89" t="s">
        <v>13</v>
      </c>
      <c r="F315" s="91" t="s">
        <v>290</v>
      </c>
      <c r="G315" s="91"/>
      <c r="H315" s="91"/>
      <c r="I315" s="91"/>
      <c r="K315" s="89" t="s">
        <v>17</v>
      </c>
      <c r="L315" s="89" t="s">
        <v>17</v>
      </c>
      <c r="M315" s="89" t="s">
        <v>17</v>
      </c>
      <c r="N315" s="89" t="s">
        <v>17</v>
      </c>
      <c r="O315" s="89" t="s">
        <v>305</v>
      </c>
      <c r="P315" s="89" t="s">
        <v>305</v>
      </c>
      <c r="Q315" s="89" t="s">
        <v>17</v>
      </c>
      <c r="R315" s="89" t="s">
        <v>10</v>
      </c>
      <c r="S315" s="89" t="s">
        <v>876</v>
      </c>
      <c r="T315" s="89" t="s">
        <v>10</v>
      </c>
      <c r="U315" s="89" t="s">
        <v>10</v>
      </c>
      <c r="V315" s="89" t="s">
        <v>10</v>
      </c>
      <c r="W315" s="89" t="s">
        <v>305</v>
      </c>
      <c r="X315" s="89" t="s">
        <v>10</v>
      </c>
      <c r="AH315" s="89" t="str">
        <f>IFERROR(VLOOKUP($Y315,#REF!,AH$1,FALSE),"")</f>
        <v/>
      </c>
      <c r="AI315" s="89" t="str">
        <f>IFERROR(VLOOKUP($Y315,#REF!,AI$1,FALSE),"")</f>
        <v/>
      </c>
    </row>
    <row r="316" spans="1:35" ht="38.25" x14ac:dyDescent="0.25">
      <c r="A316" s="89" t="s">
        <v>868</v>
      </c>
      <c r="B316" s="89" t="s">
        <v>288</v>
      </c>
      <c r="C316" s="89" t="str">
        <f t="shared" si="5"/>
        <v>A.16.1.2 316</v>
      </c>
      <c r="D316" s="90" t="s">
        <v>12</v>
      </c>
      <c r="E316" s="89" t="s">
        <v>8</v>
      </c>
      <c r="F316" s="91" t="s">
        <v>289</v>
      </c>
      <c r="G316" s="91"/>
      <c r="H316" s="91"/>
      <c r="I316" s="91"/>
      <c r="K316" s="89" t="s">
        <v>17</v>
      </c>
      <c r="L316" s="89" t="s">
        <v>17</v>
      </c>
      <c r="M316" s="89" t="s">
        <v>17</v>
      </c>
      <c r="N316" s="89" t="s">
        <v>17</v>
      </c>
      <c r="O316" s="89" t="s">
        <v>305</v>
      </c>
      <c r="P316" s="89" t="s">
        <v>305</v>
      </c>
      <c r="Q316" s="89" t="s">
        <v>17</v>
      </c>
      <c r="R316" s="89" t="s">
        <v>17</v>
      </c>
      <c r="S316" s="89" t="s">
        <v>17</v>
      </c>
      <c r="T316" s="89" t="s">
        <v>17</v>
      </c>
      <c r="U316" s="89" t="s">
        <v>17</v>
      </c>
      <c r="V316" s="89" t="s">
        <v>10</v>
      </c>
      <c r="W316" s="89" t="s">
        <v>305</v>
      </c>
      <c r="X316" s="89" t="s">
        <v>17</v>
      </c>
      <c r="AH316" s="89" t="str">
        <f>IFERROR(VLOOKUP($Y316,#REF!,AH$1,FALSE),"")</f>
        <v/>
      </c>
      <c r="AI316" s="89" t="str">
        <f>IFERROR(VLOOKUP($Y316,#REF!,AI$1,FALSE),"")</f>
        <v/>
      </c>
    </row>
    <row r="317" spans="1:35" ht="25.5" x14ac:dyDescent="0.25">
      <c r="A317" s="89" t="s">
        <v>868</v>
      </c>
      <c r="B317" s="89" t="s">
        <v>288</v>
      </c>
      <c r="C317" s="89" t="str">
        <f t="shared" si="5"/>
        <v>A.16.1.2 317</v>
      </c>
      <c r="D317" s="90" t="s">
        <v>14</v>
      </c>
      <c r="E317" s="89" t="s">
        <v>13</v>
      </c>
      <c r="F317" s="91" t="s">
        <v>291</v>
      </c>
      <c r="G317" s="91"/>
      <c r="H317" s="91"/>
      <c r="I317" s="91"/>
      <c r="K317" s="89" t="s">
        <v>17</v>
      </c>
      <c r="L317" s="89" t="s">
        <v>17</v>
      </c>
      <c r="M317" s="89" t="s">
        <v>17</v>
      </c>
      <c r="N317" s="89" t="s">
        <v>17</v>
      </c>
      <c r="O317" s="89" t="s">
        <v>305</v>
      </c>
      <c r="P317" s="89" t="s">
        <v>305</v>
      </c>
      <c r="Q317" s="89" t="s">
        <v>17</v>
      </c>
      <c r="R317" s="89" t="s">
        <v>17</v>
      </c>
      <c r="S317" s="89" t="s">
        <v>17</v>
      </c>
      <c r="T317" s="89" t="s">
        <v>17</v>
      </c>
      <c r="U317" s="89" t="s">
        <v>17</v>
      </c>
      <c r="V317" s="89" t="s">
        <v>10</v>
      </c>
      <c r="W317" s="89" t="s">
        <v>305</v>
      </c>
      <c r="X317" s="89" t="s">
        <v>17</v>
      </c>
      <c r="AH317" s="89" t="str">
        <f>IFERROR(VLOOKUP($Y317,#REF!,AH$1,FALSE),"")</f>
        <v/>
      </c>
      <c r="AI317" s="89" t="str">
        <f>IFERROR(VLOOKUP($Y317,#REF!,AI$1,FALSE),"")</f>
        <v/>
      </c>
    </row>
    <row r="318" spans="1:35" ht="25.5" x14ac:dyDescent="0.25">
      <c r="A318" s="89" t="s">
        <v>868</v>
      </c>
      <c r="B318" s="89" t="s">
        <v>292</v>
      </c>
      <c r="C318" s="89" t="str">
        <f t="shared" si="5"/>
        <v>A.16.1.3 318</v>
      </c>
      <c r="D318" s="90" t="s">
        <v>612</v>
      </c>
      <c r="E318" s="89" t="s">
        <v>309</v>
      </c>
      <c r="F318" s="91" t="s">
        <v>295</v>
      </c>
      <c r="G318" s="20" t="s">
        <v>653</v>
      </c>
      <c r="H318" s="91"/>
      <c r="I318" s="91"/>
      <c r="K318" s="89" t="s">
        <v>17</v>
      </c>
      <c r="L318" s="89" t="s">
        <v>17</v>
      </c>
      <c r="M318" s="89" t="s">
        <v>17</v>
      </c>
      <c r="N318" s="89" t="s">
        <v>17</v>
      </c>
      <c r="O318" s="89" t="s">
        <v>305</v>
      </c>
      <c r="P318" s="89" t="s">
        <v>305</v>
      </c>
      <c r="Q318" s="89" t="s">
        <v>17</v>
      </c>
      <c r="R318" s="89" t="s">
        <v>17</v>
      </c>
      <c r="S318" s="89" t="s">
        <v>17</v>
      </c>
      <c r="T318" s="89" t="s">
        <v>17</v>
      </c>
      <c r="U318" s="89" t="s">
        <v>17</v>
      </c>
      <c r="W318" s="89" t="s">
        <v>305</v>
      </c>
      <c r="X318" s="89" t="s">
        <v>17</v>
      </c>
      <c r="Y318" s="96"/>
      <c r="AH318" s="89" t="str">
        <f>IFERROR(VLOOKUP($Y318,#REF!,AH$1,FALSE),"")</f>
        <v/>
      </c>
      <c r="AI318" s="89" t="str">
        <f>IFERROR(VLOOKUP($Y318,#REF!,AI$1,FALSE),"")</f>
        <v/>
      </c>
    </row>
    <row r="319" spans="1:35" x14ac:dyDescent="0.25">
      <c r="A319" s="89" t="s">
        <v>868</v>
      </c>
      <c r="B319" s="89" t="s">
        <v>292</v>
      </c>
      <c r="C319" s="89" t="str">
        <f t="shared" si="5"/>
        <v>A.16.1.3 319</v>
      </c>
      <c r="D319" s="90" t="s">
        <v>9</v>
      </c>
      <c r="E319" s="89" t="s">
        <v>8</v>
      </c>
      <c r="F319" s="91" t="s">
        <v>293</v>
      </c>
      <c r="G319" s="91"/>
      <c r="H319" s="91"/>
      <c r="I319" s="91"/>
      <c r="K319" s="89" t="s">
        <v>17</v>
      </c>
      <c r="L319" s="89" t="s">
        <v>17</v>
      </c>
      <c r="M319" s="89" t="s">
        <v>17</v>
      </c>
      <c r="N319" s="89" t="s">
        <v>17</v>
      </c>
      <c r="O319" s="89" t="s">
        <v>305</v>
      </c>
      <c r="P319" s="89" t="s">
        <v>305</v>
      </c>
      <c r="Q319" s="89" t="s">
        <v>17</v>
      </c>
      <c r="R319" s="89" t="s">
        <v>17</v>
      </c>
      <c r="S319" s="89" t="s">
        <v>17</v>
      </c>
      <c r="T319" s="89" t="s">
        <v>17</v>
      </c>
      <c r="U319" s="89" t="s">
        <v>17</v>
      </c>
      <c r="W319" s="89" t="s">
        <v>305</v>
      </c>
      <c r="X319" s="89" t="s">
        <v>17</v>
      </c>
      <c r="AH319" s="89" t="str">
        <f>IFERROR(VLOOKUP($Y319,#REF!,AH$1,FALSE),"")</f>
        <v/>
      </c>
      <c r="AI319" s="89" t="str">
        <f>IFERROR(VLOOKUP($Y319,#REF!,AI$1,FALSE),"")</f>
        <v/>
      </c>
    </row>
    <row r="320" spans="1:35" x14ac:dyDescent="0.25">
      <c r="A320" s="89" t="s">
        <v>868</v>
      </c>
      <c r="B320" s="89" t="s">
        <v>292</v>
      </c>
      <c r="C320" s="89" t="str">
        <f t="shared" si="5"/>
        <v>A.16.1.3 320</v>
      </c>
      <c r="D320" s="90" t="s">
        <v>11</v>
      </c>
      <c r="E320" s="89" t="s">
        <v>13</v>
      </c>
      <c r="F320" s="91" t="s">
        <v>294</v>
      </c>
      <c r="G320" s="91"/>
      <c r="H320" s="91"/>
      <c r="I320" s="91"/>
      <c r="K320" s="89" t="s">
        <v>17</v>
      </c>
      <c r="L320" s="89" t="s">
        <v>17</v>
      </c>
      <c r="M320" s="89" t="s">
        <v>17</v>
      </c>
      <c r="N320" s="89" t="s">
        <v>17</v>
      </c>
      <c r="O320" s="89" t="s">
        <v>305</v>
      </c>
      <c r="P320" s="89" t="s">
        <v>305</v>
      </c>
      <c r="Q320" s="89" t="s">
        <v>17</v>
      </c>
      <c r="R320" s="89" t="s">
        <v>17</v>
      </c>
      <c r="S320" s="89" t="s">
        <v>17</v>
      </c>
      <c r="T320" s="89" t="s">
        <v>17</v>
      </c>
      <c r="U320" s="89" t="s">
        <v>17</v>
      </c>
      <c r="V320" s="89" t="s">
        <v>10</v>
      </c>
      <c r="W320" s="89" t="s">
        <v>305</v>
      </c>
      <c r="X320" s="89" t="s">
        <v>17</v>
      </c>
      <c r="AH320" s="89" t="str">
        <f>IFERROR(VLOOKUP($Y320,#REF!,AH$1,FALSE),"")</f>
        <v/>
      </c>
      <c r="AI320" s="89" t="str">
        <f>IFERROR(VLOOKUP($Y320,#REF!,AI$1,FALSE),"")</f>
        <v/>
      </c>
    </row>
    <row r="321" spans="1:35" x14ac:dyDescent="0.25">
      <c r="A321" s="89" t="s">
        <v>868</v>
      </c>
      <c r="B321" s="89" t="s">
        <v>297</v>
      </c>
      <c r="C321" s="89" t="str">
        <f t="shared" ref="C321:C384" si="6">CONCATENATE(B321," ",TEXT(ROW(B321),"000"))</f>
        <v>A.17.2.1 321</v>
      </c>
      <c r="D321" s="90" t="s">
        <v>612</v>
      </c>
      <c r="E321" s="89" t="s">
        <v>309</v>
      </c>
      <c r="F321" s="91" t="s">
        <v>1456</v>
      </c>
      <c r="G321" s="91"/>
      <c r="H321" s="91"/>
      <c r="I321" s="91"/>
      <c r="K321" s="89" t="s">
        <v>305</v>
      </c>
      <c r="L321" s="89" t="s">
        <v>17</v>
      </c>
      <c r="M321" s="89" t="s">
        <v>17</v>
      </c>
      <c r="N321" s="89" t="s">
        <v>17</v>
      </c>
      <c r="O321" s="89" t="s">
        <v>305</v>
      </c>
      <c r="P321" s="89" t="s">
        <v>305</v>
      </c>
      <c r="Q321" s="89" t="s">
        <v>17</v>
      </c>
      <c r="R321" s="89" t="s">
        <v>10</v>
      </c>
      <c r="S321" s="89" t="s">
        <v>10</v>
      </c>
      <c r="T321" s="89" t="s">
        <v>10</v>
      </c>
      <c r="U321" s="89" t="s">
        <v>10</v>
      </c>
      <c r="V321" s="89" t="s">
        <v>10</v>
      </c>
      <c r="W321" s="89" t="s">
        <v>305</v>
      </c>
      <c r="X321" s="89" t="s">
        <v>10</v>
      </c>
      <c r="Y321" s="96"/>
      <c r="AH321" s="89" t="str">
        <f>IFERROR(VLOOKUP($Y321,#REF!,AH$1,FALSE),"")</f>
        <v/>
      </c>
      <c r="AI321" s="89" t="str">
        <f>IFERROR(VLOOKUP($Y321,#REF!,AI$1,FALSE),"")</f>
        <v/>
      </c>
    </row>
    <row r="322" spans="1:35" x14ac:dyDescent="0.25">
      <c r="A322" s="89" t="s">
        <v>868</v>
      </c>
      <c r="B322" s="89" t="s">
        <v>297</v>
      </c>
      <c r="C322" s="89" t="str">
        <f t="shared" si="6"/>
        <v>A.17.2.1 322</v>
      </c>
      <c r="D322" s="90" t="s">
        <v>11</v>
      </c>
      <c r="E322" s="89" t="s">
        <v>8</v>
      </c>
      <c r="F322" s="91" t="s">
        <v>296</v>
      </c>
      <c r="G322" s="91"/>
      <c r="H322" s="91"/>
      <c r="I322" s="91"/>
      <c r="K322" s="89" t="s">
        <v>305</v>
      </c>
      <c r="L322" s="89" t="s">
        <v>17</v>
      </c>
      <c r="M322" s="89" t="s">
        <v>17</v>
      </c>
      <c r="N322" s="89" t="s">
        <v>17</v>
      </c>
      <c r="O322" s="89" t="s">
        <v>305</v>
      </c>
      <c r="P322" s="89" t="s">
        <v>305</v>
      </c>
      <c r="Q322" s="89" t="s">
        <v>17</v>
      </c>
      <c r="R322" s="89" t="s">
        <v>10</v>
      </c>
      <c r="S322" s="89" t="s">
        <v>10</v>
      </c>
      <c r="T322" s="89" t="s">
        <v>10</v>
      </c>
      <c r="U322" s="89" t="s">
        <v>10</v>
      </c>
      <c r="V322" s="89" t="s">
        <v>10</v>
      </c>
      <c r="W322" s="89" t="s">
        <v>305</v>
      </c>
      <c r="X322" s="89" t="s">
        <v>10</v>
      </c>
      <c r="AH322" s="89" t="str">
        <f>IFERROR(VLOOKUP($Y322,#REF!,AH$1,FALSE),"")</f>
        <v/>
      </c>
      <c r="AI322" s="89" t="str">
        <f>IFERROR(VLOOKUP($Y322,#REF!,AI$1,FALSE),"")</f>
        <v/>
      </c>
    </row>
    <row r="323" spans="1:35" ht="38.25" x14ac:dyDescent="0.25">
      <c r="A323" s="89" t="s">
        <v>868</v>
      </c>
      <c r="B323" s="89" t="s">
        <v>298</v>
      </c>
      <c r="C323" s="89" t="str">
        <f t="shared" si="6"/>
        <v>A.18.2.3 323</v>
      </c>
      <c r="D323" s="90" t="s">
        <v>612</v>
      </c>
      <c r="E323" s="89" t="s">
        <v>309</v>
      </c>
      <c r="F323" s="91" t="s">
        <v>1457</v>
      </c>
      <c r="G323" s="20" t="s">
        <v>664</v>
      </c>
      <c r="H323" s="91"/>
      <c r="I323" s="91"/>
      <c r="K323" s="89" t="s">
        <v>17</v>
      </c>
      <c r="L323" s="89" t="s">
        <v>17</v>
      </c>
      <c r="M323" s="89" t="s">
        <v>17</v>
      </c>
      <c r="N323" s="89" t="s">
        <v>17</v>
      </c>
      <c r="O323" s="89" t="s">
        <v>305</v>
      </c>
      <c r="P323" s="89" t="s">
        <v>305</v>
      </c>
      <c r="Q323" s="89" t="s">
        <v>17</v>
      </c>
      <c r="R323" s="89" t="s">
        <v>17</v>
      </c>
      <c r="S323" s="89" t="s">
        <v>17</v>
      </c>
      <c r="T323" s="89" t="s">
        <v>17</v>
      </c>
      <c r="U323" s="89" t="s">
        <v>17</v>
      </c>
      <c r="V323" s="89" t="s">
        <v>17</v>
      </c>
      <c r="W323" s="89" t="s">
        <v>305</v>
      </c>
      <c r="X323" s="89" t="s">
        <v>17</v>
      </c>
      <c r="Y323" s="96"/>
      <c r="AH323" s="89" t="str">
        <f>IFERROR(VLOOKUP($Y323,#REF!,AH$1,FALSE),"")</f>
        <v/>
      </c>
      <c r="AI323" s="89" t="str">
        <f>IFERROR(VLOOKUP($Y323,#REF!,AI$1,FALSE),"")</f>
        <v/>
      </c>
    </row>
    <row r="324" spans="1:35" ht="25.5" x14ac:dyDescent="0.25">
      <c r="A324" s="89" t="s">
        <v>868</v>
      </c>
      <c r="B324" s="89" t="s">
        <v>298</v>
      </c>
      <c r="C324" s="89" t="str">
        <f t="shared" si="6"/>
        <v>A.18.2.3 324</v>
      </c>
      <c r="D324" s="90" t="s">
        <v>9</v>
      </c>
      <c r="E324" s="89" t="s">
        <v>8</v>
      </c>
      <c r="F324" s="91" t="s">
        <v>299</v>
      </c>
      <c r="G324" s="91"/>
      <c r="H324" s="91"/>
      <c r="I324" s="91"/>
      <c r="K324" s="89" t="s">
        <v>17</v>
      </c>
      <c r="L324" s="89" t="s">
        <v>17</v>
      </c>
      <c r="M324" s="89" t="s">
        <v>17</v>
      </c>
      <c r="N324" s="89" t="s">
        <v>17</v>
      </c>
      <c r="O324" s="89" t="s">
        <v>305</v>
      </c>
      <c r="P324" s="89" t="s">
        <v>305</v>
      </c>
      <c r="Q324" s="89" t="s">
        <v>17</v>
      </c>
      <c r="R324" s="89" t="s">
        <v>17</v>
      </c>
      <c r="S324" s="89" t="s">
        <v>17</v>
      </c>
      <c r="T324" s="89" t="s">
        <v>17</v>
      </c>
      <c r="U324" s="89" t="s">
        <v>17</v>
      </c>
      <c r="V324" s="89" t="s">
        <v>10</v>
      </c>
      <c r="W324" s="89" t="s">
        <v>305</v>
      </c>
      <c r="X324" s="89" t="s">
        <v>17</v>
      </c>
      <c r="AH324" s="89" t="str">
        <f>IFERROR(VLOOKUP($Y324,#REF!,AH$1,FALSE),"")</f>
        <v/>
      </c>
      <c r="AI324" s="89" t="str">
        <f>IFERROR(VLOOKUP($Y324,#REF!,AI$1,FALSE),"")</f>
        <v/>
      </c>
    </row>
    <row r="325" spans="1:35" ht="63.75" x14ac:dyDescent="0.25">
      <c r="A325" s="89" t="s">
        <v>868</v>
      </c>
      <c r="B325" s="89" t="s">
        <v>298</v>
      </c>
      <c r="C325" s="89" t="str">
        <f t="shared" si="6"/>
        <v>A.18.2.3 325</v>
      </c>
      <c r="D325" s="90" t="s">
        <v>602</v>
      </c>
      <c r="E325" s="89" t="s">
        <v>8</v>
      </c>
      <c r="F325" s="89" t="s">
        <v>872</v>
      </c>
      <c r="G325" s="89" t="s">
        <v>871</v>
      </c>
      <c r="H325" s="91"/>
      <c r="I325" s="91"/>
      <c r="K325" s="89" t="s">
        <v>17</v>
      </c>
      <c r="L325" s="89" t="s">
        <v>17</v>
      </c>
      <c r="M325" s="89" t="s">
        <v>17</v>
      </c>
      <c r="N325" s="89" t="s">
        <v>17</v>
      </c>
      <c r="O325" s="89" t="s">
        <v>305</v>
      </c>
      <c r="P325" s="89" t="s">
        <v>305</v>
      </c>
      <c r="Q325" s="89" t="s">
        <v>17</v>
      </c>
      <c r="R325" s="89" t="s">
        <v>17</v>
      </c>
      <c r="S325" s="89" t="s">
        <v>17</v>
      </c>
      <c r="T325" s="89" t="s">
        <v>17</v>
      </c>
      <c r="U325" s="89" t="s">
        <v>17</v>
      </c>
      <c r="V325" s="89" t="s">
        <v>17</v>
      </c>
      <c r="W325" s="89" t="s">
        <v>305</v>
      </c>
      <c r="X325" s="89" t="s">
        <v>17</v>
      </c>
      <c r="Y325" s="95"/>
      <c r="AH325" s="89" t="str">
        <f>IFERROR(VLOOKUP($Y325,#REF!,AH$1,FALSE),"")</f>
        <v/>
      </c>
      <c r="AI325" s="89" t="str">
        <f>IFERROR(VLOOKUP($Y325,#REF!,AI$1,FALSE),"")</f>
        <v/>
      </c>
    </row>
    <row r="326" spans="1:35" ht="63.75" x14ac:dyDescent="0.25">
      <c r="A326" s="89" t="s">
        <v>868</v>
      </c>
      <c r="B326" s="89" t="s">
        <v>298</v>
      </c>
      <c r="C326" s="89" t="str">
        <f t="shared" si="6"/>
        <v>A.18.2.3 326</v>
      </c>
      <c r="D326" s="90" t="s">
        <v>603</v>
      </c>
      <c r="E326" s="89" t="s">
        <v>8</v>
      </c>
      <c r="F326" s="91" t="s">
        <v>594</v>
      </c>
      <c r="G326" s="91" t="s">
        <v>593</v>
      </c>
      <c r="H326" s="91"/>
      <c r="I326" s="91"/>
      <c r="K326" s="89" t="s">
        <v>17</v>
      </c>
      <c r="L326" s="89" t="s">
        <v>17</v>
      </c>
      <c r="M326" s="89" t="s">
        <v>17</v>
      </c>
      <c r="N326" s="89" t="s">
        <v>17</v>
      </c>
      <c r="O326" s="89" t="s">
        <v>305</v>
      </c>
      <c r="P326" s="89" t="s">
        <v>305</v>
      </c>
      <c r="R326" s="89" t="s">
        <v>17</v>
      </c>
      <c r="S326" s="89" t="s">
        <v>17</v>
      </c>
      <c r="T326" s="89" t="s">
        <v>17</v>
      </c>
      <c r="U326" s="89" t="s">
        <v>17</v>
      </c>
      <c r="V326" s="89" t="s">
        <v>17</v>
      </c>
      <c r="W326" s="89" t="s">
        <v>305</v>
      </c>
      <c r="X326" s="89" t="s">
        <v>17</v>
      </c>
      <c r="Y326" s="95"/>
      <c r="AH326" s="89" t="str">
        <f>IFERROR(VLOOKUP($Y326,#REF!,AH$1,FALSE),"")</f>
        <v/>
      </c>
      <c r="AI326" s="89" t="str">
        <f>IFERROR(VLOOKUP($Y326,#REF!,AI$1,FALSE),"")</f>
        <v/>
      </c>
    </row>
    <row r="327" spans="1:35" ht="25.5" x14ac:dyDescent="0.25">
      <c r="A327" s="89" t="s">
        <v>868</v>
      </c>
      <c r="B327" s="89" t="s">
        <v>298</v>
      </c>
      <c r="C327" s="89" t="str">
        <f t="shared" si="6"/>
        <v>A.18.2.3 327</v>
      </c>
      <c r="D327" s="90" t="s">
        <v>14</v>
      </c>
      <c r="E327" s="89" t="s">
        <v>13</v>
      </c>
      <c r="F327" s="91" t="s">
        <v>300</v>
      </c>
      <c r="G327" s="91"/>
      <c r="H327" s="91"/>
      <c r="I327" s="91"/>
      <c r="K327" s="89" t="s">
        <v>17</v>
      </c>
      <c r="L327" s="89" t="s">
        <v>17</v>
      </c>
      <c r="M327" s="89" t="s">
        <v>17</v>
      </c>
      <c r="N327" s="89" t="s">
        <v>17</v>
      </c>
      <c r="O327" s="89" t="s">
        <v>305</v>
      </c>
      <c r="P327" s="89" t="s">
        <v>305</v>
      </c>
      <c r="Q327" s="89" t="s">
        <v>17</v>
      </c>
      <c r="R327" s="89" t="s">
        <v>17</v>
      </c>
      <c r="S327" s="89" t="s">
        <v>17</v>
      </c>
      <c r="T327" s="89" t="s">
        <v>17</v>
      </c>
      <c r="U327" s="89" t="s">
        <v>17</v>
      </c>
      <c r="V327" s="89" t="s">
        <v>10</v>
      </c>
      <c r="W327" s="89" t="s">
        <v>305</v>
      </c>
      <c r="X327" s="89" t="s">
        <v>17</v>
      </c>
      <c r="AH327" s="89" t="str">
        <f>IFERROR(VLOOKUP($Y327,#REF!,AH$1,FALSE),"")</f>
        <v/>
      </c>
      <c r="AI327" s="89" t="str">
        <f>IFERROR(VLOOKUP($Y327,#REF!,AI$1,FALSE),"")</f>
        <v/>
      </c>
    </row>
    <row r="328" spans="1:35" ht="63.75" x14ac:dyDescent="0.25">
      <c r="A328" s="89" t="s">
        <v>868</v>
      </c>
      <c r="B328" s="89" t="s">
        <v>298</v>
      </c>
      <c r="C328" s="89" t="str">
        <f t="shared" si="6"/>
        <v>A.18.2.3 328</v>
      </c>
      <c r="D328" s="90" t="s">
        <v>604</v>
      </c>
      <c r="E328" s="89" t="s">
        <v>8</v>
      </c>
      <c r="F328" s="91" t="s">
        <v>596</v>
      </c>
      <c r="G328" s="91" t="s">
        <v>595</v>
      </c>
      <c r="H328" s="91"/>
      <c r="I328" s="91"/>
      <c r="K328" s="89" t="s">
        <v>17</v>
      </c>
      <c r="L328" s="89" t="s">
        <v>17</v>
      </c>
      <c r="M328" s="89" t="s">
        <v>17</v>
      </c>
      <c r="N328" s="89" t="s">
        <v>17</v>
      </c>
      <c r="O328" s="89" t="s">
        <v>305</v>
      </c>
      <c r="P328" s="89" t="s">
        <v>305</v>
      </c>
      <c r="R328" s="89" t="s">
        <v>10</v>
      </c>
      <c r="S328" s="89" t="s">
        <v>10</v>
      </c>
      <c r="T328" s="89" t="s">
        <v>10</v>
      </c>
      <c r="U328" s="89" t="s">
        <v>10</v>
      </c>
      <c r="V328" s="89" t="s">
        <v>17</v>
      </c>
      <c r="W328" s="89" t="s">
        <v>305</v>
      </c>
      <c r="X328" s="89" t="s">
        <v>10</v>
      </c>
      <c r="Y328" s="95"/>
      <c r="AH328" s="89" t="str">
        <f>IFERROR(VLOOKUP($Y328,#REF!,AH$1,FALSE),"")</f>
        <v/>
      </c>
      <c r="AI328" s="89" t="str">
        <f>IFERROR(VLOOKUP($Y328,#REF!,AI$1,FALSE),"")</f>
        <v/>
      </c>
    </row>
    <row r="329" spans="1:35" ht="127.5" x14ac:dyDescent="0.25">
      <c r="A329" s="89" t="s">
        <v>868</v>
      </c>
      <c r="B329" s="89" t="s">
        <v>298</v>
      </c>
      <c r="C329" s="89" t="str">
        <f t="shared" si="6"/>
        <v>A.18.2.3 329</v>
      </c>
      <c r="D329" s="90" t="s">
        <v>604</v>
      </c>
      <c r="E329" s="89" t="s">
        <v>8</v>
      </c>
      <c r="F329" s="91" t="s">
        <v>598</v>
      </c>
      <c r="G329" s="91" t="s">
        <v>597</v>
      </c>
      <c r="H329" s="91"/>
      <c r="I329" s="91"/>
      <c r="K329" s="89" t="s">
        <v>17</v>
      </c>
      <c r="L329" s="89" t="s">
        <v>17</v>
      </c>
      <c r="M329" s="89" t="s">
        <v>17</v>
      </c>
      <c r="N329" s="89" t="s">
        <v>305</v>
      </c>
      <c r="O329" s="89" t="s">
        <v>17</v>
      </c>
      <c r="P329" s="89" t="s">
        <v>17</v>
      </c>
      <c r="R329" s="89" t="s">
        <v>17</v>
      </c>
      <c r="S329" s="89" t="s">
        <v>17</v>
      </c>
      <c r="T329" s="89" t="s">
        <v>17</v>
      </c>
      <c r="V329" s="89" t="s">
        <v>17</v>
      </c>
      <c r="W329" s="89" t="s">
        <v>305</v>
      </c>
      <c r="X329" s="89" t="s">
        <v>17</v>
      </c>
      <c r="Y329" s="95"/>
      <c r="AH329" s="89" t="str">
        <f>IFERROR(VLOOKUP($Y329,#REF!,AH$1,FALSE),"")</f>
        <v/>
      </c>
      <c r="AI329" s="89" t="str">
        <f>IFERROR(VLOOKUP($Y329,#REF!,AI$1,FALSE),"")</f>
        <v/>
      </c>
    </row>
    <row r="330" spans="1:35" ht="25.5" x14ac:dyDescent="0.25">
      <c r="A330" s="89" t="s">
        <v>868</v>
      </c>
      <c r="B330" s="89" t="s">
        <v>298</v>
      </c>
      <c r="C330" s="89" t="str">
        <f t="shared" si="6"/>
        <v>A.18.2.3 330</v>
      </c>
      <c r="D330" s="90" t="s">
        <v>606</v>
      </c>
      <c r="E330" s="89" t="s">
        <v>8</v>
      </c>
      <c r="F330" s="91" t="s">
        <v>600</v>
      </c>
      <c r="G330" s="91" t="s">
        <v>599</v>
      </c>
      <c r="H330" s="91"/>
      <c r="I330" s="91"/>
      <c r="K330" s="89" t="s">
        <v>17</v>
      </c>
      <c r="L330" s="89" t="s">
        <v>17</v>
      </c>
      <c r="M330" s="89" t="s">
        <v>17</v>
      </c>
      <c r="N330" s="89" t="s">
        <v>17</v>
      </c>
      <c r="O330" s="89" t="s">
        <v>305</v>
      </c>
      <c r="P330" s="89" t="s">
        <v>305</v>
      </c>
      <c r="R330" s="89" t="s">
        <v>17</v>
      </c>
      <c r="S330" s="89" t="s">
        <v>17</v>
      </c>
      <c r="T330" s="89" t="s">
        <v>17</v>
      </c>
      <c r="U330" s="89" t="s">
        <v>17</v>
      </c>
      <c r="V330" s="89" t="s">
        <v>17</v>
      </c>
      <c r="W330" s="89" t="s">
        <v>305</v>
      </c>
      <c r="X330" s="89" t="s">
        <v>17</v>
      </c>
      <c r="Y330" s="95"/>
      <c r="AH330" s="89" t="str">
        <f>IFERROR(VLOOKUP($Y330,#REF!,AH$1,FALSE),"")</f>
        <v/>
      </c>
      <c r="AI330" s="89" t="str">
        <f>IFERROR(VLOOKUP($Y330,#REF!,AI$1,FALSE),"")</f>
        <v/>
      </c>
    </row>
    <row r="331" spans="1:35" ht="38.25" x14ac:dyDescent="0.25">
      <c r="A331" s="89" t="s">
        <v>868</v>
      </c>
      <c r="B331" s="89" t="s">
        <v>298</v>
      </c>
      <c r="C331" s="89" t="str">
        <f t="shared" si="6"/>
        <v>A.18.2.3 331</v>
      </c>
      <c r="D331" s="90" t="s">
        <v>30</v>
      </c>
      <c r="E331" s="89" t="s">
        <v>13</v>
      </c>
      <c r="F331" s="91" t="s">
        <v>301</v>
      </c>
      <c r="G331" s="91"/>
      <c r="H331" s="91"/>
      <c r="I331" s="91"/>
      <c r="K331" s="89" t="s">
        <v>17</v>
      </c>
      <c r="L331" s="89" t="s">
        <v>17</v>
      </c>
      <c r="M331" s="89" t="s">
        <v>17</v>
      </c>
      <c r="N331" s="89" t="s">
        <v>17</v>
      </c>
      <c r="O331" s="89" t="s">
        <v>305</v>
      </c>
      <c r="P331" s="89" t="s">
        <v>305</v>
      </c>
      <c r="Q331" s="89" t="s">
        <v>17</v>
      </c>
      <c r="R331" s="89" t="s">
        <v>17</v>
      </c>
      <c r="S331" s="89" t="s">
        <v>17</v>
      </c>
      <c r="T331" s="89" t="s">
        <v>17</v>
      </c>
      <c r="U331" s="89" t="s">
        <v>17</v>
      </c>
      <c r="V331" s="89" t="s">
        <v>10</v>
      </c>
      <c r="W331" s="89" t="s">
        <v>305</v>
      </c>
      <c r="X331" s="89" t="s">
        <v>17</v>
      </c>
      <c r="AH331" s="89" t="str">
        <f>IFERROR(VLOOKUP($Y331,#REF!,AH$1,FALSE),"")</f>
        <v/>
      </c>
      <c r="AI331" s="89" t="str">
        <f>IFERROR(VLOOKUP($Y331,#REF!,AI$1,FALSE),"")</f>
        <v/>
      </c>
    </row>
    <row r="332" spans="1:35" s="102" customFormat="1" ht="38.25" x14ac:dyDescent="0.2">
      <c r="A332" s="100" t="s">
        <v>867</v>
      </c>
      <c r="B332" s="100" t="s">
        <v>382</v>
      </c>
      <c r="C332" s="89" t="str">
        <f t="shared" si="6"/>
        <v>A.08.1 332</v>
      </c>
      <c r="D332" s="101" t="s">
        <v>612</v>
      </c>
      <c r="E332" s="100" t="s">
        <v>330</v>
      </c>
      <c r="F332" s="100" t="s">
        <v>388</v>
      </c>
      <c r="G332" s="100" t="s">
        <v>331</v>
      </c>
      <c r="H332" s="100"/>
      <c r="I332" s="100"/>
      <c r="J332" s="100"/>
      <c r="K332" s="100" t="s">
        <v>17</v>
      </c>
      <c r="L332" s="100" t="s">
        <v>17</v>
      </c>
      <c r="M332" s="100" t="s">
        <v>17</v>
      </c>
      <c r="N332" s="100" t="s">
        <v>17</v>
      </c>
      <c r="O332" s="100" t="s">
        <v>305</v>
      </c>
      <c r="P332" s="100" t="s">
        <v>305</v>
      </c>
      <c r="Q332" s="100" t="s">
        <v>17</v>
      </c>
      <c r="R332" s="100"/>
      <c r="S332" s="100" t="s">
        <v>17</v>
      </c>
      <c r="T332" s="100" t="s">
        <v>17</v>
      </c>
      <c r="U332" s="100"/>
      <c r="V332" s="100" t="s">
        <v>17</v>
      </c>
      <c r="W332" s="100" t="s">
        <v>305</v>
      </c>
      <c r="X332" s="100" t="s">
        <v>17</v>
      </c>
      <c r="Y332" s="100" t="s">
        <v>878</v>
      </c>
      <c r="Z332" s="100" t="s">
        <v>879</v>
      </c>
      <c r="AA332" s="100" t="s">
        <v>880</v>
      </c>
    </row>
    <row r="333" spans="1:35" s="102" customFormat="1" ht="165.75" x14ac:dyDescent="0.2">
      <c r="A333" s="100" t="s">
        <v>867</v>
      </c>
      <c r="B333" s="100" t="s">
        <v>382</v>
      </c>
      <c r="C333" s="89" t="str">
        <f t="shared" si="6"/>
        <v>A.08.1 333</v>
      </c>
      <c r="D333" s="101" t="s">
        <v>601</v>
      </c>
      <c r="E333" s="100" t="s">
        <v>0</v>
      </c>
      <c r="F333" s="83" t="s">
        <v>1489</v>
      </c>
      <c r="G333" s="83" t="s">
        <v>1490</v>
      </c>
      <c r="H333" s="100" t="s">
        <v>679</v>
      </c>
      <c r="I333" s="100" t="s">
        <v>332</v>
      </c>
      <c r="J333" s="100"/>
      <c r="K333" s="100" t="s">
        <v>17</v>
      </c>
      <c r="L333" s="100" t="s">
        <v>17</v>
      </c>
      <c r="M333" s="100" t="s">
        <v>17</v>
      </c>
      <c r="N333" s="100" t="s">
        <v>17</v>
      </c>
      <c r="O333" s="100" t="s">
        <v>305</v>
      </c>
      <c r="P333" s="100" t="s">
        <v>305</v>
      </c>
      <c r="Q333" s="100" t="s">
        <v>17</v>
      </c>
      <c r="R333" s="100"/>
      <c r="S333" s="100" t="s">
        <v>17</v>
      </c>
      <c r="T333" s="100" t="s">
        <v>17</v>
      </c>
      <c r="U333" s="100"/>
      <c r="V333" s="100" t="s">
        <v>17</v>
      </c>
      <c r="W333" s="100" t="s">
        <v>305</v>
      </c>
      <c r="X333" s="100" t="s">
        <v>17</v>
      </c>
      <c r="Y333" s="100" t="s">
        <v>881</v>
      </c>
      <c r="Z333" s="100" t="s">
        <v>882</v>
      </c>
      <c r="AA333" s="100" t="s">
        <v>883</v>
      </c>
    </row>
    <row r="334" spans="1:35" s="102" customFormat="1" ht="153" x14ac:dyDescent="0.2">
      <c r="A334" s="100" t="s">
        <v>867</v>
      </c>
      <c r="B334" s="100" t="s">
        <v>382</v>
      </c>
      <c r="C334" s="89" t="str">
        <f t="shared" si="6"/>
        <v>A.08.1 334</v>
      </c>
      <c r="D334" s="101" t="s">
        <v>602</v>
      </c>
      <c r="E334" s="100" t="s">
        <v>0</v>
      </c>
      <c r="F334" s="83" t="s">
        <v>1491</v>
      </c>
      <c r="G334" s="83" t="s">
        <v>1492</v>
      </c>
      <c r="H334" s="100" t="s">
        <v>680</v>
      </c>
      <c r="I334" s="100" t="s">
        <v>333</v>
      </c>
      <c r="J334" s="100"/>
      <c r="K334" s="100" t="s">
        <v>17</v>
      </c>
      <c r="L334" s="100" t="s">
        <v>17</v>
      </c>
      <c r="M334" s="100" t="s">
        <v>17</v>
      </c>
      <c r="N334" s="100" t="s">
        <v>17</v>
      </c>
      <c r="O334" s="100" t="s">
        <v>305</v>
      </c>
      <c r="P334" s="100" t="s">
        <v>305</v>
      </c>
      <c r="Q334" s="100" t="s">
        <v>17</v>
      </c>
      <c r="R334" s="100"/>
      <c r="S334" s="100" t="s">
        <v>17</v>
      </c>
      <c r="T334" s="100" t="s">
        <v>17</v>
      </c>
      <c r="U334" s="100"/>
      <c r="V334" s="100" t="s">
        <v>17</v>
      </c>
      <c r="W334" s="100" t="s">
        <v>305</v>
      </c>
      <c r="X334" s="100" t="s">
        <v>17</v>
      </c>
      <c r="Y334" s="100" t="s">
        <v>884</v>
      </c>
      <c r="Z334" s="100" t="s">
        <v>885</v>
      </c>
      <c r="AA334" s="100" t="s">
        <v>886</v>
      </c>
    </row>
    <row r="335" spans="1:35" s="102" customFormat="1" ht="369.75" x14ac:dyDescent="0.2">
      <c r="A335" s="100" t="s">
        <v>867</v>
      </c>
      <c r="B335" s="100" t="s">
        <v>382</v>
      </c>
      <c r="C335" s="89" t="str">
        <f t="shared" si="6"/>
        <v>A.08.1 335</v>
      </c>
      <c r="D335" s="101" t="s">
        <v>603</v>
      </c>
      <c r="E335" s="100" t="s">
        <v>0</v>
      </c>
      <c r="F335" s="83" t="s">
        <v>1493</v>
      </c>
      <c r="G335" s="83" t="s">
        <v>1494</v>
      </c>
      <c r="H335" s="100" t="s">
        <v>887</v>
      </c>
      <c r="I335" s="100" t="s">
        <v>681</v>
      </c>
      <c r="J335" s="100"/>
      <c r="K335" s="100" t="s">
        <v>17</v>
      </c>
      <c r="L335" s="100" t="s">
        <v>17</v>
      </c>
      <c r="M335" s="100" t="s">
        <v>17</v>
      </c>
      <c r="N335" s="100" t="s">
        <v>17</v>
      </c>
      <c r="O335" s="100" t="s">
        <v>305</v>
      </c>
      <c r="P335" s="100" t="s">
        <v>305</v>
      </c>
      <c r="Q335" s="100" t="s">
        <v>17</v>
      </c>
      <c r="R335" s="100"/>
      <c r="S335" s="100" t="s">
        <v>17</v>
      </c>
      <c r="T335" s="100" t="s">
        <v>17</v>
      </c>
      <c r="U335" s="100"/>
      <c r="V335" s="100" t="s">
        <v>17</v>
      </c>
      <c r="W335" s="100" t="s">
        <v>305</v>
      </c>
      <c r="X335" s="100" t="s">
        <v>17</v>
      </c>
      <c r="Y335" s="100" t="s">
        <v>888</v>
      </c>
      <c r="Z335" s="100" t="s">
        <v>889</v>
      </c>
      <c r="AA335" s="100" t="s">
        <v>890</v>
      </c>
    </row>
    <row r="336" spans="1:35" s="102" customFormat="1" ht="140.25" x14ac:dyDescent="0.2">
      <c r="A336" s="100" t="s">
        <v>867</v>
      </c>
      <c r="B336" s="100" t="s">
        <v>80</v>
      </c>
      <c r="C336" s="89" t="str">
        <f t="shared" si="6"/>
        <v>A.09.1.2 336</v>
      </c>
      <c r="D336" s="101" t="s">
        <v>612</v>
      </c>
      <c r="E336" s="100" t="s">
        <v>330</v>
      </c>
      <c r="F336" s="100" t="s">
        <v>390</v>
      </c>
      <c r="G336" s="100" t="s">
        <v>389</v>
      </c>
      <c r="H336" s="100"/>
      <c r="I336" s="100"/>
      <c r="J336" s="100"/>
      <c r="K336" s="100" t="s">
        <v>17</v>
      </c>
      <c r="L336" s="100" t="s">
        <v>17</v>
      </c>
      <c r="M336" s="100" t="s">
        <v>17</v>
      </c>
      <c r="N336" s="100" t="s">
        <v>17</v>
      </c>
      <c r="O336" s="100" t="s">
        <v>305</v>
      </c>
      <c r="P336" s="100" t="s">
        <v>305</v>
      </c>
      <c r="Q336" s="100"/>
      <c r="R336" s="100" t="s">
        <v>17</v>
      </c>
      <c r="S336" s="100" t="s">
        <v>17</v>
      </c>
      <c r="T336" s="100"/>
      <c r="U336" s="100"/>
      <c r="V336" s="100" t="s">
        <v>305</v>
      </c>
      <c r="W336" s="100" t="s">
        <v>305</v>
      </c>
      <c r="X336" s="100" t="s">
        <v>17</v>
      </c>
      <c r="Y336" s="100" t="s">
        <v>891</v>
      </c>
      <c r="Z336" s="100" t="s">
        <v>892</v>
      </c>
      <c r="AA336" s="100" t="s">
        <v>893</v>
      </c>
    </row>
    <row r="337" spans="1:27" s="102" customFormat="1" ht="178.5" x14ac:dyDescent="0.2">
      <c r="A337" s="100" t="s">
        <v>867</v>
      </c>
      <c r="B337" s="100" t="s">
        <v>80</v>
      </c>
      <c r="C337" s="89" t="str">
        <f t="shared" si="6"/>
        <v>A.09.1.2 337</v>
      </c>
      <c r="D337" s="101" t="s">
        <v>601</v>
      </c>
      <c r="E337" s="100" t="s">
        <v>0</v>
      </c>
      <c r="F337" s="83" t="s">
        <v>1495</v>
      </c>
      <c r="G337" s="83" t="s">
        <v>1496</v>
      </c>
      <c r="H337" s="100" t="s">
        <v>894</v>
      </c>
      <c r="I337" s="100" t="s">
        <v>682</v>
      </c>
      <c r="J337" s="100"/>
      <c r="K337" s="100" t="s">
        <v>17</v>
      </c>
      <c r="L337" s="100" t="s">
        <v>17</v>
      </c>
      <c r="M337" s="100" t="s">
        <v>17</v>
      </c>
      <c r="N337" s="100" t="s">
        <v>17</v>
      </c>
      <c r="O337" s="100" t="s">
        <v>305</v>
      </c>
      <c r="P337" s="100" t="s">
        <v>305</v>
      </c>
      <c r="Q337" s="100"/>
      <c r="R337" s="100" t="s">
        <v>17</v>
      </c>
      <c r="S337" s="100" t="s">
        <v>17</v>
      </c>
      <c r="T337" s="100"/>
      <c r="U337" s="100"/>
      <c r="V337" s="100" t="s">
        <v>17</v>
      </c>
      <c r="W337" s="100" t="s">
        <v>17</v>
      </c>
      <c r="X337" s="100" t="s">
        <v>17</v>
      </c>
      <c r="Y337" s="100" t="s">
        <v>895</v>
      </c>
      <c r="Z337" s="100" t="s">
        <v>896</v>
      </c>
      <c r="AA337" s="100" t="s">
        <v>897</v>
      </c>
    </row>
    <row r="338" spans="1:27" s="102" customFormat="1" ht="229.5" x14ac:dyDescent="0.2">
      <c r="A338" s="100" t="s">
        <v>867</v>
      </c>
      <c r="B338" s="100" t="s">
        <v>80</v>
      </c>
      <c r="C338" s="89" t="str">
        <f t="shared" si="6"/>
        <v>A.09.1.2 338</v>
      </c>
      <c r="D338" s="101" t="s">
        <v>602</v>
      </c>
      <c r="E338" s="100" t="s">
        <v>0</v>
      </c>
      <c r="F338" s="100" t="s">
        <v>1731</v>
      </c>
      <c r="G338" s="100" t="s">
        <v>1732</v>
      </c>
      <c r="H338" s="100" t="s">
        <v>683</v>
      </c>
      <c r="I338" s="100" t="s">
        <v>684</v>
      </c>
      <c r="J338" s="100"/>
      <c r="K338" s="100" t="s">
        <v>17</v>
      </c>
      <c r="L338" s="100" t="s">
        <v>17</v>
      </c>
      <c r="M338" s="100" t="s">
        <v>17</v>
      </c>
      <c r="N338" s="100" t="s">
        <v>17</v>
      </c>
      <c r="O338" s="100" t="s">
        <v>305</v>
      </c>
      <c r="P338" s="100" t="s">
        <v>305</v>
      </c>
      <c r="Q338" s="100"/>
      <c r="R338" s="100" t="s">
        <v>17</v>
      </c>
      <c r="S338" s="100" t="s">
        <v>17</v>
      </c>
      <c r="T338" s="100"/>
      <c r="U338" s="100"/>
      <c r="V338" s="100" t="s">
        <v>17</v>
      </c>
      <c r="W338" s="100" t="s">
        <v>17</v>
      </c>
      <c r="X338" s="100" t="s">
        <v>17</v>
      </c>
      <c r="Y338" s="100" t="s">
        <v>898</v>
      </c>
      <c r="Z338" s="100" t="s">
        <v>899</v>
      </c>
      <c r="AA338" s="100" t="s">
        <v>900</v>
      </c>
    </row>
    <row r="339" spans="1:27" s="102" customFormat="1" ht="178.5" x14ac:dyDescent="0.2">
      <c r="A339" s="100" t="s">
        <v>867</v>
      </c>
      <c r="B339" s="100" t="s">
        <v>80</v>
      </c>
      <c r="C339" s="89" t="str">
        <f t="shared" si="6"/>
        <v>A.09.1.2 339</v>
      </c>
      <c r="D339" s="101" t="s">
        <v>603</v>
      </c>
      <c r="E339" s="100" t="s">
        <v>0</v>
      </c>
      <c r="F339" s="83" t="s">
        <v>1497</v>
      </c>
      <c r="G339" s="83" t="s">
        <v>1498</v>
      </c>
      <c r="H339" s="100" t="s">
        <v>685</v>
      </c>
      <c r="I339" s="100" t="s">
        <v>686</v>
      </c>
      <c r="J339" s="100"/>
      <c r="K339" s="100" t="s">
        <v>17</v>
      </c>
      <c r="L339" s="100" t="s">
        <v>17</v>
      </c>
      <c r="M339" s="100" t="s">
        <v>17</v>
      </c>
      <c r="N339" s="100" t="s">
        <v>17</v>
      </c>
      <c r="O339" s="100" t="s">
        <v>305</v>
      </c>
      <c r="P339" s="100" t="s">
        <v>305</v>
      </c>
      <c r="Q339" s="100"/>
      <c r="R339" s="100" t="s">
        <v>17</v>
      </c>
      <c r="S339" s="100" t="s">
        <v>17</v>
      </c>
      <c r="T339" s="100"/>
      <c r="U339" s="100"/>
      <c r="V339" s="100" t="s">
        <v>17</v>
      </c>
      <c r="W339" s="100" t="s">
        <v>305</v>
      </c>
      <c r="X339" s="100"/>
      <c r="Y339" s="100" t="s">
        <v>901</v>
      </c>
      <c r="Z339" s="100" t="s">
        <v>902</v>
      </c>
      <c r="AA339" s="100" t="s">
        <v>903</v>
      </c>
    </row>
    <row r="340" spans="1:27" s="102" customFormat="1" ht="229.5" x14ac:dyDescent="0.2">
      <c r="A340" s="100" t="s">
        <v>867</v>
      </c>
      <c r="B340" s="100" t="s">
        <v>80</v>
      </c>
      <c r="C340" s="89" t="str">
        <f t="shared" si="6"/>
        <v>A.09.1.2 340</v>
      </c>
      <c r="D340" s="101" t="s">
        <v>604</v>
      </c>
      <c r="E340" s="100" t="s">
        <v>0</v>
      </c>
      <c r="F340" s="83" t="s">
        <v>1499</v>
      </c>
      <c r="G340" s="83" t="s">
        <v>1500</v>
      </c>
      <c r="H340" s="100" t="s">
        <v>904</v>
      </c>
      <c r="I340" s="100" t="s">
        <v>687</v>
      </c>
      <c r="J340" s="100"/>
      <c r="K340" s="100" t="s">
        <v>17</v>
      </c>
      <c r="L340" s="100" t="s">
        <v>17</v>
      </c>
      <c r="M340" s="100" t="s">
        <v>17</v>
      </c>
      <c r="N340" s="100" t="s">
        <v>17</v>
      </c>
      <c r="O340" s="100" t="s">
        <v>305</v>
      </c>
      <c r="P340" s="100" t="s">
        <v>305</v>
      </c>
      <c r="Q340" s="100"/>
      <c r="R340" s="100" t="s">
        <v>17</v>
      </c>
      <c r="S340" s="100" t="s">
        <v>17</v>
      </c>
      <c r="T340" s="100"/>
      <c r="U340" s="100"/>
      <c r="V340" s="100" t="s">
        <v>17</v>
      </c>
      <c r="W340" s="100" t="s">
        <v>305</v>
      </c>
      <c r="X340" s="100" t="s">
        <v>17</v>
      </c>
      <c r="Y340" s="100" t="s">
        <v>905</v>
      </c>
      <c r="Z340" s="100" t="s">
        <v>906</v>
      </c>
      <c r="AA340" s="100" t="s">
        <v>907</v>
      </c>
    </row>
    <row r="341" spans="1:27" s="102" customFormat="1" ht="38.25" x14ac:dyDescent="0.2">
      <c r="A341" s="100" t="s">
        <v>867</v>
      </c>
      <c r="B341" s="100" t="s">
        <v>80</v>
      </c>
      <c r="C341" s="89" t="str">
        <f t="shared" si="6"/>
        <v>A.09.1.2 341</v>
      </c>
      <c r="D341" s="101" t="s">
        <v>612</v>
      </c>
      <c r="E341" s="100" t="s">
        <v>330</v>
      </c>
      <c r="F341" s="100" t="s">
        <v>688</v>
      </c>
      <c r="G341" s="100" t="s">
        <v>689</v>
      </c>
      <c r="H341" s="100"/>
      <c r="I341" s="100"/>
      <c r="J341" s="100"/>
      <c r="K341" s="100" t="s">
        <v>17</v>
      </c>
      <c r="L341" s="100" t="s">
        <v>17</v>
      </c>
      <c r="M341" s="100" t="s">
        <v>17</v>
      </c>
      <c r="N341" s="100" t="s">
        <v>17</v>
      </c>
      <c r="O341" s="100" t="s">
        <v>305</v>
      </c>
      <c r="P341" s="100" t="s">
        <v>305</v>
      </c>
      <c r="Q341" s="100"/>
      <c r="R341" s="100"/>
      <c r="S341" s="100" t="s">
        <v>305</v>
      </c>
      <c r="T341" s="100"/>
      <c r="U341" s="100" t="s">
        <v>17</v>
      </c>
      <c r="V341" s="100" t="s">
        <v>17</v>
      </c>
      <c r="W341" s="100" t="s">
        <v>305</v>
      </c>
      <c r="X341" s="100"/>
      <c r="Y341" s="100" t="s">
        <v>908</v>
      </c>
      <c r="Z341" s="100" t="s">
        <v>909</v>
      </c>
      <c r="AA341" s="100" t="s">
        <v>910</v>
      </c>
    </row>
    <row r="342" spans="1:27" s="102" customFormat="1" ht="178.5" x14ac:dyDescent="0.2">
      <c r="A342" s="100" t="s">
        <v>867</v>
      </c>
      <c r="B342" s="100" t="s">
        <v>80</v>
      </c>
      <c r="C342" s="89" t="str">
        <f t="shared" si="6"/>
        <v>A.09.1.2 342</v>
      </c>
      <c r="D342" s="101" t="s">
        <v>601</v>
      </c>
      <c r="E342" s="100" t="s">
        <v>0</v>
      </c>
      <c r="F342" s="83" t="s">
        <v>1501</v>
      </c>
      <c r="G342" s="83" t="s">
        <v>1502</v>
      </c>
      <c r="H342" s="100" t="s">
        <v>690</v>
      </c>
      <c r="I342" s="100" t="s">
        <v>691</v>
      </c>
      <c r="J342" s="100"/>
      <c r="K342" s="100" t="s">
        <v>17</v>
      </c>
      <c r="L342" s="100" t="s">
        <v>17</v>
      </c>
      <c r="M342" s="100" t="s">
        <v>17</v>
      </c>
      <c r="N342" s="100" t="s">
        <v>17</v>
      </c>
      <c r="O342" s="100" t="s">
        <v>305</v>
      </c>
      <c r="P342" s="100" t="s">
        <v>305</v>
      </c>
      <c r="Q342" s="100"/>
      <c r="R342" s="100"/>
      <c r="S342" s="100" t="s">
        <v>305</v>
      </c>
      <c r="T342" s="100"/>
      <c r="U342" s="100" t="s">
        <v>17</v>
      </c>
      <c r="V342" s="100" t="s">
        <v>17</v>
      </c>
      <c r="W342" s="100" t="s">
        <v>305</v>
      </c>
      <c r="X342" s="100"/>
      <c r="Y342" s="100" t="s">
        <v>911</v>
      </c>
      <c r="Z342" s="100" t="s">
        <v>912</v>
      </c>
      <c r="AA342" s="100" t="s">
        <v>913</v>
      </c>
    </row>
    <row r="343" spans="1:27" s="102" customFormat="1" ht="204" x14ac:dyDescent="0.2">
      <c r="A343" s="100" t="s">
        <v>867</v>
      </c>
      <c r="B343" s="100" t="s">
        <v>80</v>
      </c>
      <c r="C343" s="89" t="str">
        <f t="shared" si="6"/>
        <v>A.09.1.2 343</v>
      </c>
      <c r="D343" s="101" t="s">
        <v>602</v>
      </c>
      <c r="E343" s="100" t="s">
        <v>0</v>
      </c>
      <c r="F343" s="83" t="s">
        <v>1503</v>
      </c>
      <c r="G343" s="83" t="s">
        <v>1504</v>
      </c>
      <c r="H343" s="100" t="s">
        <v>692</v>
      </c>
      <c r="I343" s="100" t="s">
        <v>334</v>
      </c>
      <c r="J343" s="100"/>
      <c r="K343" s="100" t="s">
        <v>17</v>
      </c>
      <c r="L343" s="100" t="s">
        <v>17</v>
      </c>
      <c r="M343" s="100" t="s">
        <v>17</v>
      </c>
      <c r="N343" s="100" t="s">
        <v>17</v>
      </c>
      <c r="O343" s="100" t="s">
        <v>305</v>
      </c>
      <c r="P343" s="100" t="s">
        <v>305</v>
      </c>
      <c r="Q343" s="100"/>
      <c r="R343" s="100"/>
      <c r="S343" s="100" t="s">
        <v>305</v>
      </c>
      <c r="T343" s="100"/>
      <c r="U343" s="100" t="s">
        <v>17</v>
      </c>
      <c r="V343" s="100" t="s">
        <v>17</v>
      </c>
      <c r="W343" s="100" t="s">
        <v>305</v>
      </c>
      <c r="X343" s="100"/>
      <c r="Y343" s="100" t="s">
        <v>914</v>
      </c>
      <c r="Z343" s="100" t="s">
        <v>915</v>
      </c>
      <c r="AA343" s="100" t="s">
        <v>916</v>
      </c>
    </row>
    <row r="344" spans="1:27" s="102" customFormat="1" ht="229.5" x14ac:dyDescent="0.2">
      <c r="A344" s="100" t="s">
        <v>867</v>
      </c>
      <c r="B344" s="100" t="s">
        <v>80</v>
      </c>
      <c r="C344" s="89" t="str">
        <f t="shared" si="6"/>
        <v>A.09.1.2 344</v>
      </c>
      <c r="D344" s="101" t="s">
        <v>603</v>
      </c>
      <c r="E344" s="100" t="s">
        <v>0</v>
      </c>
      <c r="F344" s="83" t="s">
        <v>1505</v>
      </c>
      <c r="G344" s="83" t="s">
        <v>1506</v>
      </c>
      <c r="H344" s="100" t="s">
        <v>693</v>
      </c>
      <c r="I344" s="100" t="s">
        <v>335</v>
      </c>
      <c r="J344" s="100"/>
      <c r="K344" s="100" t="s">
        <v>17</v>
      </c>
      <c r="L344" s="100" t="s">
        <v>17</v>
      </c>
      <c r="M344" s="100" t="s">
        <v>17</v>
      </c>
      <c r="N344" s="100" t="s">
        <v>17</v>
      </c>
      <c r="O344" s="100" t="s">
        <v>305</v>
      </c>
      <c r="P344" s="100" t="s">
        <v>305</v>
      </c>
      <c r="Q344" s="100"/>
      <c r="R344" s="100"/>
      <c r="S344" s="100" t="s">
        <v>305</v>
      </c>
      <c r="T344" s="100"/>
      <c r="U344" s="100" t="s">
        <v>17</v>
      </c>
      <c r="V344" s="100" t="s">
        <v>17</v>
      </c>
      <c r="W344" s="100" t="s">
        <v>305</v>
      </c>
      <c r="X344" s="100"/>
      <c r="Y344" s="100" t="s">
        <v>917</v>
      </c>
      <c r="Z344" s="100" t="s">
        <v>918</v>
      </c>
      <c r="AA344" s="100" t="s">
        <v>919</v>
      </c>
    </row>
    <row r="345" spans="1:27" s="102" customFormat="1" ht="51" x14ac:dyDescent="0.2">
      <c r="A345" s="100" t="s">
        <v>867</v>
      </c>
      <c r="B345" s="100" t="s">
        <v>84</v>
      </c>
      <c r="C345" s="89" t="str">
        <f t="shared" si="6"/>
        <v>A.09.2.1 345</v>
      </c>
      <c r="D345" s="101" t="s">
        <v>612</v>
      </c>
      <c r="E345" s="100" t="s">
        <v>330</v>
      </c>
      <c r="F345" s="100" t="s">
        <v>1468</v>
      </c>
      <c r="G345" s="100" t="s">
        <v>1469</v>
      </c>
      <c r="H345" s="100"/>
      <c r="I345" s="100"/>
      <c r="J345" s="100"/>
      <c r="K345" s="100" t="s">
        <v>17</v>
      </c>
      <c r="L345" s="100" t="s">
        <v>17</v>
      </c>
      <c r="M345" s="100" t="s">
        <v>17</v>
      </c>
      <c r="N345" s="100" t="s">
        <v>17</v>
      </c>
      <c r="O345" s="100" t="s">
        <v>305</v>
      </c>
      <c r="P345" s="100" t="s">
        <v>305</v>
      </c>
      <c r="Q345" s="100" t="s">
        <v>17</v>
      </c>
      <c r="R345" s="100" t="s">
        <v>17</v>
      </c>
      <c r="S345" s="100" t="s">
        <v>17</v>
      </c>
      <c r="T345" s="100" t="s">
        <v>17</v>
      </c>
      <c r="U345" s="100"/>
      <c r="V345" s="100" t="s">
        <v>17</v>
      </c>
      <c r="W345" s="100" t="s">
        <v>17</v>
      </c>
      <c r="X345" s="100" t="s">
        <v>17</v>
      </c>
      <c r="Y345" s="100" t="s">
        <v>920</v>
      </c>
      <c r="Z345" s="100" t="s">
        <v>921</v>
      </c>
      <c r="AA345" s="100" t="s">
        <v>922</v>
      </c>
    </row>
    <row r="346" spans="1:27" s="102" customFormat="1" ht="191.25" x14ac:dyDescent="0.2">
      <c r="A346" s="100" t="s">
        <v>867</v>
      </c>
      <c r="B346" s="100" t="s">
        <v>84</v>
      </c>
      <c r="C346" s="89" t="str">
        <f t="shared" si="6"/>
        <v>A.09.2.1 346</v>
      </c>
      <c r="D346" s="101" t="s">
        <v>601</v>
      </c>
      <c r="E346" s="100" t="s">
        <v>0</v>
      </c>
      <c r="F346" s="83" t="s">
        <v>1507</v>
      </c>
      <c r="G346" s="83" t="s">
        <v>1508</v>
      </c>
      <c r="H346" s="100" t="s">
        <v>923</v>
      </c>
      <c r="I346" s="100" t="s">
        <v>924</v>
      </c>
      <c r="J346" s="100"/>
      <c r="K346" s="100" t="s">
        <v>17</v>
      </c>
      <c r="L346" s="100" t="s">
        <v>17</v>
      </c>
      <c r="M346" s="100" t="s">
        <v>17</v>
      </c>
      <c r="N346" s="100" t="s">
        <v>17</v>
      </c>
      <c r="O346" s="100" t="s">
        <v>305</v>
      </c>
      <c r="P346" s="100" t="s">
        <v>305</v>
      </c>
      <c r="Q346" s="100" t="s">
        <v>17</v>
      </c>
      <c r="R346" s="100" t="s">
        <v>17</v>
      </c>
      <c r="S346" s="100" t="s">
        <v>17</v>
      </c>
      <c r="T346" s="100" t="s">
        <v>17</v>
      </c>
      <c r="U346" s="100"/>
      <c r="V346" s="100" t="s">
        <v>17</v>
      </c>
      <c r="W346" s="100" t="s">
        <v>17</v>
      </c>
      <c r="X346" s="100" t="s">
        <v>17</v>
      </c>
      <c r="Y346" s="100" t="s">
        <v>925</v>
      </c>
      <c r="Z346" s="100" t="s">
        <v>926</v>
      </c>
      <c r="AA346" s="100" t="s">
        <v>927</v>
      </c>
    </row>
    <row r="347" spans="1:27" s="102" customFormat="1" ht="306" x14ac:dyDescent="0.2">
      <c r="A347" s="100" t="s">
        <v>867</v>
      </c>
      <c r="B347" s="100" t="s">
        <v>84</v>
      </c>
      <c r="C347" s="89" t="str">
        <f t="shared" si="6"/>
        <v>A.09.2.1 347</v>
      </c>
      <c r="D347" s="101" t="s">
        <v>602</v>
      </c>
      <c r="E347" s="100" t="s">
        <v>0</v>
      </c>
      <c r="F347" s="112" t="s">
        <v>1733</v>
      </c>
      <c r="G347" s="112" t="s">
        <v>1734</v>
      </c>
      <c r="H347" s="100" t="s">
        <v>1470</v>
      </c>
      <c r="I347" s="100" t="s">
        <v>928</v>
      </c>
      <c r="J347" s="100"/>
      <c r="K347" s="100" t="s">
        <v>17</v>
      </c>
      <c r="L347" s="100" t="s">
        <v>17</v>
      </c>
      <c r="M347" s="100" t="s">
        <v>17</v>
      </c>
      <c r="N347" s="100" t="s">
        <v>17</v>
      </c>
      <c r="O347" s="100" t="s">
        <v>305</v>
      </c>
      <c r="P347" s="100" t="s">
        <v>305</v>
      </c>
      <c r="Q347" s="100" t="s">
        <v>17</v>
      </c>
      <c r="R347" s="100" t="s">
        <v>17</v>
      </c>
      <c r="S347" s="100" t="s">
        <v>17</v>
      </c>
      <c r="T347" s="100" t="s">
        <v>17</v>
      </c>
      <c r="U347" s="100"/>
      <c r="V347" s="100" t="s">
        <v>17</v>
      </c>
      <c r="W347" s="100" t="s">
        <v>17</v>
      </c>
      <c r="X347" s="100" t="s">
        <v>17</v>
      </c>
      <c r="Y347" s="100" t="s">
        <v>929</v>
      </c>
      <c r="Z347" s="100" t="s">
        <v>930</v>
      </c>
      <c r="AA347" s="100" t="s">
        <v>931</v>
      </c>
    </row>
    <row r="348" spans="1:27" s="102" customFormat="1" ht="255" x14ac:dyDescent="0.2">
      <c r="A348" s="100" t="s">
        <v>867</v>
      </c>
      <c r="B348" s="100" t="s">
        <v>84</v>
      </c>
      <c r="C348" s="89" t="str">
        <f t="shared" si="6"/>
        <v>A.09.2.1 348</v>
      </c>
      <c r="D348" s="101" t="s">
        <v>603</v>
      </c>
      <c r="E348" s="100" t="s">
        <v>0</v>
      </c>
      <c r="F348" s="112" t="s">
        <v>1735</v>
      </c>
      <c r="G348" s="112" t="s">
        <v>1736</v>
      </c>
      <c r="H348" s="100" t="s">
        <v>932</v>
      </c>
      <c r="I348" s="100" t="s">
        <v>933</v>
      </c>
      <c r="J348" s="100"/>
      <c r="K348" s="100" t="s">
        <v>17</v>
      </c>
      <c r="L348" s="100" t="s">
        <v>17</v>
      </c>
      <c r="M348" s="100" t="s">
        <v>17</v>
      </c>
      <c r="N348" s="100" t="s">
        <v>17</v>
      </c>
      <c r="O348" s="100" t="s">
        <v>305</v>
      </c>
      <c r="P348" s="100" t="s">
        <v>305</v>
      </c>
      <c r="Q348" s="100" t="s">
        <v>17</v>
      </c>
      <c r="R348" s="100" t="s">
        <v>17</v>
      </c>
      <c r="S348" s="100" t="s">
        <v>17</v>
      </c>
      <c r="T348" s="100" t="s">
        <v>17</v>
      </c>
      <c r="U348" s="100"/>
      <c r="V348" s="100" t="s">
        <v>17</v>
      </c>
      <c r="W348" s="100" t="s">
        <v>17</v>
      </c>
      <c r="X348" s="100" t="s">
        <v>17</v>
      </c>
      <c r="Y348" s="100" t="s">
        <v>934</v>
      </c>
      <c r="Z348" s="100" t="s">
        <v>935</v>
      </c>
      <c r="AA348" s="100" t="s">
        <v>936</v>
      </c>
    </row>
    <row r="349" spans="1:27" s="102" customFormat="1" ht="191.25" x14ac:dyDescent="0.2">
      <c r="A349" s="100" t="s">
        <v>867</v>
      </c>
      <c r="B349" s="100" t="s">
        <v>84</v>
      </c>
      <c r="C349" s="89" t="str">
        <f t="shared" si="6"/>
        <v>A.09.2.1 349</v>
      </c>
      <c r="D349" s="101" t="s">
        <v>604</v>
      </c>
      <c r="E349" s="100" t="s">
        <v>0</v>
      </c>
      <c r="F349" s="83" t="s">
        <v>1509</v>
      </c>
      <c r="G349" s="83" t="s">
        <v>1510</v>
      </c>
      <c r="H349" s="100" t="s">
        <v>937</v>
      </c>
      <c r="I349" s="100" t="s">
        <v>938</v>
      </c>
      <c r="J349" s="100"/>
      <c r="K349" s="100" t="s">
        <v>17</v>
      </c>
      <c r="L349" s="100" t="s">
        <v>17</v>
      </c>
      <c r="M349" s="100" t="s">
        <v>17</v>
      </c>
      <c r="N349" s="100" t="s">
        <v>17</v>
      </c>
      <c r="O349" s="100" t="s">
        <v>305</v>
      </c>
      <c r="P349" s="100" t="s">
        <v>305</v>
      </c>
      <c r="Q349" s="100" t="s">
        <v>17</v>
      </c>
      <c r="R349" s="100" t="s">
        <v>17</v>
      </c>
      <c r="S349" s="100" t="s">
        <v>17</v>
      </c>
      <c r="T349" s="100" t="s">
        <v>17</v>
      </c>
      <c r="U349" s="100"/>
      <c r="V349" s="100" t="s">
        <v>17</v>
      </c>
      <c r="W349" s="100" t="s">
        <v>17</v>
      </c>
      <c r="X349" s="100" t="s">
        <v>17</v>
      </c>
      <c r="Y349" s="100" t="s">
        <v>939</v>
      </c>
      <c r="Z349" s="100" t="s">
        <v>940</v>
      </c>
      <c r="AA349" s="100" t="s">
        <v>941</v>
      </c>
    </row>
    <row r="350" spans="1:27" s="102" customFormat="1" ht="63.75" x14ac:dyDescent="0.2">
      <c r="A350" s="100" t="s">
        <v>867</v>
      </c>
      <c r="B350" s="100" t="s">
        <v>90</v>
      </c>
      <c r="C350" s="89" t="str">
        <f t="shared" si="6"/>
        <v>A.09.2.3 350</v>
      </c>
      <c r="D350" s="101" t="s">
        <v>612</v>
      </c>
      <c r="E350" s="100" t="s">
        <v>330</v>
      </c>
      <c r="F350" s="100" t="s">
        <v>392</v>
      </c>
      <c r="G350" s="100" t="s">
        <v>391</v>
      </c>
      <c r="H350" s="100"/>
      <c r="I350" s="100"/>
      <c r="J350" s="100"/>
      <c r="K350" s="100" t="s">
        <v>17</v>
      </c>
      <c r="L350" s="100" t="s">
        <v>17</v>
      </c>
      <c r="M350" s="100" t="s">
        <v>17</v>
      </c>
      <c r="N350" s="100" t="s">
        <v>17</v>
      </c>
      <c r="O350" s="100" t="s">
        <v>305</v>
      </c>
      <c r="P350" s="100" t="s">
        <v>305</v>
      </c>
      <c r="Q350" s="100" t="s">
        <v>17</v>
      </c>
      <c r="R350" s="100" t="s">
        <v>17</v>
      </c>
      <c r="S350" s="100" t="s">
        <v>17</v>
      </c>
      <c r="T350" s="100" t="s">
        <v>17</v>
      </c>
      <c r="U350" s="100"/>
      <c r="V350" s="100" t="s">
        <v>305</v>
      </c>
      <c r="W350" s="100" t="s">
        <v>305</v>
      </c>
      <c r="X350" s="100" t="s">
        <v>17</v>
      </c>
      <c r="Y350" s="100" t="s">
        <v>942</v>
      </c>
      <c r="Z350" s="100" t="s">
        <v>943</v>
      </c>
      <c r="AA350" s="100" t="s">
        <v>944</v>
      </c>
    </row>
    <row r="351" spans="1:27" s="102" customFormat="1" ht="165.75" x14ac:dyDescent="0.2">
      <c r="A351" s="100" t="s">
        <v>867</v>
      </c>
      <c r="B351" s="100" t="s">
        <v>90</v>
      </c>
      <c r="C351" s="89" t="str">
        <f t="shared" si="6"/>
        <v>A.09.2.3 351</v>
      </c>
      <c r="D351" s="101" t="s">
        <v>601</v>
      </c>
      <c r="E351" s="100" t="s">
        <v>0</v>
      </c>
      <c r="F351" s="83" t="s">
        <v>1511</v>
      </c>
      <c r="G351" s="83" t="s">
        <v>1512</v>
      </c>
      <c r="H351" s="100" t="s">
        <v>694</v>
      </c>
      <c r="I351" s="100" t="s">
        <v>695</v>
      </c>
      <c r="J351" s="100"/>
      <c r="K351" s="100" t="s">
        <v>17</v>
      </c>
      <c r="L351" s="100" t="s">
        <v>17</v>
      </c>
      <c r="M351" s="100" t="s">
        <v>17</v>
      </c>
      <c r="N351" s="100" t="s">
        <v>17</v>
      </c>
      <c r="O351" s="100" t="s">
        <v>305</v>
      </c>
      <c r="P351" s="100" t="s">
        <v>305</v>
      </c>
      <c r="Q351" s="100" t="s">
        <v>17</v>
      </c>
      <c r="R351" s="100" t="s">
        <v>17</v>
      </c>
      <c r="S351" s="100" t="s">
        <v>17</v>
      </c>
      <c r="T351" s="100" t="s">
        <v>17</v>
      </c>
      <c r="U351" s="100"/>
      <c r="V351" s="100" t="s">
        <v>17</v>
      </c>
      <c r="W351" s="100" t="s">
        <v>305</v>
      </c>
      <c r="X351" s="100" t="s">
        <v>17</v>
      </c>
      <c r="Y351" s="100" t="s">
        <v>945</v>
      </c>
      <c r="Z351" s="100" t="s">
        <v>946</v>
      </c>
      <c r="AA351" s="100" t="s">
        <v>947</v>
      </c>
    </row>
    <row r="352" spans="1:27" s="102" customFormat="1" ht="102" x14ac:dyDescent="0.2">
      <c r="A352" s="100" t="s">
        <v>867</v>
      </c>
      <c r="B352" s="100" t="s">
        <v>90</v>
      </c>
      <c r="C352" s="89" t="str">
        <f t="shared" si="6"/>
        <v>A.09.2.3 352</v>
      </c>
      <c r="D352" s="101" t="s">
        <v>602</v>
      </c>
      <c r="E352" s="100" t="s">
        <v>0</v>
      </c>
      <c r="F352" s="83" t="s">
        <v>1513</v>
      </c>
      <c r="G352" s="83" t="s">
        <v>1514</v>
      </c>
      <c r="H352" s="100" t="s">
        <v>696</v>
      </c>
      <c r="I352" s="100" t="s">
        <v>336</v>
      </c>
      <c r="J352" s="100"/>
      <c r="K352" s="100" t="s">
        <v>17</v>
      </c>
      <c r="L352" s="100" t="s">
        <v>17</v>
      </c>
      <c r="M352" s="100" t="s">
        <v>17</v>
      </c>
      <c r="N352" s="100" t="s">
        <v>17</v>
      </c>
      <c r="O352" s="100" t="s">
        <v>305</v>
      </c>
      <c r="P352" s="100" t="s">
        <v>305</v>
      </c>
      <c r="Q352" s="100" t="s">
        <v>17</v>
      </c>
      <c r="R352" s="100" t="s">
        <v>17</v>
      </c>
      <c r="S352" s="100" t="s">
        <v>17</v>
      </c>
      <c r="T352" s="100" t="s">
        <v>17</v>
      </c>
      <c r="U352" s="100"/>
      <c r="V352" s="100" t="s">
        <v>17</v>
      </c>
      <c r="W352" s="100" t="s">
        <v>305</v>
      </c>
      <c r="X352" s="100" t="s">
        <v>17</v>
      </c>
      <c r="Y352" s="100" t="s">
        <v>948</v>
      </c>
      <c r="Z352" s="100" t="s">
        <v>949</v>
      </c>
      <c r="AA352" s="100" t="s">
        <v>950</v>
      </c>
    </row>
    <row r="353" spans="1:27" s="102" customFormat="1" ht="114.75" x14ac:dyDescent="0.2">
      <c r="A353" s="100" t="s">
        <v>867</v>
      </c>
      <c r="B353" s="100" t="s">
        <v>90</v>
      </c>
      <c r="C353" s="89" t="str">
        <f t="shared" si="6"/>
        <v>A.09.2.3 353</v>
      </c>
      <c r="D353" s="101" t="s">
        <v>603</v>
      </c>
      <c r="E353" s="100" t="s">
        <v>0</v>
      </c>
      <c r="F353" s="83" t="s">
        <v>1515</v>
      </c>
      <c r="G353" s="83" t="s">
        <v>1516</v>
      </c>
      <c r="H353" s="100" t="s">
        <v>697</v>
      </c>
      <c r="I353" s="100" t="s">
        <v>337</v>
      </c>
      <c r="J353" s="100"/>
      <c r="K353" s="100" t="s">
        <v>17</v>
      </c>
      <c r="L353" s="100" t="s">
        <v>17</v>
      </c>
      <c r="M353" s="100" t="s">
        <v>17</v>
      </c>
      <c r="N353" s="100" t="s">
        <v>17</v>
      </c>
      <c r="O353" s="100" t="s">
        <v>305</v>
      </c>
      <c r="P353" s="100" t="s">
        <v>305</v>
      </c>
      <c r="Q353" s="100" t="s">
        <v>17</v>
      </c>
      <c r="R353" s="100" t="s">
        <v>17</v>
      </c>
      <c r="S353" s="100" t="s">
        <v>17</v>
      </c>
      <c r="T353" s="100" t="s">
        <v>17</v>
      </c>
      <c r="U353" s="100"/>
      <c r="V353" s="100" t="s">
        <v>17</v>
      </c>
      <c r="W353" s="100" t="s">
        <v>305</v>
      </c>
      <c r="X353" s="100" t="s">
        <v>17</v>
      </c>
      <c r="Y353" s="100" t="s">
        <v>951</v>
      </c>
      <c r="Z353" s="100" t="s">
        <v>952</v>
      </c>
      <c r="AA353" s="100" t="s">
        <v>953</v>
      </c>
    </row>
    <row r="354" spans="1:27" s="102" customFormat="1" ht="204" x14ac:dyDescent="0.2">
      <c r="A354" s="100" t="s">
        <v>867</v>
      </c>
      <c r="B354" s="100" t="s">
        <v>90</v>
      </c>
      <c r="C354" s="89" t="str">
        <f t="shared" si="6"/>
        <v>A.09.2.3 354</v>
      </c>
      <c r="D354" s="101" t="s">
        <v>604</v>
      </c>
      <c r="E354" s="100" t="s">
        <v>0</v>
      </c>
      <c r="F354" s="83" t="s">
        <v>1517</v>
      </c>
      <c r="G354" s="83" t="s">
        <v>1518</v>
      </c>
      <c r="H354" s="100" t="s">
        <v>698</v>
      </c>
      <c r="I354" s="100" t="s">
        <v>699</v>
      </c>
      <c r="J354" s="100"/>
      <c r="K354" s="100" t="s">
        <v>17</v>
      </c>
      <c r="L354" s="100" t="s">
        <v>17</v>
      </c>
      <c r="M354" s="100" t="s">
        <v>17</v>
      </c>
      <c r="N354" s="100" t="s">
        <v>17</v>
      </c>
      <c r="O354" s="100" t="s">
        <v>305</v>
      </c>
      <c r="P354" s="100" t="s">
        <v>305</v>
      </c>
      <c r="Q354" s="100" t="s">
        <v>17</v>
      </c>
      <c r="R354" s="100" t="s">
        <v>17</v>
      </c>
      <c r="S354" s="100" t="s">
        <v>17</v>
      </c>
      <c r="T354" s="100" t="s">
        <v>17</v>
      </c>
      <c r="U354" s="100"/>
      <c r="V354" s="100" t="s">
        <v>17</v>
      </c>
      <c r="W354" s="100" t="s">
        <v>305</v>
      </c>
      <c r="X354" s="100" t="s">
        <v>17</v>
      </c>
      <c r="Y354" s="100" t="s">
        <v>954</v>
      </c>
      <c r="Z354" s="100" t="s">
        <v>955</v>
      </c>
      <c r="AA354" s="100" t="s">
        <v>956</v>
      </c>
    </row>
    <row r="355" spans="1:27" s="102" customFormat="1" ht="409.5" x14ac:dyDescent="0.2">
      <c r="A355" s="100" t="s">
        <v>867</v>
      </c>
      <c r="B355" s="100" t="s">
        <v>90</v>
      </c>
      <c r="C355" s="89" t="str">
        <f t="shared" si="6"/>
        <v>A.09.2.3 355</v>
      </c>
      <c r="D355" s="101" t="s">
        <v>605</v>
      </c>
      <c r="E355" s="100" t="s">
        <v>0</v>
      </c>
      <c r="F355" s="83" t="s">
        <v>1519</v>
      </c>
      <c r="G355" s="83" t="s">
        <v>1520</v>
      </c>
      <c r="H355" s="100" t="s">
        <v>700</v>
      </c>
      <c r="I355" s="100" t="s">
        <v>338</v>
      </c>
      <c r="J355" s="100"/>
      <c r="K355" s="100" t="s">
        <v>17</v>
      </c>
      <c r="L355" s="100" t="s">
        <v>17</v>
      </c>
      <c r="M355" s="100" t="s">
        <v>17</v>
      </c>
      <c r="N355" s="100" t="s">
        <v>17</v>
      </c>
      <c r="O355" s="100" t="s">
        <v>305</v>
      </c>
      <c r="P355" s="100" t="s">
        <v>305</v>
      </c>
      <c r="Q355" s="100" t="s">
        <v>17</v>
      </c>
      <c r="R355" s="100" t="s">
        <v>17</v>
      </c>
      <c r="S355" s="100" t="s">
        <v>17</v>
      </c>
      <c r="T355" s="100" t="s">
        <v>17</v>
      </c>
      <c r="U355" s="100"/>
      <c r="V355" s="100" t="s">
        <v>17</v>
      </c>
      <c r="W355" s="100" t="s">
        <v>305</v>
      </c>
      <c r="X355" s="100" t="s">
        <v>17</v>
      </c>
      <c r="Y355" s="100" t="s">
        <v>957</v>
      </c>
      <c r="Z355" s="100" t="s">
        <v>958</v>
      </c>
      <c r="AA355" s="100" t="s">
        <v>959</v>
      </c>
    </row>
    <row r="356" spans="1:27" s="102" customFormat="1" ht="165.75" x14ac:dyDescent="0.2">
      <c r="A356" s="100" t="s">
        <v>867</v>
      </c>
      <c r="B356" s="100" t="s">
        <v>90</v>
      </c>
      <c r="C356" s="89" t="str">
        <f t="shared" si="6"/>
        <v>A.09.2.3 356</v>
      </c>
      <c r="D356" s="101" t="s">
        <v>606</v>
      </c>
      <c r="E356" s="100" t="s">
        <v>0</v>
      </c>
      <c r="F356" s="83" t="s">
        <v>1521</v>
      </c>
      <c r="G356" s="83" t="s">
        <v>1522</v>
      </c>
      <c r="H356" s="100" t="s">
        <v>701</v>
      </c>
      <c r="I356" s="100" t="s">
        <v>702</v>
      </c>
      <c r="J356" s="100"/>
      <c r="K356" s="100" t="s">
        <v>17</v>
      </c>
      <c r="L356" s="100" t="s">
        <v>17</v>
      </c>
      <c r="M356" s="100" t="s">
        <v>17</v>
      </c>
      <c r="N356" s="100" t="s">
        <v>17</v>
      </c>
      <c r="O356" s="100" t="s">
        <v>305</v>
      </c>
      <c r="P356" s="100" t="s">
        <v>305</v>
      </c>
      <c r="Q356" s="100" t="s">
        <v>17</v>
      </c>
      <c r="R356" s="100" t="s">
        <v>17</v>
      </c>
      <c r="S356" s="100" t="s">
        <v>17</v>
      </c>
      <c r="T356" s="100" t="s">
        <v>17</v>
      </c>
      <c r="U356" s="100"/>
      <c r="V356" s="100" t="s">
        <v>17</v>
      </c>
      <c r="W356" s="100" t="s">
        <v>305</v>
      </c>
      <c r="X356" s="100" t="s">
        <v>17</v>
      </c>
      <c r="Y356" s="100" t="s">
        <v>960</v>
      </c>
      <c r="Z356" s="100" t="s">
        <v>961</v>
      </c>
      <c r="AA356" s="100" t="s">
        <v>962</v>
      </c>
    </row>
    <row r="357" spans="1:27" s="102" customFormat="1" ht="114.75" x14ac:dyDescent="0.2">
      <c r="A357" s="100" t="s">
        <v>867</v>
      </c>
      <c r="B357" s="100" t="s">
        <v>90</v>
      </c>
      <c r="C357" s="89" t="str">
        <f t="shared" si="6"/>
        <v>A.09.2.3 357</v>
      </c>
      <c r="D357" s="101" t="s">
        <v>608</v>
      </c>
      <c r="E357" s="100" t="s">
        <v>0</v>
      </c>
      <c r="F357" s="83" t="s">
        <v>1523</v>
      </c>
      <c r="G357" s="83" t="s">
        <v>1524</v>
      </c>
      <c r="H357" s="100" t="s">
        <v>703</v>
      </c>
      <c r="I357" s="100" t="s">
        <v>339</v>
      </c>
      <c r="J357" s="100"/>
      <c r="K357" s="100" t="s">
        <v>17</v>
      </c>
      <c r="L357" s="100" t="s">
        <v>17</v>
      </c>
      <c r="M357" s="100" t="s">
        <v>17</v>
      </c>
      <c r="N357" s="100" t="s">
        <v>17</v>
      </c>
      <c r="O357" s="100" t="s">
        <v>305</v>
      </c>
      <c r="P357" s="100" t="s">
        <v>305</v>
      </c>
      <c r="Q357" s="100" t="s">
        <v>17</v>
      </c>
      <c r="R357" s="100" t="s">
        <v>17</v>
      </c>
      <c r="S357" s="100" t="s">
        <v>17</v>
      </c>
      <c r="T357" s="100" t="s">
        <v>17</v>
      </c>
      <c r="U357" s="100"/>
      <c r="V357" s="100" t="s">
        <v>17</v>
      </c>
      <c r="W357" s="100" t="s">
        <v>305</v>
      </c>
      <c r="X357" s="100" t="s">
        <v>17</v>
      </c>
      <c r="Y357" s="100" t="s">
        <v>963</v>
      </c>
      <c r="Z357" s="100" t="s">
        <v>964</v>
      </c>
      <c r="AA357" s="100" t="s">
        <v>965</v>
      </c>
    </row>
    <row r="358" spans="1:27" s="102" customFormat="1" ht="51" x14ac:dyDescent="0.2">
      <c r="A358" s="100" t="s">
        <v>867</v>
      </c>
      <c r="B358" s="100" t="s">
        <v>94</v>
      </c>
      <c r="C358" s="89" t="str">
        <f t="shared" si="6"/>
        <v>A.09.2.4 358</v>
      </c>
      <c r="D358" s="101" t="s">
        <v>612</v>
      </c>
      <c r="E358" s="100" t="s">
        <v>330</v>
      </c>
      <c r="F358" s="100" t="s">
        <v>1471</v>
      </c>
      <c r="G358" s="100" t="s">
        <v>393</v>
      </c>
      <c r="H358" s="100"/>
      <c r="I358" s="100"/>
      <c r="J358" s="100"/>
      <c r="K358" s="100" t="s">
        <v>17</v>
      </c>
      <c r="L358" s="100" t="s">
        <v>17</v>
      </c>
      <c r="M358" s="100" t="s">
        <v>17</v>
      </c>
      <c r="N358" s="100" t="s">
        <v>17</v>
      </c>
      <c r="O358" s="100" t="s">
        <v>305</v>
      </c>
      <c r="P358" s="100" t="s">
        <v>305</v>
      </c>
      <c r="Q358" s="100" t="s">
        <v>17</v>
      </c>
      <c r="R358" s="100"/>
      <c r="S358" s="100" t="s">
        <v>305</v>
      </c>
      <c r="T358" s="100" t="s">
        <v>17</v>
      </c>
      <c r="U358" s="100" t="s">
        <v>17</v>
      </c>
      <c r="V358" s="100" t="s">
        <v>17</v>
      </c>
      <c r="W358" s="100" t="s">
        <v>17</v>
      </c>
      <c r="X358" s="100"/>
      <c r="Y358" s="100" t="s">
        <v>966</v>
      </c>
      <c r="Z358" s="100" t="s">
        <v>967</v>
      </c>
      <c r="AA358" s="100" t="s">
        <v>968</v>
      </c>
    </row>
    <row r="359" spans="1:27" s="102" customFormat="1" ht="229.5" x14ac:dyDescent="0.2">
      <c r="A359" s="100" t="s">
        <v>867</v>
      </c>
      <c r="B359" s="100" t="s">
        <v>94</v>
      </c>
      <c r="C359" s="89" t="str">
        <f t="shared" si="6"/>
        <v>A.09.2.4 359</v>
      </c>
      <c r="D359" s="101" t="s">
        <v>601</v>
      </c>
      <c r="E359" s="100" t="s">
        <v>0</v>
      </c>
      <c r="F359" s="83" t="s">
        <v>1525</v>
      </c>
      <c r="G359" s="83" t="s">
        <v>1526</v>
      </c>
      <c r="H359" s="100" t="s">
        <v>704</v>
      </c>
      <c r="I359" s="100" t="s">
        <v>705</v>
      </c>
      <c r="J359" s="100"/>
      <c r="K359" s="100" t="s">
        <v>17</v>
      </c>
      <c r="L359" s="100" t="s">
        <v>17</v>
      </c>
      <c r="M359" s="100" t="s">
        <v>17</v>
      </c>
      <c r="N359" s="100" t="s">
        <v>17</v>
      </c>
      <c r="O359" s="100" t="s">
        <v>305</v>
      </c>
      <c r="P359" s="100" t="s">
        <v>305</v>
      </c>
      <c r="Q359" s="100" t="s">
        <v>17</v>
      </c>
      <c r="R359" s="100"/>
      <c r="S359" s="100" t="s">
        <v>305</v>
      </c>
      <c r="T359" s="100" t="s">
        <v>17</v>
      </c>
      <c r="U359" s="100" t="s">
        <v>17</v>
      </c>
      <c r="V359" s="100" t="s">
        <v>17</v>
      </c>
      <c r="W359" s="100" t="s">
        <v>17</v>
      </c>
      <c r="X359" s="100"/>
      <c r="Y359" s="100" t="s">
        <v>969</v>
      </c>
      <c r="Z359" s="100" t="s">
        <v>970</v>
      </c>
      <c r="AA359" s="100" t="s">
        <v>971</v>
      </c>
    </row>
    <row r="360" spans="1:27" s="102" customFormat="1" ht="165.75" x14ac:dyDescent="0.2">
      <c r="A360" s="100" t="s">
        <v>867</v>
      </c>
      <c r="B360" s="100" t="s">
        <v>94</v>
      </c>
      <c r="C360" s="89" t="str">
        <f t="shared" si="6"/>
        <v>A.09.2.4 360</v>
      </c>
      <c r="D360" s="101" t="s">
        <v>602</v>
      </c>
      <c r="E360" s="100" t="s">
        <v>0</v>
      </c>
      <c r="F360" s="83" t="s">
        <v>1527</v>
      </c>
      <c r="G360" s="83" t="s">
        <v>1528</v>
      </c>
      <c r="H360" s="100" t="s">
        <v>706</v>
      </c>
      <c r="I360" s="100" t="s">
        <v>707</v>
      </c>
      <c r="J360" s="100"/>
      <c r="K360" s="100" t="s">
        <v>17</v>
      </c>
      <c r="L360" s="100" t="s">
        <v>17</v>
      </c>
      <c r="M360" s="100" t="s">
        <v>17</v>
      </c>
      <c r="N360" s="100" t="s">
        <v>17</v>
      </c>
      <c r="O360" s="100" t="s">
        <v>305</v>
      </c>
      <c r="P360" s="100" t="s">
        <v>305</v>
      </c>
      <c r="Q360" s="100" t="s">
        <v>17</v>
      </c>
      <c r="R360" s="100"/>
      <c r="S360" s="100" t="s">
        <v>305</v>
      </c>
      <c r="T360" s="100" t="s">
        <v>17</v>
      </c>
      <c r="U360" s="100" t="s">
        <v>17</v>
      </c>
      <c r="V360" s="100" t="s">
        <v>17</v>
      </c>
      <c r="W360" s="100" t="s">
        <v>17</v>
      </c>
      <c r="X360" s="100"/>
      <c r="Y360" s="100" t="s">
        <v>972</v>
      </c>
      <c r="Z360" s="100" t="s">
        <v>973</v>
      </c>
      <c r="AA360" s="100" t="s">
        <v>974</v>
      </c>
    </row>
    <row r="361" spans="1:27" s="102" customFormat="1" ht="191.25" x14ac:dyDescent="0.2">
      <c r="A361" s="100" t="s">
        <v>867</v>
      </c>
      <c r="B361" s="100" t="s">
        <v>94</v>
      </c>
      <c r="C361" s="89" t="str">
        <f t="shared" si="6"/>
        <v>A.09.2.4 361</v>
      </c>
      <c r="D361" s="101" t="s">
        <v>603</v>
      </c>
      <c r="E361" s="100" t="s">
        <v>0</v>
      </c>
      <c r="F361" s="112" t="s">
        <v>1737</v>
      </c>
      <c r="G361" s="112" t="s">
        <v>1738</v>
      </c>
      <c r="H361" s="100" t="s">
        <v>708</v>
      </c>
      <c r="I361" s="100" t="s">
        <v>709</v>
      </c>
      <c r="J361" s="100"/>
      <c r="K361" s="100" t="s">
        <v>17</v>
      </c>
      <c r="L361" s="100" t="s">
        <v>17</v>
      </c>
      <c r="M361" s="100" t="s">
        <v>17</v>
      </c>
      <c r="N361" s="100" t="s">
        <v>17</v>
      </c>
      <c r="O361" s="100" t="s">
        <v>305</v>
      </c>
      <c r="P361" s="100" t="s">
        <v>305</v>
      </c>
      <c r="Q361" s="100" t="s">
        <v>17</v>
      </c>
      <c r="R361" s="100"/>
      <c r="S361" s="100" t="s">
        <v>305</v>
      </c>
      <c r="T361" s="100" t="s">
        <v>17</v>
      </c>
      <c r="U361" s="100" t="s">
        <v>17</v>
      </c>
      <c r="V361" s="100" t="s">
        <v>17</v>
      </c>
      <c r="W361" s="100" t="s">
        <v>17</v>
      </c>
      <c r="X361" s="100"/>
      <c r="Y361" s="100" t="s">
        <v>975</v>
      </c>
      <c r="Z361" s="100" t="s">
        <v>976</v>
      </c>
      <c r="AA361" s="100" t="s">
        <v>977</v>
      </c>
    </row>
    <row r="362" spans="1:27" s="102" customFormat="1" ht="51" x14ac:dyDescent="0.2">
      <c r="A362" s="100" t="s">
        <v>867</v>
      </c>
      <c r="B362" s="100" t="s">
        <v>94</v>
      </c>
      <c r="C362" s="89" t="str">
        <f t="shared" si="6"/>
        <v>A.09.2.4 362</v>
      </c>
      <c r="D362" s="101" t="s">
        <v>612</v>
      </c>
      <c r="E362" s="100" t="s">
        <v>330</v>
      </c>
      <c r="F362" s="100" t="s">
        <v>1472</v>
      </c>
      <c r="G362" s="100" t="s">
        <v>979</v>
      </c>
      <c r="H362" s="100"/>
      <c r="I362" s="100"/>
      <c r="J362" s="100"/>
      <c r="K362" s="100" t="s">
        <v>17</v>
      </c>
      <c r="L362" s="100" t="s">
        <v>17</v>
      </c>
      <c r="M362" s="100" t="s">
        <v>17</v>
      </c>
      <c r="N362" s="100" t="s">
        <v>17</v>
      </c>
      <c r="O362" s="100" t="s">
        <v>305</v>
      </c>
      <c r="P362" s="100" t="s">
        <v>305</v>
      </c>
      <c r="Q362" s="100"/>
      <c r="R362" s="100"/>
      <c r="S362" s="100" t="s">
        <v>17</v>
      </c>
      <c r="T362" s="100"/>
      <c r="U362" s="100"/>
      <c r="V362" s="100" t="s">
        <v>17</v>
      </c>
      <c r="W362" s="100" t="s">
        <v>305</v>
      </c>
      <c r="X362" s="100" t="s">
        <v>17</v>
      </c>
      <c r="Y362" s="100" t="s">
        <v>980</v>
      </c>
      <c r="Z362" s="100" t="s">
        <v>981</v>
      </c>
      <c r="AA362" s="100" t="s">
        <v>982</v>
      </c>
    </row>
    <row r="363" spans="1:27" s="102" customFormat="1" ht="280.5" x14ac:dyDescent="0.2">
      <c r="A363" s="100" t="s">
        <v>867</v>
      </c>
      <c r="B363" s="100" t="s">
        <v>94</v>
      </c>
      <c r="C363" s="89" t="str">
        <f t="shared" si="6"/>
        <v>A.09.2.4 363</v>
      </c>
      <c r="D363" s="101" t="s">
        <v>601</v>
      </c>
      <c r="E363" s="100" t="s">
        <v>0</v>
      </c>
      <c r="F363" s="83" t="s">
        <v>1529</v>
      </c>
      <c r="G363" s="83" t="s">
        <v>1530</v>
      </c>
      <c r="H363" s="100" t="s">
        <v>978</v>
      </c>
      <c r="I363" s="100" t="s">
        <v>979</v>
      </c>
      <c r="J363" s="100"/>
      <c r="K363" s="100" t="s">
        <v>17</v>
      </c>
      <c r="L363" s="100" t="s">
        <v>17</v>
      </c>
      <c r="M363" s="100" t="s">
        <v>17</v>
      </c>
      <c r="N363" s="100" t="s">
        <v>17</v>
      </c>
      <c r="O363" s="100" t="s">
        <v>305</v>
      </c>
      <c r="P363" s="100" t="s">
        <v>305</v>
      </c>
      <c r="Q363" s="100"/>
      <c r="R363" s="100"/>
      <c r="S363" s="100" t="s">
        <v>17</v>
      </c>
      <c r="T363" s="100"/>
      <c r="U363" s="100"/>
      <c r="V363" s="100" t="s">
        <v>17</v>
      </c>
      <c r="W363" s="100" t="s">
        <v>305</v>
      </c>
      <c r="X363" s="100" t="s">
        <v>17</v>
      </c>
      <c r="Y363" s="100" t="s">
        <v>983</v>
      </c>
      <c r="Z363" s="100" t="s">
        <v>981</v>
      </c>
      <c r="AA363" s="100" t="s">
        <v>984</v>
      </c>
    </row>
    <row r="364" spans="1:27" s="102" customFormat="1" ht="63.75" x14ac:dyDescent="0.2">
      <c r="A364" s="100" t="s">
        <v>867</v>
      </c>
      <c r="B364" s="100" t="s">
        <v>103</v>
      </c>
      <c r="C364" s="89" t="str">
        <f t="shared" si="6"/>
        <v>A.09.3.1 364</v>
      </c>
      <c r="D364" s="101" t="s">
        <v>612</v>
      </c>
      <c r="E364" s="100" t="s">
        <v>330</v>
      </c>
      <c r="F364" s="100" t="s">
        <v>669</v>
      </c>
      <c r="G364" s="100" t="s">
        <v>1473</v>
      </c>
      <c r="H364" s="100"/>
      <c r="I364" s="100"/>
      <c r="J364" s="100"/>
      <c r="K364" s="100" t="s">
        <v>17</v>
      </c>
      <c r="L364" s="100" t="s">
        <v>17</v>
      </c>
      <c r="M364" s="100" t="s">
        <v>17</v>
      </c>
      <c r="N364" s="100" t="s">
        <v>17</v>
      </c>
      <c r="O364" s="100" t="s">
        <v>305</v>
      </c>
      <c r="P364" s="100" t="s">
        <v>305</v>
      </c>
      <c r="Q364" s="100" t="s">
        <v>17</v>
      </c>
      <c r="R364" s="100" t="s">
        <v>17</v>
      </c>
      <c r="S364" s="100" t="s">
        <v>17</v>
      </c>
      <c r="T364" s="100" t="s">
        <v>17</v>
      </c>
      <c r="U364" s="100"/>
      <c r="V364" s="100" t="s">
        <v>17</v>
      </c>
      <c r="W364" s="100" t="s">
        <v>305</v>
      </c>
      <c r="X364" s="100" t="s">
        <v>17</v>
      </c>
      <c r="Y364" s="100" t="s">
        <v>985</v>
      </c>
      <c r="Z364" s="100" t="s">
        <v>986</v>
      </c>
      <c r="AA364" s="100" t="s">
        <v>987</v>
      </c>
    </row>
    <row r="365" spans="1:27" s="102" customFormat="1" ht="127.5" x14ac:dyDescent="0.2">
      <c r="A365" s="100" t="s">
        <v>867</v>
      </c>
      <c r="B365" s="100" t="s">
        <v>103</v>
      </c>
      <c r="C365" s="89" t="str">
        <f t="shared" si="6"/>
        <v>A.09.3.1 365</v>
      </c>
      <c r="D365" s="101" t="s">
        <v>601</v>
      </c>
      <c r="E365" s="100" t="s">
        <v>0</v>
      </c>
      <c r="F365" s="83" t="s">
        <v>1531</v>
      </c>
      <c r="G365" s="83" t="s">
        <v>1532</v>
      </c>
      <c r="H365" s="100" t="s">
        <v>710</v>
      </c>
      <c r="I365" s="100" t="s">
        <v>340</v>
      </c>
      <c r="J365" s="100"/>
      <c r="K365" s="100" t="s">
        <v>17</v>
      </c>
      <c r="L365" s="100" t="s">
        <v>17</v>
      </c>
      <c r="M365" s="100" t="s">
        <v>17</v>
      </c>
      <c r="N365" s="100" t="s">
        <v>17</v>
      </c>
      <c r="O365" s="100" t="s">
        <v>305</v>
      </c>
      <c r="P365" s="100" t="s">
        <v>305</v>
      </c>
      <c r="Q365" s="100" t="s">
        <v>17</v>
      </c>
      <c r="R365" s="100" t="s">
        <v>17</v>
      </c>
      <c r="S365" s="100" t="s">
        <v>17</v>
      </c>
      <c r="T365" s="100" t="s">
        <v>17</v>
      </c>
      <c r="U365" s="100"/>
      <c r="V365" s="100" t="s">
        <v>17</v>
      </c>
      <c r="W365" s="100" t="s">
        <v>17</v>
      </c>
      <c r="X365" s="100" t="s">
        <v>17</v>
      </c>
      <c r="Y365" s="100" t="s">
        <v>988</v>
      </c>
      <c r="Z365" s="100" t="s">
        <v>989</v>
      </c>
      <c r="AA365" s="100" t="s">
        <v>990</v>
      </c>
    </row>
    <row r="366" spans="1:27" s="102" customFormat="1" ht="114.75" x14ac:dyDescent="0.2">
      <c r="A366" s="100" t="s">
        <v>867</v>
      </c>
      <c r="B366" s="100" t="s">
        <v>103</v>
      </c>
      <c r="C366" s="89" t="str">
        <f t="shared" si="6"/>
        <v>A.09.3.1 366</v>
      </c>
      <c r="D366" s="101" t="s">
        <v>602</v>
      </c>
      <c r="E366" s="100" t="s">
        <v>0</v>
      </c>
      <c r="F366" s="83" t="s">
        <v>1533</v>
      </c>
      <c r="G366" s="83" t="s">
        <v>1534</v>
      </c>
      <c r="H366" s="100" t="s">
        <v>991</v>
      </c>
      <c r="I366" s="100" t="s">
        <v>711</v>
      </c>
      <c r="J366" s="100"/>
      <c r="K366" s="100" t="s">
        <v>17</v>
      </c>
      <c r="L366" s="100" t="s">
        <v>17</v>
      </c>
      <c r="M366" s="100" t="s">
        <v>17</v>
      </c>
      <c r="N366" s="100" t="s">
        <v>17</v>
      </c>
      <c r="O366" s="100" t="s">
        <v>305</v>
      </c>
      <c r="P366" s="100" t="s">
        <v>305</v>
      </c>
      <c r="Q366" s="100" t="s">
        <v>17</v>
      </c>
      <c r="R366" s="100" t="s">
        <v>17</v>
      </c>
      <c r="S366" s="100" t="s">
        <v>17</v>
      </c>
      <c r="T366" s="100" t="s">
        <v>17</v>
      </c>
      <c r="U366" s="100"/>
      <c r="V366" s="100" t="s">
        <v>17</v>
      </c>
      <c r="W366" s="100" t="s">
        <v>305</v>
      </c>
      <c r="X366" s="100" t="s">
        <v>17</v>
      </c>
      <c r="Y366" s="100" t="s">
        <v>992</v>
      </c>
      <c r="Z366" s="100" t="s">
        <v>993</v>
      </c>
      <c r="AA366" s="100" t="s">
        <v>994</v>
      </c>
    </row>
    <row r="367" spans="1:27" s="102" customFormat="1" ht="140.25" x14ac:dyDescent="0.2">
      <c r="A367" s="100" t="s">
        <v>867</v>
      </c>
      <c r="B367" s="100" t="s">
        <v>103</v>
      </c>
      <c r="C367" s="89" t="str">
        <f t="shared" si="6"/>
        <v>A.09.3.1 367</v>
      </c>
      <c r="D367" s="101" t="s">
        <v>603</v>
      </c>
      <c r="E367" s="100" t="s">
        <v>0</v>
      </c>
      <c r="F367" s="83" t="s">
        <v>1535</v>
      </c>
      <c r="G367" s="83" t="s">
        <v>1536</v>
      </c>
      <c r="H367" s="100" t="s">
        <v>712</v>
      </c>
      <c r="I367" s="100" t="s">
        <v>713</v>
      </c>
      <c r="J367" s="100"/>
      <c r="K367" s="100" t="s">
        <v>17</v>
      </c>
      <c r="L367" s="100" t="s">
        <v>17</v>
      </c>
      <c r="M367" s="100" t="s">
        <v>17</v>
      </c>
      <c r="N367" s="100" t="s">
        <v>17</v>
      </c>
      <c r="O367" s="100" t="s">
        <v>305</v>
      </c>
      <c r="P367" s="100" t="s">
        <v>305</v>
      </c>
      <c r="Q367" s="100" t="s">
        <v>17</v>
      </c>
      <c r="R367" s="100" t="s">
        <v>17</v>
      </c>
      <c r="S367" s="100" t="s">
        <v>17</v>
      </c>
      <c r="T367" s="100" t="s">
        <v>17</v>
      </c>
      <c r="U367" s="100"/>
      <c r="V367" s="100" t="s">
        <v>17</v>
      </c>
      <c r="W367" s="100" t="s">
        <v>17</v>
      </c>
      <c r="X367" s="100" t="s">
        <v>17</v>
      </c>
      <c r="Y367" s="100" t="s">
        <v>995</v>
      </c>
      <c r="Z367" s="100" t="s">
        <v>996</v>
      </c>
      <c r="AA367" s="100" t="s">
        <v>997</v>
      </c>
    </row>
    <row r="368" spans="1:27" s="102" customFormat="1" ht="229.5" x14ac:dyDescent="0.2">
      <c r="A368" s="100" t="s">
        <v>867</v>
      </c>
      <c r="B368" s="100" t="s">
        <v>103</v>
      </c>
      <c r="C368" s="89" t="str">
        <f t="shared" si="6"/>
        <v>A.09.3.1 368</v>
      </c>
      <c r="D368" s="101" t="s">
        <v>604</v>
      </c>
      <c r="E368" s="100" t="s">
        <v>0</v>
      </c>
      <c r="F368" s="83" t="s">
        <v>1537</v>
      </c>
      <c r="G368" s="83" t="s">
        <v>1538</v>
      </c>
      <c r="H368" s="100" t="s">
        <v>714</v>
      </c>
      <c r="I368" s="100" t="s">
        <v>341</v>
      </c>
      <c r="J368" s="100"/>
      <c r="K368" s="100" t="s">
        <v>17</v>
      </c>
      <c r="L368" s="100" t="s">
        <v>17</v>
      </c>
      <c r="M368" s="100" t="s">
        <v>17</v>
      </c>
      <c r="N368" s="100" t="s">
        <v>17</v>
      </c>
      <c r="O368" s="100" t="s">
        <v>305</v>
      </c>
      <c r="P368" s="100" t="s">
        <v>305</v>
      </c>
      <c r="Q368" s="100" t="s">
        <v>17</v>
      </c>
      <c r="R368" s="100" t="s">
        <v>17</v>
      </c>
      <c r="S368" s="100" t="s">
        <v>17</v>
      </c>
      <c r="T368" s="100" t="s">
        <v>17</v>
      </c>
      <c r="U368" s="100"/>
      <c r="V368" s="100" t="s">
        <v>17</v>
      </c>
      <c r="W368" s="100" t="s">
        <v>17</v>
      </c>
      <c r="X368" s="100" t="s">
        <v>17</v>
      </c>
      <c r="Y368" s="100" t="s">
        <v>998</v>
      </c>
      <c r="Z368" s="100" t="s">
        <v>999</v>
      </c>
      <c r="AA368" s="100" t="s">
        <v>1000</v>
      </c>
    </row>
    <row r="369" spans="1:27" s="102" customFormat="1" ht="127.5" x14ac:dyDescent="0.2">
      <c r="A369" s="100" t="s">
        <v>867</v>
      </c>
      <c r="B369" s="100" t="s">
        <v>103</v>
      </c>
      <c r="C369" s="89" t="str">
        <f t="shared" si="6"/>
        <v>A.09.3.1 369</v>
      </c>
      <c r="D369" s="101" t="s">
        <v>606</v>
      </c>
      <c r="E369" s="100" t="s">
        <v>0</v>
      </c>
      <c r="F369" s="83" t="s">
        <v>1539</v>
      </c>
      <c r="G369" s="83" t="s">
        <v>1540</v>
      </c>
      <c r="H369" s="100" t="s">
        <v>715</v>
      </c>
      <c r="I369" s="100" t="s">
        <v>716</v>
      </c>
      <c r="J369" s="100"/>
      <c r="K369" s="100" t="s">
        <v>17</v>
      </c>
      <c r="L369" s="100" t="s">
        <v>17</v>
      </c>
      <c r="M369" s="100" t="s">
        <v>17</v>
      </c>
      <c r="N369" s="100" t="s">
        <v>17</v>
      </c>
      <c r="O369" s="100" t="s">
        <v>305</v>
      </c>
      <c r="P369" s="100" t="s">
        <v>305</v>
      </c>
      <c r="Q369" s="100" t="s">
        <v>17</v>
      </c>
      <c r="R369" s="100" t="s">
        <v>17</v>
      </c>
      <c r="S369" s="100" t="s">
        <v>17</v>
      </c>
      <c r="T369" s="100" t="s">
        <v>17</v>
      </c>
      <c r="U369" s="100"/>
      <c r="V369" s="100" t="s">
        <v>17</v>
      </c>
      <c r="W369" s="100" t="s">
        <v>17</v>
      </c>
      <c r="X369" s="100" t="s">
        <v>17</v>
      </c>
      <c r="Y369" s="100" t="s">
        <v>1001</v>
      </c>
      <c r="Z369" s="100" t="s">
        <v>1002</v>
      </c>
      <c r="AA369" s="100" t="s">
        <v>1003</v>
      </c>
    </row>
    <row r="370" spans="1:27" s="102" customFormat="1" ht="63.75" x14ac:dyDescent="0.2">
      <c r="A370" s="100" t="s">
        <v>867</v>
      </c>
      <c r="B370" s="100" t="s">
        <v>103</v>
      </c>
      <c r="C370" s="89" t="str">
        <f t="shared" si="6"/>
        <v>A.09.3.1 370</v>
      </c>
      <c r="D370" s="101" t="s">
        <v>608</v>
      </c>
      <c r="E370" s="100" t="s">
        <v>0</v>
      </c>
      <c r="F370" s="83" t="s">
        <v>1541</v>
      </c>
      <c r="G370" s="83" t="s">
        <v>1542</v>
      </c>
      <c r="H370" s="100" t="s">
        <v>717</v>
      </c>
      <c r="I370" s="100" t="s">
        <v>718</v>
      </c>
      <c r="J370" s="100"/>
      <c r="K370" s="100" t="s">
        <v>17</v>
      </c>
      <c r="L370" s="100" t="s">
        <v>17</v>
      </c>
      <c r="M370" s="100" t="s">
        <v>17</v>
      </c>
      <c r="N370" s="100" t="s">
        <v>17</v>
      </c>
      <c r="O370" s="100" t="s">
        <v>305</v>
      </c>
      <c r="P370" s="100" t="s">
        <v>305</v>
      </c>
      <c r="Q370" s="100" t="s">
        <v>17</v>
      </c>
      <c r="R370" s="100" t="s">
        <v>17</v>
      </c>
      <c r="S370" s="100" t="s">
        <v>17</v>
      </c>
      <c r="T370" s="100" t="s">
        <v>17</v>
      </c>
      <c r="U370" s="100"/>
      <c r="V370" s="100" t="s">
        <v>17</v>
      </c>
      <c r="W370" s="100" t="s">
        <v>17</v>
      </c>
      <c r="X370" s="100" t="s">
        <v>17</v>
      </c>
      <c r="Y370" s="100" t="s">
        <v>1004</v>
      </c>
      <c r="Z370" s="100" t="s">
        <v>1005</v>
      </c>
      <c r="AA370" s="100" t="s">
        <v>1006</v>
      </c>
    </row>
    <row r="371" spans="1:27" s="102" customFormat="1" ht="140.25" x14ac:dyDescent="0.2">
      <c r="A371" s="100" t="s">
        <v>867</v>
      </c>
      <c r="B371" s="100" t="s">
        <v>103</v>
      </c>
      <c r="C371" s="89" t="str">
        <f t="shared" si="6"/>
        <v>A.09.3.1 371</v>
      </c>
      <c r="D371" s="101" t="s">
        <v>609</v>
      </c>
      <c r="E371" s="100" t="s">
        <v>0</v>
      </c>
      <c r="F371" s="83" t="s">
        <v>1543</v>
      </c>
      <c r="G371" s="83" t="s">
        <v>1544</v>
      </c>
      <c r="H371" s="100" t="s">
        <v>719</v>
      </c>
      <c r="I371" s="100" t="s">
        <v>342</v>
      </c>
      <c r="J371" s="100"/>
      <c r="K371" s="100" t="s">
        <v>17</v>
      </c>
      <c r="L371" s="100" t="s">
        <v>17</v>
      </c>
      <c r="M371" s="100" t="s">
        <v>17</v>
      </c>
      <c r="N371" s="100" t="s">
        <v>17</v>
      </c>
      <c r="O371" s="100" t="s">
        <v>305</v>
      </c>
      <c r="P371" s="100" t="s">
        <v>305</v>
      </c>
      <c r="Q371" s="100" t="s">
        <v>17</v>
      </c>
      <c r="R371" s="100" t="s">
        <v>17</v>
      </c>
      <c r="S371" s="100" t="s">
        <v>17</v>
      </c>
      <c r="T371" s="100" t="s">
        <v>17</v>
      </c>
      <c r="U371" s="100"/>
      <c r="V371" s="100" t="s">
        <v>17</v>
      </c>
      <c r="W371" s="100" t="s">
        <v>305</v>
      </c>
      <c r="X371" s="100" t="s">
        <v>17</v>
      </c>
      <c r="Y371" s="100" t="s">
        <v>1007</v>
      </c>
      <c r="Z371" s="100" t="s">
        <v>1008</v>
      </c>
      <c r="AA371" s="100" t="s">
        <v>1009</v>
      </c>
    </row>
    <row r="372" spans="1:27" s="102" customFormat="1" ht="153" x14ac:dyDescent="0.2">
      <c r="A372" s="100" t="s">
        <v>867</v>
      </c>
      <c r="B372" s="100" t="s">
        <v>103</v>
      </c>
      <c r="C372" s="89" t="str">
        <f t="shared" si="6"/>
        <v>A.09.3.1 372</v>
      </c>
      <c r="D372" s="101" t="s">
        <v>610</v>
      </c>
      <c r="E372" s="100" t="s">
        <v>0</v>
      </c>
      <c r="F372" s="83" t="s">
        <v>1545</v>
      </c>
      <c r="G372" s="83" t="s">
        <v>1546</v>
      </c>
      <c r="H372" s="100" t="s">
        <v>1010</v>
      </c>
      <c r="I372" s="100" t="s">
        <v>1011</v>
      </c>
      <c r="J372" s="100"/>
      <c r="K372" s="100" t="s">
        <v>17</v>
      </c>
      <c r="L372" s="100" t="s">
        <v>17</v>
      </c>
      <c r="M372" s="100" t="s">
        <v>17</v>
      </c>
      <c r="N372" s="100" t="s">
        <v>17</v>
      </c>
      <c r="O372" s="100" t="s">
        <v>305</v>
      </c>
      <c r="P372" s="100" t="s">
        <v>305</v>
      </c>
      <c r="Q372" s="100" t="s">
        <v>17</v>
      </c>
      <c r="R372" s="100" t="s">
        <v>17</v>
      </c>
      <c r="S372" s="100" t="s">
        <v>17</v>
      </c>
      <c r="T372" s="100" t="s">
        <v>17</v>
      </c>
      <c r="U372" s="100"/>
      <c r="V372" s="100" t="s">
        <v>17</v>
      </c>
      <c r="W372" s="100" t="s">
        <v>305</v>
      </c>
      <c r="X372" s="100" t="s">
        <v>17</v>
      </c>
      <c r="Y372" s="100" t="s">
        <v>1012</v>
      </c>
      <c r="Z372" s="100" t="s">
        <v>1013</v>
      </c>
      <c r="AA372" s="100" t="s">
        <v>1014</v>
      </c>
    </row>
    <row r="373" spans="1:27" s="102" customFormat="1" ht="165.75" x14ac:dyDescent="0.2">
      <c r="A373" s="100" t="s">
        <v>867</v>
      </c>
      <c r="B373" s="100" t="s">
        <v>103</v>
      </c>
      <c r="C373" s="89" t="str">
        <f t="shared" si="6"/>
        <v>A.09.3.1 373</v>
      </c>
      <c r="D373" s="101" t="s">
        <v>607</v>
      </c>
      <c r="E373" s="100" t="s">
        <v>0</v>
      </c>
      <c r="F373" s="83" t="s">
        <v>1547</v>
      </c>
      <c r="G373" s="83" t="s">
        <v>1548</v>
      </c>
      <c r="H373" s="100" t="s">
        <v>1015</v>
      </c>
      <c r="I373" s="100" t="s">
        <v>1016</v>
      </c>
      <c r="J373" s="100"/>
      <c r="K373" s="100" t="s">
        <v>17</v>
      </c>
      <c r="L373" s="100" t="s">
        <v>17</v>
      </c>
      <c r="M373" s="100" t="s">
        <v>17</v>
      </c>
      <c r="N373" s="100" t="s">
        <v>17</v>
      </c>
      <c r="O373" s="100" t="s">
        <v>305</v>
      </c>
      <c r="P373" s="100" t="s">
        <v>305</v>
      </c>
      <c r="Q373" s="100"/>
      <c r="R373" s="100" t="s">
        <v>17</v>
      </c>
      <c r="S373" s="100" t="s">
        <v>17</v>
      </c>
      <c r="T373" s="100"/>
      <c r="U373" s="100"/>
      <c r="V373" s="100" t="s">
        <v>17</v>
      </c>
      <c r="W373" s="100" t="s">
        <v>305</v>
      </c>
      <c r="X373" s="100"/>
      <c r="Y373" s="100" t="s">
        <v>1017</v>
      </c>
      <c r="Z373" s="100" t="s">
        <v>1018</v>
      </c>
      <c r="AA373" s="100" t="s">
        <v>1019</v>
      </c>
    </row>
    <row r="374" spans="1:27" s="102" customFormat="1" ht="38.25" x14ac:dyDescent="0.2">
      <c r="A374" s="100" t="s">
        <v>867</v>
      </c>
      <c r="B374" s="100" t="s">
        <v>123</v>
      </c>
      <c r="C374" s="89" t="str">
        <f t="shared" si="6"/>
        <v>A.09.4.2 374</v>
      </c>
      <c r="D374" s="101" t="s">
        <v>612</v>
      </c>
      <c r="E374" s="100" t="s">
        <v>330</v>
      </c>
      <c r="F374" s="100" t="s">
        <v>1020</v>
      </c>
      <c r="G374" s="100" t="s">
        <v>1474</v>
      </c>
      <c r="H374" s="100"/>
      <c r="I374" s="100"/>
      <c r="J374" s="100"/>
      <c r="K374" s="100" t="s">
        <v>17</v>
      </c>
      <c r="L374" s="100" t="s">
        <v>17</v>
      </c>
      <c r="M374" s="100" t="s">
        <v>17</v>
      </c>
      <c r="N374" s="100" t="s">
        <v>17</v>
      </c>
      <c r="O374" s="100" t="s">
        <v>305</v>
      </c>
      <c r="P374" s="100" t="s">
        <v>305</v>
      </c>
      <c r="Q374" s="100" t="s">
        <v>17</v>
      </c>
      <c r="R374" s="100" t="s">
        <v>17</v>
      </c>
      <c r="S374" s="100" t="s">
        <v>17</v>
      </c>
      <c r="T374" s="100" t="s">
        <v>17</v>
      </c>
      <c r="U374" s="100"/>
      <c r="V374" s="100" t="s">
        <v>17</v>
      </c>
      <c r="W374" s="100" t="s">
        <v>17</v>
      </c>
      <c r="X374" s="100" t="s">
        <v>17</v>
      </c>
      <c r="Y374" s="100" t="s">
        <v>1021</v>
      </c>
      <c r="Z374" s="100" t="s">
        <v>1022</v>
      </c>
      <c r="AA374" s="100" t="s">
        <v>1023</v>
      </c>
    </row>
    <row r="375" spans="1:27" s="102" customFormat="1" ht="114.75" x14ac:dyDescent="0.2">
      <c r="A375" s="100" t="s">
        <v>867</v>
      </c>
      <c r="B375" s="100" t="s">
        <v>123</v>
      </c>
      <c r="C375" s="89" t="str">
        <f t="shared" si="6"/>
        <v>A.09.4.2 375</v>
      </c>
      <c r="D375" s="101" t="s">
        <v>601</v>
      </c>
      <c r="E375" s="100" t="s">
        <v>0</v>
      </c>
      <c r="F375" s="83" t="s">
        <v>1549</v>
      </c>
      <c r="G375" s="83" t="s">
        <v>1550</v>
      </c>
      <c r="H375" s="100" t="s">
        <v>720</v>
      </c>
      <c r="I375" s="100" t="s">
        <v>721</v>
      </c>
      <c r="J375" s="100"/>
      <c r="K375" s="100" t="s">
        <v>17</v>
      </c>
      <c r="L375" s="100" t="s">
        <v>17</v>
      </c>
      <c r="M375" s="100" t="s">
        <v>17</v>
      </c>
      <c r="N375" s="100" t="s">
        <v>17</v>
      </c>
      <c r="O375" s="100" t="s">
        <v>305</v>
      </c>
      <c r="P375" s="100" t="s">
        <v>305</v>
      </c>
      <c r="Q375" s="100" t="s">
        <v>17</v>
      </c>
      <c r="R375" s="100" t="s">
        <v>17</v>
      </c>
      <c r="S375" s="100" t="s">
        <v>17</v>
      </c>
      <c r="T375" s="100" t="s">
        <v>17</v>
      </c>
      <c r="U375" s="100"/>
      <c r="V375" s="100" t="s">
        <v>17</v>
      </c>
      <c r="W375" s="100" t="s">
        <v>17</v>
      </c>
      <c r="X375" s="100" t="s">
        <v>17</v>
      </c>
      <c r="Y375" s="100" t="s">
        <v>1024</v>
      </c>
      <c r="Z375" s="100" t="s">
        <v>1025</v>
      </c>
      <c r="AA375" s="100" t="s">
        <v>1026</v>
      </c>
    </row>
    <row r="376" spans="1:27" s="102" customFormat="1" ht="102" x14ac:dyDescent="0.2">
      <c r="A376" s="100" t="s">
        <v>867</v>
      </c>
      <c r="B376" s="100" t="s">
        <v>123</v>
      </c>
      <c r="C376" s="89" t="str">
        <f t="shared" si="6"/>
        <v>A.09.4.2 376</v>
      </c>
      <c r="D376" s="101" t="s">
        <v>602</v>
      </c>
      <c r="E376" s="100" t="s">
        <v>0</v>
      </c>
      <c r="F376" s="83" t="s">
        <v>1551</v>
      </c>
      <c r="G376" s="83" t="s">
        <v>1552</v>
      </c>
      <c r="H376" s="100" t="s">
        <v>722</v>
      </c>
      <c r="I376" s="100" t="s">
        <v>343</v>
      </c>
      <c r="J376" s="100"/>
      <c r="K376" s="100" t="s">
        <v>17</v>
      </c>
      <c r="L376" s="100" t="s">
        <v>17</v>
      </c>
      <c r="M376" s="100" t="s">
        <v>17</v>
      </c>
      <c r="N376" s="100" t="s">
        <v>17</v>
      </c>
      <c r="O376" s="100" t="s">
        <v>305</v>
      </c>
      <c r="P376" s="100" t="s">
        <v>305</v>
      </c>
      <c r="Q376" s="100" t="s">
        <v>17</v>
      </c>
      <c r="R376" s="100" t="s">
        <v>17</v>
      </c>
      <c r="S376" s="100" t="s">
        <v>17</v>
      </c>
      <c r="T376" s="100" t="s">
        <v>17</v>
      </c>
      <c r="U376" s="100"/>
      <c r="V376" s="100" t="s">
        <v>17</v>
      </c>
      <c r="W376" s="100" t="s">
        <v>17</v>
      </c>
      <c r="X376" s="100" t="s">
        <v>17</v>
      </c>
      <c r="Y376" s="100" t="s">
        <v>1027</v>
      </c>
      <c r="Z376" s="100" t="s">
        <v>1028</v>
      </c>
      <c r="AA376" s="100" t="s">
        <v>1029</v>
      </c>
    </row>
    <row r="377" spans="1:27" s="102" customFormat="1" ht="204" x14ac:dyDescent="0.2">
      <c r="A377" s="100" t="s">
        <v>867</v>
      </c>
      <c r="B377" s="100" t="s">
        <v>123</v>
      </c>
      <c r="C377" s="89" t="str">
        <f t="shared" si="6"/>
        <v>A.09.4.2 377</v>
      </c>
      <c r="D377" s="101" t="s">
        <v>603</v>
      </c>
      <c r="E377" s="100" t="s">
        <v>0</v>
      </c>
      <c r="F377" s="83" t="s">
        <v>1553</v>
      </c>
      <c r="G377" s="83" t="s">
        <v>1554</v>
      </c>
      <c r="H377" s="100" t="s">
        <v>723</v>
      </c>
      <c r="I377" s="100" t="s">
        <v>344</v>
      </c>
      <c r="J377" s="100"/>
      <c r="K377" s="100" t="s">
        <v>17</v>
      </c>
      <c r="L377" s="100" t="s">
        <v>17</v>
      </c>
      <c r="M377" s="100" t="s">
        <v>17</v>
      </c>
      <c r="N377" s="100" t="s">
        <v>17</v>
      </c>
      <c r="O377" s="100" t="s">
        <v>305</v>
      </c>
      <c r="P377" s="100" t="s">
        <v>305</v>
      </c>
      <c r="Q377" s="100" t="s">
        <v>17</v>
      </c>
      <c r="R377" s="100" t="s">
        <v>17</v>
      </c>
      <c r="S377" s="100" t="s">
        <v>17</v>
      </c>
      <c r="T377" s="100" t="s">
        <v>17</v>
      </c>
      <c r="U377" s="100"/>
      <c r="V377" s="100" t="s">
        <v>17</v>
      </c>
      <c r="W377" s="100" t="s">
        <v>17</v>
      </c>
      <c r="X377" s="100" t="s">
        <v>17</v>
      </c>
      <c r="Y377" s="100" t="s">
        <v>1030</v>
      </c>
      <c r="Z377" s="100" t="s">
        <v>1031</v>
      </c>
      <c r="AA377" s="100" t="s">
        <v>1032</v>
      </c>
    </row>
    <row r="378" spans="1:27" s="102" customFormat="1" ht="191.25" x14ac:dyDescent="0.2">
      <c r="A378" s="100" t="s">
        <v>867</v>
      </c>
      <c r="B378" s="100" t="s">
        <v>123</v>
      </c>
      <c r="C378" s="89" t="str">
        <f t="shared" si="6"/>
        <v>A.09.4.2 378</v>
      </c>
      <c r="D378" s="101" t="s">
        <v>604</v>
      </c>
      <c r="E378" s="100" t="s">
        <v>0</v>
      </c>
      <c r="F378" s="83" t="s">
        <v>1555</v>
      </c>
      <c r="G378" s="83" t="s">
        <v>1556</v>
      </c>
      <c r="H378" s="100" t="s">
        <v>724</v>
      </c>
      <c r="I378" s="100" t="s">
        <v>725</v>
      </c>
      <c r="J378" s="100"/>
      <c r="K378" s="100" t="s">
        <v>17</v>
      </c>
      <c r="L378" s="100" t="s">
        <v>17</v>
      </c>
      <c r="M378" s="100" t="s">
        <v>17</v>
      </c>
      <c r="N378" s="100" t="s">
        <v>17</v>
      </c>
      <c r="O378" s="100" t="s">
        <v>305</v>
      </c>
      <c r="P378" s="100" t="s">
        <v>305</v>
      </c>
      <c r="Q378" s="100" t="s">
        <v>17</v>
      </c>
      <c r="R378" s="100" t="s">
        <v>17</v>
      </c>
      <c r="S378" s="100" t="s">
        <v>17</v>
      </c>
      <c r="T378" s="100" t="s">
        <v>17</v>
      </c>
      <c r="U378" s="100"/>
      <c r="V378" s="100" t="s">
        <v>17</v>
      </c>
      <c r="W378" s="100" t="s">
        <v>17</v>
      </c>
      <c r="X378" s="100" t="s">
        <v>17</v>
      </c>
      <c r="Y378" s="100" t="s">
        <v>1033</v>
      </c>
      <c r="Z378" s="100" t="s">
        <v>1034</v>
      </c>
      <c r="AA378" s="100" t="s">
        <v>1035</v>
      </c>
    </row>
    <row r="379" spans="1:27" s="102" customFormat="1" ht="63.75" x14ac:dyDescent="0.2">
      <c r="A379" s="100" t="s">
        <v>867</v>
      </c>
      <c r="B379" s="100" t="s">
        <v>123</v>
      </c>
      <c r="C379" s="89" t="str">
        <f t="shared" si="6"/>
        <v>A.09.4.2 379</v>
      </c>
      <c r="D379" s="101" t="s">
        <v>605</v>
      </c>
      <c r="E379" s="100" t="s">
        <v>0</v>
      </c>
      <c r="F379" s="83" t="s">
        <v>1557</v>
      </c>
      <c r="G379" s="83" t="s">
        <v>1558</v>
      </c>
      <c r="H379" s="100" t="s">
        <v>726</v>
      </c>
      <c r="I379" s="100" t="s">
        <v>345</v>
      </c>
      <c r="J379" s="100"/>
      <c r="K379" s="100" t="s">
        <v>17</v>
      </c>
      <c r="L379" s="100" t="s">
        <v>17</v>
      </c>
      <c r="M379" s="100" t="s">
        <v>17</v>
      </c>
      <c r="N379" s="100" t="s">
        <v>17</v>
      </c>
      <c r="O379" s="100" t="s">
        <v>305</v>
      </c>
      <c r="P379" s="100" t="s">
        <v>305</v>
      </c>
      <c r="Q379" s="100" t="s">
        <v>17</v>
      </c>
      <c r="R379" s="100" t="s">
        <v>17</v>
      </c>
      <c r="S379" s="100" t="s">
        <v>17</v>
      </c>
      <c r="T379" s="100" t="s">
        <v>17</v>
      </c>
      <c r="U379" s="100"/>
      <c r="V379" s="100" t="s">
        <v>17</v>
      </c>
      <c r="W379" s="100" t="s">
        <v>17</v>
      </c>
      <c r="X379" s="100" t="s">
        <v>17</v>
      </c>
      <c r="Y379" s="100" t="s">
        <v>1036</v>
      </c>
      <c r="Z379" s="100" t="s">
        <v>1037</v>
      </c>
      <c r="AA379" s="100" t="s">
        <v>1038</v>
      </c>
    </row>
    <row r="380" spans="1:27" s="102" customFormat="1" ht="409.5" x14ac:dyDescent="0.2">
      <c r="A380" s="100" t="s">
        <v>867</v>
      </c>
      <c r="B380" s="100" t="s">
        <v>123</v>
      </c>
      <c r="C380" s="89" t="str">
        <f t="shared" si="6"/>
        <v>A.09.4.2 380</v>
      </c>
      <c r="D380" s="101" t="s">
        <v>606</v>
      </c>
      <c r="E380" s="100" t="s">
        <v>0</v>
      </c>
      <c r="F380" s="83" t="s">
        <v>1559</v>
      </c>
      <c r="G380" s="83" t="s">
        <v>1560</v>
      </c>
      <c r="H380" s="100" t="s">
        <v>1039</v>
      </c>
      <c r="I380" s="100" t="s">
        <v>1040</v>
      </c>
      <c r="J380" s="100"/>
      <c r="K380" s="100" t="s">
        <v>17</v>
      </c>
      <c r="L380" s="100" t="s">
        <v>17</v>
      </c>
      <c r="M380" s="100" t="s">
        <v>17</v>
      </c>
      <c r="N380" s="100" t="s">
        <v>17</v>
      </c>
      <c r="O380" s="100" t="s">
        <v>305</v>
      </c>
      <c r="P380" s="100" t="s">
        <v>305</v>
      </c>
      <c r="Q380" s="100" t="s">
        <v>17</v>
      </c>
      <c r="R380" s="100" t="s">
        <v>17</v>
      </c>
      <c r="S380" s="100" t="s">
        <v>17</v>
      </c>
      <c r="T380" s="100" t="s">
        <v>17</v>
      </c>
      <c r="U380" s="100"/>
      <c r="V380" s="100" t="s">
        <v>17</v>
      </c>
      <c r="W380" s="100" t="s">
        <v>17</v>
      </c>
      <c r="X380" s="100" t="s">
        <v>17</v>
      </c>
      <c r="Y380" s="100" t="s">
        <v>1041</v>
      </c>
      <c r="Z380" s="100" t="s">
        <v>1042</v>
      </c>
      <c r="AA380" s="100" t="s">
        <v>1043</v>
      </c>
    </row>
    <row r="381" spans="1:27" s="102" customFormat="1" ht="267.75" x14ac:dyDescent="0.2">
      <c r="A381" s="100" t="s">
        <v>867</v>
      </c>
      <c r="B381" s="100" t="s">
        <v>123</v>
      </c>
      <c r="C381" s="89" t="str">
        <f t="shared" si="6"/>
        <v>A.09.4.2 381</v>
      </c>
      <c r="D381" s="101" t="s">
        <v>608</v>
      </c>
      <c r="E381" s="100" t="s">
        <v>0</v>
      </c>
      <c r="F381" s="83" t="s">
        <v>1561</v>
      </c>
      <c r="G381" s="83" t="s">
        <v>1562</v>
      </c>
      <c r="H381" s="100" t="s">
        <v>727</v>
      </c>
      <c r="I381" s="100" t="s">
        <v>728</v>
      </c>
      <c r="J381" s="100"/>
      <c r="K381" s="100" t="s">
        <v>17</v>
      </c>
      <c r="L381" s="100" t="s">
        <v>17</v>
      </c>
      <c r="M381" s="100" t="s">
        <v>17</v>
      </c>
      <c r="N381" s="100" t="s">
        <v>17</v>
      </c>
      <c r="O381" s="100" t="s">
        <v>305</v>
      </c>
      <c r="P381" s="100" t="s">
        <v>305</v>
      </c>
      <c r="Q381" s="100" t="s">
        <v>17</v>
      </c>
      <c r="R381" s="100" t="s">
        <v>17</v>
      </c>
      <c r="S381" s="100" t="s">
        <v>17</v>
      </c>
      <c r="T381" s="100" t="s">
        <v>17</v>
      </c>
      <c r="U381" s="100"/>
      <c r="V381" s="100" t="s">
        <v>17</v>
      </c>
      <c r="W381" s="100" t="s">
        <v>17</v>
      </c>
      <c r="X381" s="100" t="s">
        <v>17</v>
      </c>
      <c r="Y381" s="100" t="s">
        <v>1044</v>
      </c>
      <c r="Z381" s="100" t="s">
        <v>1045</v>
      </c>
      <c r="AA381" s="100" t="s">
        <v>1046</v>
      </c>
    </row>
    <row r="382" spans="1:27" s="102" customFormat="1" ht="306" x14ac:dyDescent="0.2">
      <c r="A382" s="100" t="s">
        <v>867</v>
      </c>
      <c r="B382" s="100" t="s">
        <v>123</v>
      </c>
      <c r="C382" s="89" t="str">
        <f t="shared" si="6"/>
        <v>A.09.4.2 382</v>
      </c>
      <c r="D382" s="101" t="s">
        <v>609</v>
      </c>
      <c r="E382" s="100" t="s">
        <v>0</v>
      </c>
      <c r="F382" s="83" t="s">
        <v>1563</v>
      </c>
      <c r="G382" s="83" t="s">
        <v>1564</v>
      </c>
      <c r="H382" s="100" t="s">
        <v>729</v>
      </c>
      <c r="I382" s="100" t="s">
        <v>730</v>
      </c>
      <c r="J382" s="100"/>
      <c r="K382" s="100" t="s">
        <v>17</v>
      </c>
      <c r="L382" s="100" t="s">
        <v>17</v>
      </c>
      <c r="M382" s="100" t="s">
        <v>17</v>
      </c>
      <c r="N382" s="100" t="s">
        <v>17</v>
      </c>
      <c r="O382" s="100" t="s">
        <v>305</v>
      </c>
      <c r="P382" s="100" t="s">
        <v>305</v>
      </c>
      <c r="Q382" s="100" t="s">
        <v>17</v>
      </c>
      <c r="R382" s="100" t="s">
        <v>17</v>
      </c>
      <c r="S382" s="100" t="s">
        <v>17</v>
      </c>
      <c r="T382" s="100" t="s">
        <v>17</v>
      </c>
      <c r="U382" s="100"/>
      <c r="V382" s="100" t="s">
        <v>17</v>
      </c>
      <c r="W382" s="100" t="s">
        <v>17</v>
      </c>
      <c r="X382" s="100" t="s">
        <v>17</v>
      </c>
      <c r="Y382" s="100" t="s">
        <v>1047</v>
      </c>
      <c r="Z382" s="100" t="s">
        <v>1048</v>
      </c>
      <c r="AA382" s="100" t="s">
        <v>1049</v>
      </c>
    </row>
    <row r="383" spans="1:27" s="102" customFormat="1" ht="76.5" x14ac:dyDescent="0.2">
      <c r="A383" s="100" t="s">
        <v>867</v>
      </c>
      <c r="B383" s="100" t="s">
        <v>137</v>
      </c>
      <c r="C383" s="89" t="str">
        <f t="shared" si="6"/>
        <v>A.10.1.1 383</v>
      </c>
      <c r="D383" s="101" t="s">
        <v>612</v>
      </c>
      <c r="E383" s="100" t="s">
        <v>330</v>
      </c>
      <c r="F383" s="91" t="s">
        <v>142</v>
      </c>
      <c r="G383" s="20" t="s">
        <v>636</v>
      </c>
      <c r="H383" s="100"/>
      <c r="I383" s="100"/>
      <c r="J383" s="100"/>
      <c r="K383" s="100" t="s">
        <v>17</v>
      </c>
      <c r="L383" s="100" t="s">
        <v>17</v>
      </c>
      <c r="M383" s="100" t="s">
        <v>17</v>
      </c>
      <c r="N383" s="100" t="s">
        <v>17</v>
      </c>
      <c r="O383" s="100" t="s">
        <v>305</v>
      </c>
      <c r="P383" s="100" t="s">
        <v>305</v>
      </c>
      <c r="Q383" s="100" t="s">
        <v>17</v>
      </c>
      <c r="R383" s="100" t="s">
        <v>17</v>
      </c>
      <c r="S383" s="100" t="s">
        <v>17</v>
      </c>
      <c r="T383" s="100" t="s">
        <v>17</v>
      </c>
      <c r="U383" s="100" t="s">
        <v>17</v>
      </c>
      <c r="V383" s="100" t="s">
        <v>305</v>
      </c>
      <c r="W383" s="100" t="s">
        <v>305</v>
      </c>
      <c r="X383" s="100" t="s">
        <v>17</v>
      </c>
      <c r="Y383" s="100" t="s">
        <v>1050</v>
      </c>
      <c r="Z383" s="100" t="s">
        <v>1051</v>
      </c>
      <c r="AA383" s="100" t="s">
        <v>1052</v>
      </c>
    </row>
    <row r="384" spans="1:27" s="102" customFormat="1" ht="344.25" x14ac:dyDescent="0.2">
      <c r="A384" s="100" t="s">
        <v>867</v>
      </c>
      <c r="B384" s="100" t="s">
        <v>137</v>
      </c>
      <c r="C384" s="89" t="str">
        <f t="shared" si="6"/>
        <v>A.10.1.1 384</v>
      </c>
      <c r="D384" s="101" t="s">
        <v>601</v>
      </c>
      <c r="E384" s="100" t="s">
        <v>0</v>
      </c>
      <c r="F384" s="112" t="s">
        <v>1739</v>
      </c>
      <c r="G384" s="112" t="s">
        <v>1740</v>
      </c>
      <c r="H384" s="100" t="s">
        <v>731</v>
      </c>
      <c r="I384" s="100" t="s">
        <v>346</v>
      </c>
      <c r="J384" s="100"/>
      <c r="K384" s="100" t="s">
        <v>17</v>
      </c>
      <c r="L384" s="100" t="s">
        <v>17</v>
      </c>
      <c r="M384" s="100" t="s">
        <v>17</v>
      </c>
      <c r="N384" s="100" t="s">
        <v>305</v>
      </c>
      <c r="O384" s="100" t="s">
        <v>17</v>
      </c>
      <c r="P384" s="100" t="s">
        <v>17</v>
      </c>
      <c r="Q384" s="100"/>
      <c r="R384" s="100" t="s">
        <v>17</v>
      </c>
      <c r="S384" s="100" t="s">
        <v>17</v>
      </c>
      <c r="T384" s="100" t="s">
        <v>17</v>
      </c>
      <c r="U384" s="100"/>
      <c r="V384" s="100" t="s">
        <v>17</v>
      </c>
      <c r="W384" s="100" t="s">
        <v>305</v>
      </c>
      <c r="X384" s="100" t="s">
        <v>17</v>
      </c>
      <c r="Y384" s="100" t="s">
        <v>1053</v>
      </c>
      <c r="Z384" s="100" t="s">
        <v>1054</v>
      </c>
      <c r="AA384" s="100" t="s">
        <v>1055</v>
      </c>
    </row>
    <row r="385" spans="1:27" s="102" customFormat="1" ht="140.25" x14ac:dyDescent="0.2">
      <c r="A385" s="100" t="s">
        <v>867</v>
      </c>
      <c r="B385" s="100" t="s">
        <v>137</v>
      </c>
      <c r="C385" s="89" t="str">
        <f t="shared" ref="C385:C448" si="7">CONCATENATE(B385," ",TEXT(ROW(B385),"000"))</f>
        <v>A.10.1.1 385</v>
      </c>
      <c r="D385" s="101" t="s">
        <v>602</v>
      </c>
      <c r="E385" s="100" t="s">
        <v>0</v>
      </c>
      <c r="F385" s="83" t="s">
        <v>1565</v>
      </c>
      <c r="G385" s="83" t="s">
        <v>1566</v>
      </c>
      <c r="H385" s="100" t="s">
        <v>394</v>
      </c>
      <c r="I385" s="100" t="s">
        <v>347</v>
      </c>
      <c r="J385" s="100"/>
      <c r="K385" s="100" t="s">
        <v>17</v>
      </c>
      <c r="L385" s="100" t="s">
        <v>17</v>
      </c>
      <c r="M385" s="100" t="s">
        <v>17</v>
      </c>
      <c r="N385" s="100" t="s">
        <v>17</v>
      </c>
      <c r="O385" s="100" t="s">
        <v>305</v>
      </c>
      <c r="P385" s="100" t="s">
        <v>305</v>
      </c>
      <c r="Q385" s="100"/>
      <c r="R385" s="100"/>
      <c r="S385" s="100" t="s">
        <v>17</v>
      </c>
      <c r="T385" s="100"/>
      <c r="U385" s="100" t="s">
        <v>17</v>
      </c>
      <c r="V385" s="100" t="s">
        <v>17</v>
      </c>
      <c r="W385" s="100" t="s">
        <v>305</v>
      </c>
      <c r="X385" s="100"/>
      <c r="Y385" s="100" t="s">
        <v>1056</v>
      </c>
      <c r="Z385" s="100" t="s">
        <v>1057</v>
      </c>
      <c r="AA385" s="100" t="s">
        <v>1058</v>
      </c>
    </row>
    <row r="386" spans="1:27" s="102" customFormat="1" ht="409.5" x14ac:dyDescent="0.2">
      <c r="A386" s="100" t="s">
        <v>867</v>
      </c>
      <c r="B386" s="100" t="s">
        <v>137</v>
      </c>
      <c r="C386" s="89" t="str">
        <f t="shared" si="7"/>
        <v>A.10.1.1 386</v>
      </c>
      <c r="D386" s="101" t="s">
        <v>603</v>
      </c>
      <c r="E386" s="100" t="s">
        <v>0</v>
      </c>
      <c r="F386" s="112" t="s">
        <v>1741</v>
      </c>
      <c r="G386" s="112" t="s">
        <v>1742</v>
      </c>
      <c r="H386" s="100" t="s">
        <v>732</v>
      </c>
      <c r="I386" s="100" t="s">
        <v>733</v>
      </c>
      <c r="J386" s="100"/>
      <c r="K386" s="100" t="s">
        <v>17</v>
      </c>
      <c r="L386" s="100" t="s">
        <v>17</v>
      </c>
      <c r="M386" s="100" t="s">
        <v>17</v>
      </c>
      <c r="N386" s="127" t="s">
        <v>305</v>
      </c>
      <c r="O386" s="127" t="s">
        <v>17</v>
      </c>
      <c r="P386" s="127" t="s">
        <v>17</v>
      </c>
      <c r="Q386" s="100"/>
      <c r="R386" s="100" t="s">
        <v>17</v>
      </c>
      <c r="S386" s="100" t="s">
        <v>17</v>
      </c>
      <c r="T386" s="100" t="s">
        <v>17</v>
      </c>
      <c r="U386" s="100" t="s">
        <v>17</v>
      </c>
      <c r="V386" s="100" t="s">
        <v>17</v>
      </c>
      <c r="W386" s="100" t="s">
        <v>305</v>
      </c>
      <c r="X386" s="100" t="s">
        <v>17</v>
      </c>
      <c r="Y386" s="100" t="s">
        <v>1059</v>
      </c>
      <c r="Z386" s="100" t="s">
        <v>1060</v>
      </c>
      <c r="AA386" s="100" t="s">
        <v>1061</v>
      </c>
    </row>
    <row r="387" spans="1:27" s="102" customFormat="1" ht="114.75" x14ac:dyDescent="0.2">
      <c r="A387" s="100" t="s">
        <v>867</v>
      </c>
      <c r="B387" s="100" t="s">
        <v>137</v>
      </c>
      <c r="C387" s="89" t="str">
        <f t="shared" si="7"/>
        <v>A.10.1.1 387</v>
      </c>
      <c r="D387" s="101" t="s">
        <v>604</v>
      </c>
      <c r="E387" s="100" t="s">
        <v>0</v>
      </c>
      <c r="F387" s="83" t="s">
        <v>1567</v>
      </c>
      <c r="G387" s="83" t="s">
        <v>1568</v>
      </c>
      <c r="H387" s="100" t="s">
        <v>734</v>
      </c>
      <c r="I387" s="100" t="s">
        <v>735</v>
      </c>
      <c r="J387" s="100"/>
      <c r="K387" s="100" t="s">
        <v>17</v>
      </c>
      <c r="L387" s="100" t="s">
        <v>17</v>
      </c>
      <c r="M387" s="100" t="s">
        <v>17</v>
      </c>
      <c r="N387" s="127" t="s">
        <v>305</v>
      </c>
      <c r="O387" s="127" t="s">
        <v>17</v>
      </c>
      <c r="P387" s="127" t="s">
        <v>17</v>
      </c>
      <c r="Q387" s="100"/>
      <c r="R387" s="100"/>
      <c r="S387" s="100" t="s">
        <v>17</v>
      </c>
      <c r="T387" s="100" t="s">
        <v>17</v>
      </c>
      <c r="U387" s="100"/>
      <c r="V387" s="100" t="s">
        <v>17</v>
      </c>
      <c r="W387" s="100" t="s">
        <v>305</v>
      </c>
      <c r="X387" s="100"/>
      <c r="Y387" s="100" t="s">
        <v>1062</v>
      </c>
      <c r="Z387" s="100" t="s">
        <v>1063</v>
      </c>
      <c r="AA387" s="100" t="s">
        <v>1064</v>
      </c>
    </row>
    <row r="388" spans="1:27" s="102" customFormat="1" ht="165.75" x14ac:dyDescent="0.2">
      <c r="A388" s="100" t="s">
        <v>867</v>
      </c>
      <c r="B388" s="100" t="s">
        <v>137</v>
      </c>
      <c r="C388" s="89" t="str">
        <f t="shared" si="7"/>
        <v>A.10.1.1 388</v>
      </c>
      <c r="D388" s="101" t="s">
        <v>605</v>
      </c>
      <c r="E388" s="100" t="s">
        <v>0</v>
      </c>
      <c r="F388" s="83" t="s">
        <v>1569</v>
      </c>
      <c r="G388" s="83" t="s">
        <v>1570</v>
      </c>
      <c r="H388" s="100" t="s">
        <v>736</v>
      </c>
      <c r="I388" s="100" t="s">
        <v>737</v>
      </c>
      <c r="J388" s="100"/>
      <c r="K388" s="100" t="s">
        <v>17</v>
      </c>
      <c r="L388" s="100" t="s">
        <v>17</v>
      </c>
      <c r="M388" s="100" t="s">
        <v>17</v>
      </c>
      <c r="N388" s="127" t="s">
        <v>305</v>
      </c>
      <c r="O388" s="127" t="s">
        <v>17</v>
      </c>
      <c r="P388" s="127" t="s">
        <v>17</v>
      </c>
      <c r="Q388" s="100"/>
      <c r="R388" s="100" t="s">
        <v>17</v>
      </c>
      <c r="S388" s="100" t="s">
        <v>17</v>
      </c>
      <c r="T388" s="100" t="s">
        <v>17</v>
      </c>
      <c r="U388" s="100" t="s">
        <v>17</v>
      </c>
      <c r="V388" s="100" t="s">
        <v>17</v>
      </c>
      <c r="W388" s="100" t="s">
        <v>305</v>
      </c>
      <c r="X388" s="100" t="s">
        <v>17</v>
      </c>
      <c r="Y388" s="100" t="s">
        <v>1065</v>
      </c>
      <c r="Z388" s="100" t="s">
        <v>1066</v>
      </c>
      <c r="AA388" s="100" t="s">
        <v>1067</v>
      </c>
    </row>
    <row r="389" spans="1:27" s="102" customFormat="1" ht="63.75" x14ac:dyDescent="0.2">
      <c r="A389" s="100" t="s">
        <v>867</v>
      </c>
      <c r="B389" s="100" t="s">
        <v>137</v>
      </c>
      <c r="C389" s="89" t="str">
        <f t="shared" si="7"/>
        <v>A.10.1.1 389</v>
      </c>
      <c r="D389" s="101" t="s">
        <v>612</v>
      </c>
      <c r="E389" s="100" t="s">
        <v>330</v>
      </c>
      <c r="F389" s="91" t="s">
        <v>142</v>
      </c>
      <c r="G389" s="20" t="s">
        <v>636</v>
      </c>
      <c r="H389" s="100"/>
      <c r="I389" s="100"/>
      <c r="J389" s="100"/>
      <c r="K389" s="100" t="s">
        <v>17</v>
      </c>
      <c r="L389" s="100" t="s">
        <v>17</v>
      </c>
      <c r="M389" s="100" t="s">
        <v>17</v>
      </c>
      <c r="N389" s="100" t="s">
        <v>305</v>
      </c>
      <c r="O389" s="100" t="s">
        <v>17</v>
      </c>
      <c r="P389" s="100" t="s">
        <v>17</v>
      </c>
      <c r="Q389" s="100"/>
      <c r="R389" s="100" t="s">
        <v>17</v>
      </c>
      <c r="S389" s="100" t="s">
        <v>17</v>
      </c>
      <c r="T389" s="100"/>
      <c r="U389" s="100"/>
      <c r="V389" s="100" t="s">
        <v>305</v>
      </c>
      <c r="W389" s="100" t="s">
        <v>305</v>
      </c>
      <c r="X389" s="100" t="s">
        <v>17</v>
      </c>
      <c r="Y389" s="100" t="s">
        <v>1068</v>
      </c>
      <c r="Z389" s="100" t="s">
        <v>1069</v>
      </c>
      <c r="AA389" s="100" t="s">
        <v>1070</v>
      </c>
    </row>
    <row r="390" spans="1:27" s="102" customFormat="1" ht="140.25" x14ac:dyDescent="0.2">
      <c r="A390" s="100" t="s">
        <v>867</v>
      </c>
      <c r="B390" s="100" t="s">
        <v>137</v>
      </c>
      <c r="C390" s="89" t="str">
        <f t="shared" si="7"/>
        <v>A.10.1.1 390</v>
      </c>
      <c r="D390" s="101" t="s">
        <v>602</v>
      </c>
      <c r="E390" s="100" t="s">
        <v>0</v>
      </c>
      <c r="F390" s="83" t="s">
        <v>1571</v>
      </c>
      <c r="G390" s="83" t="s">
        <v>1572</v>
      </c>
      <c r="H390" s="100" t="s">
        <v>738</v>
      </c>
      <c r="I390" s="100" t="s">
        <v>739</v>
      </c>
      <c r="J390" s="100"/>
      <c r="K390" s="100" t="s">
        <v>17</v>
      </c>
      <c r="L390" s="100" t="s">
        <v>17</v>
      </c>
      <c r="M390" s="100" t="s">
        <v>17</v>
      </c>
      <c r="N390" s="100" t="s">
        <v>305</v>
      </c>
      <c r="O390" s="100" t="s">
        <v>305</v>
      </c>
      <c r="P390" s="100" t="s">
        <v>17</v>
      </c>
      <c r="Q390" s="100"/>
      <c r="R390" s="100" t="s">
        <v>17</v>
      </c>
      <c r="S390" s="100" t="s">
        <v>17</v>
      </c>
      <c r="T390" s="100"/>
      <c r="U390" s="100"/>
      <c r="V390" s="100" t="s">
        <v>17</v>
      </c>
      <c r="W390" s="100" t="s">
        <v>305</v>
      </c>
      <c r="X390" s="100" t="s">
        <v>17</v>
      </c>
      <c r="Y390" s="100" t="s">
        <v>1071</v>
      </c>
      <c r="Z390" s="100" t="s">
        <v>1072</v>
      </c>
      <c r="AA390" s="100" t="s">
        <v>1073</v>
      </c>
    </row>
    <row r="391" spans="1:27" s="102" customFormat="1" ht="76.5" x14ac:dyDescent="0.2">
      <c r="A391" s="100" t="s">
        <v>867</v>
      </c>
      <c r="B391" s="100" t="s">
        <v>137</v>
      </c>
      <c r="C391" s="89" t="str">
        <f t="shared" si="7"/>
        <v>A.10.1.1 391</v>
      </c>
      <c r="D391" s="101" t="s">
        <v>612</v>
      </c>
      <c r="E391" s="100" t="s">
        <v>330</v>
      </c>
      <c r="F391" s="100" t="s">
        <v>1475</v>
      </c>
      <c r="G391" s="100" t="s">
        <v>395</v>
      </c>
      <c r="H391" s="100"/>
      <c r="I391" s="100"/>
      <c r="J391" s="100"/>
      <c r="K391" s="100" t="s">
        <v>17</v>
      </c>
      <c r="L391" s="100" t="s">
        <v>17</v>
      </c>
      <c r="M391" s="100" t="s">
        <v>17</v>
      </c>
      <c r="N391" s="100" t="s">
        <v>17</v>
      </c>
      <c r="O391" s="100" t="s">
        <v>305</v>
      </c>
      <c r="P391" s="100" t="s">
        <v>305</v>
      </c>
      <c r="Q391" s="100" t="s">
        <v>17</v>
      </c>
      <c r="R391" s="100" t="s">
        <v>17</v>
      </c>
      <c r="S391" s="100" t="s">
        <v>17</v>
      </c>
      <c r="T391" s="100" t="s">
        <v>17</v>
      </c>
      <c r="U391" s="100" t="s">
        <v>17</v>
      </c>
      <c r="V391" s="100" t="s">
        <v>17</v>
      </c>
      <c r="W391" s="100" t="s">
        <v>305</v>
      </c>
      <c r="X391" s="100" t="s">
        <v>17</v>
      </c>
      <c r="Y391" s="100" t="s">
        <v>1074</v>
      </c>
      <c r="Z391" s="100" t="s">
        <v>1075</v>
      </c>
      <c r="AA391" s="100" t="s">
        <v>1076</v>
      </c>
    </row>
    <row r="392" spans="1:27" s="102" customFormat="1" ht="280.5" x14ac:dyDescent="0.2">
      <c r="A392" s="100" t="s">
        <v>867</v>
      </c>
      <c r="B392" s="100" t="s">
        <v>137</v>
      </c>
      <c r="C392" s="89" t="str">
        <f t="shared" si="7"/>
        <v>A.10.1.1 392</v>
      </c>
      <c r="D392" s="101" t="s">
        <v>601</v>
      </c>
      <c r="E392" s="100" t="s">
        <v>0</v>
      </c>
      <c r="F392" s="83" t="s">
        <v>1573</v>
      </c>
      <c r="G392" s="83" t="s">
        <v>1574</v>
      </c>
      <c r="H392" s="100" t="s">
        <v>740</v>
      </c>
      <c r="I392" s="100" t="s">
        <v>348</v>
      </c>
      <c r="J392" s="100"/>
      <c r="K392" s="100" t="s">
        <v>17</v>
      </c>
      <c r="L392" s="100" t="s">
        <v>17</v>
      </c>
      <c r="M392" s="100" t="s">
        <v>17</v>
      </c>
      <c r="N392" s="100" t="s">
        <v>17</v>
      </c>
      <c r="O392" s="100" t="s">
        <v>305</v>
      </c>
      <c r="P392" s="100" t="s">
        <v>305</v>
      </c>
      <c r="Q392" s="100" t="s">
        <v>17</v>
      </c>
      <c r="R392" s="100" t="s">
        <v>17</v>
      </c>
      <c r="S392" s="100" t="s">
        <v>17</v>
      </c>
      <c r="T392" s="100" t="s">
        <v>17</v>
      </c>
      <c r="U392" s="100" t="s">
        <v>17</v>
      </c>
      <c r="V392" s="100" t="s">
        <v>17</v>
      </c>
      <c r="W392" s="100" t="s">
        <v>305</v>
      </c>
      <c r="X392" s="100" t="s">
        <v>17</v>
      </c>
      <c r="Y392" s="100" t="s">
        <v>1077</v>
      </c>
      <c r="Z392" s="100" t="s">
        <v>1078</v>
      </c>
      <c r="AA392" s="100" t="s">
        <v>1079</v>
      </c>
    </row>
    <row r="393" spans="1:27" s="102" customFormat="1" ht="242.25" x14ac:dyDescent="0.2">
      <c r="A393" s="100" t="s">
        <v>867</v>
      </c>
      <c r="B393" s="100" t="s">
        <v>137</v>
      </c>
      <c r="C393" s="89" t="str">
        <f t="shared" si="7"/>
        <v>A.10.1.1 393</v>
      </c>
      <c r="D393" s="101" t="s">
        <v>602</v>
      </c>
      <c r="E393" s="100" t="s">
        <v>0</v>
      </c>
      <c r="F393" s="83" t="s">
        <v>1575</v>
      </c>
      <c r="G393" s="83" t="s">
        <v>1576</v>
      </c>
      <c r="H393" s="100" t="s">
        <v>396</v>
      </c>
      <c r="I393" s="100" t="s">
        <v>349</v>
      </c>
      <c r="J393" s="100"/>
      <c r="K393" s="100" t="s">
        <v>17</v>
      </c>
      <c r="L393" s="100" t="s">
        <v>17</v>
      </c>
      <c r="M393" s="100" t="s">
        <v>17</v>
      </c>
      <c r="N393" s="100" t="s">
        <v>17</v>
      </c>
      <c r="O393" s="100" t="s">
        <v>305</v>
      </c>
      <c r="P393" s="100" t="s">
        <v>305</v>
      </c>
      <c r="Q393" s="100" t="s">
        <v>17</v>
      </c>
      <c r="R393" s="100" t="s">
        <v>17</v>
      </c>
      <c r="S393" s="100" t="s">
        <v>17</v>
      </c>
      <c r="T393" s="100" t="s">
        <v>17</v>
      </c>
      <c r="U393" s="100" t="s">
        <v>17</v>
      </c>
      <c r="V393" s="100" t="s">
        <v>17</v>
      </c>
      <c r="W393" s="100" t="s">
        <v>305</v>
      </c>
      <c r="X393" s="100" t="s">
        <v>17</v>
      </c>
      <c r="Y393" s="100" t="s">
        <v>1080</v>
      </c>
      <c r="Z393" s="100" t="s">
        <v>1081</v>
      </c>
      <c r="AA393" s="100" t="s">
        <v>1082</v>
      </c>
    </row>
    <row r="394" spans="1:27" s="102" customFormat="1" ht="178.5" x14ac:dyDescent="0.2">
      <c r="A394" s="100" t="s">
        <v>867</v>
      </c>
      <c r="B394" s="100" t="s">
        <v>137</v>
      </c>
      <c r="C394" s="89" t="str">
        <f t="shared" si="7"/>
        <v>A.10.1.1 394</v>
      </c>
      <c r="D394" s="101" t="s">
        <v>603</v>
      </c>
      <c r="E394" s="100" t="s">
        <v>0</v>
      </c>
      <c r="F394" s="83" t="s">
        <v>1577</v>
      </c>
      <c r="G394" s="83" t="s">
        <v>1578</v>
      </c>
      <c r="H394" s="100" t="s">
        <v>741</v>
      </c>
      <c r="I394" s="100" t="s">
        <v>742</v>
      </c>
      <c r="J394" s="100"/>
      <c r="K394" s="100" t="s">
        <v>17</v>
      </c>
      <c r="L394" s="100" t="s">
        <v>17</v>
      </c>
      <c r="M394" s="100" t="s">
        <v>17</v>
      </c>
      <c r="N394" s="100" t="s">
        <v>17</v>
      </c>
      <c r="O394" s="100" t="s">
        <v>305</v>
      </c>
      <c r="P394" s="100" t="s">
        <v>305</v>
      </c>
      <c r="Q394" s="100" t="s">
        <v>17</v>
      </c>
      <c r="R394" s="100" t="s">
        <v>17</v>
      </c>
      <c r="S394" s="100" t="s">
        <v>17</v>
      </c>
      <c r="T394" s="100" t="s">
        <v>17</v>
      </c>
      <c r="U394" s="100" t="s">
        <v>17</v>
      </c>
      <c r="V394" s="100" t="s">
        <v>17</v>
      </c>
      <c r="W394" s="100" t="s">
        <v>305</v>
      </c>
      <c r="X394" s="100" t="s">
        <v>17</v>
      </c>
      <c r="Y394" s="100" t="s">
        <v>1083</v>
      </c>
      <c r="Z394" s="100" t="s">
        <v>1084</v>
      </c>
      <c r="AA394" s="100" t="s">
        <v>1085</v>
      </c>
    </row>
    <row r="395" spans="1:27" s="102" customFormat="1" ht="216.75" x14ac:dyDescent="0.2">
      <c r="A395" s="100" t="s">
        <v>867</v>
      </c>
      <c r="B395" s="100" t="s">
        <v>137</v>
      </c>
      <c r="C395" s="89" t="str">
        <f t="shared" si="7"/>
        <v>A.10.1.1 395</v>
      </c>
      <c r="D395" s="101" t="s">
        <v>604</v>
      </c>
      <c r="E395" s="100" t="s">
        <v>0</v>
      </c>
      <c r="F395" s="83" t="s">
        <v>1579</v>
      </c>
      <c r="G395" s="83" t="s">
        <v>1580</v>
      </c>
      <c r="H395" s="100" t="s">
        <v>743</v>
      </c>
      <c r="I395" s="100" t="s">
        <v>744</v>
      </c>
      <c r="J395" s="100"/>
      <c r="K395" s="100" t="s">
        <v>17</v>
      </c>
      <c r="L395" s="100" t="s">
        <v>17</v>
      </c>
      <c r="M395" s="100" t="s">
        <v>17</v>
      </c>
      <c r="N395" s="100" t="s">
        <v>17</v>
      </c>
      <c r="O395" s="100" t="s">
        <v>305</v>
      </c>
      <c r="P395" s="100" t="s">
        <v>305</v>
      </c>
      <c r="Q395" s="100" t="s">
        <v>17</v>
      </c>
      <c r="R395" s="100" t="s">
        <v>17</v>
      </c>
      <c r="S395" s="100" t="s">
        <v>17</v>
      </c>
      <c r="T395" s="100" t="s">
        <v>17</v>
      </c>
      <c r="U395" s="100" t="s">
        <v>17</v>
      </c>
      <c r="V395" s="100" t="s">
        <v>17</v>
      </c>
      <c r="W395" s="100" t="s">
        <v>305</v>
      </c>
      <c r="X395" s="100" t="s">
        <v>17</v>
      </c>
      <c r="Y395" s="100" t="s">
        <v>1086</v>
      </c>
      <c r="Z395" s="100" t="s">
        <v>1087</v>
      </c>
      <c r="AA395" s="100" t="s">
        <v>1088</v>
      </c>
    </row>
    <row r="396" spans="1:27" s="102" customFormat="1" ht="255" x14ac:dyDescent="0.2">
      <c r="A396" s="100" t="s">
        <v>867</v>
      </c>
      <c r="B396" s="100" t="s">
        <v>137</v>
      </c>
      <c r="C396" s="89" t="str">
        <f t="shared" si="7"/>
        <v>A.10.1.1 396</v>
      </c>
      <c r="D396" s="101" t="s">
        <v>605</v>
      </c>
      <c r="E396" s="100" t="s">
        <v>0</v>
      </c>
      <c r="F396" s="83" t="s">
        <v>1581</v>
      </c>
      <c r="G396" s="83" t="s">
        <v>1582</v>
      </c>
      <c r="H396" s="100" t="s">
        <v>745</v>
      </c>
      <c r="I396" s="100" t="s">
        <v>746</v>
      </c>
      <c r="J396" s="100"/>
      <c r="K396" s="100" t="s">
        <v>17</v>
      </c>
      <c r="L396" s="100" t="s">
        <v>17</v>
      </c>
      <c r="M396" s="100" t="s">
        <v>17</v>
      </c>
      <c r="N396" s="100" t="s">
        <v>17</v>
      </c>
      <c r="O396" s="100" t="s">
        <v>305</v>
      </c>
      <c r="P396" s="100" t="s">
        <v>305</v>
      </c>
      <c r="Q396" s="100" t="s">
        <v>17</v>
      </c>
      <c r="R396" s="100" t="s">
        <v>17</v>
      </c>
      <c r="S396" s="100" t="s">
        <v>17</v>
      </c>
      <c r="T396" s="100" t="s">
        <v>17</v>
      </c>
      <c r="U396" s="100" t="s">
        <v>17</v>
      </c>
      <c r="V396" s="100" t="s">
        <v>17</v>
      </c>
      <c r="W396" s="100" t="s">
        <v>305</v>
      </c>
      <c r="X396" s="100" t="s">
        <v>17</v>
      </c>
      <c r="Y396" s="100" t="s">
        <v>1089</v>
      </c>
      <c r="Z396" s="100" t="s">
        <v>1090</v>
      </c>
      <c r="AA396" s="100" t="s">
        <v>1091</v>
      </c>
    </row>
    <row r="397" spans="1:27" s="102" customFormat="1" ht="255" x14ac:dyDescent="0.2">
      <c r="A397" s="100" t="s">
        <v>867</v>
      </c>
      <c r="B397" s="100" t="s">
        <v>137</v>
      </c>
      <c r="C397" s="89" t="str">
        <f t="shared" si="7"/>
        <v>A.10.1.1 397</v>
      </c>
      <c r="D397" s="101" t="s">
        <v>606</v>
      </c>
      <c r="E397" s="100" t="s">
        <v>0</v>
      </c>
      <c r="F397" s="83" t="s">
        <v>1583</v>
      </c>
      <c r="G397" s="83" t="s">
        <v>1584</v>
      </c>
      <c r="H397" s="100" t="s">
        <v>747</v>
      </c>
      <c r="I397" s="100" t="s">
        <v>748</v>
      </c>
      <c r="J397" s="100"/>
      <c r="K397" s="100" t="s">
        <v>17</v>
      </c>
      <c r="L397" s="100" t="s">
        <v>17</v>
      </c>
      <c r="M397" s="100" t="s">
        <v>17</v>
      </c>
      <c r="N397" s="100" t="s">
        <v>17</v>
      </c>
      <c r="O397" s="100" t="s">
        <v>305</v>
      </c>
      <c r="P397" s="100" t="s">
        <v>305</v>
      </c>
      <c r="Q397" s="100" t="s">
        <v>17</v>
      </c>
      <c r="R397" s="100" t="s">
        <v>17</v>
      </c>
      <c r="S397" s="100" t="s">
        <v>17</v>
      </c>
      <c r="T397" s="100" t="s">
        <v>17</v>
      </c>
      <c r="U397" s="100" t="s">
        <v>17</v>
      </c>
      <c r="V397" s="100" t="s">
        <v>17</v>
      </c>
      <c r="W397" s="100" t="s">
        <v>305</v>
      </c>
      <c r="X397" s="100" t="s">
        <v>17</v>
      </c>
      <c r="Y397" s="100" t="s">
        <v>1092</v>
      </c>
      <c r="Z397" s="100" t="s">
        <v>1093</v>
      </c>
      <c r="AA397" s="100" t="s">
        <v>1094</v>
      </c>
    </row>
    <row r="398" spans="1:27" s="102" customFormat="1" ht="229.5" x14ac:dyDescent="0.2">
      <c r="A398" s="100" t="s">
        <v>867</v>
      </c>
      <c r="B398" s="100" t="s">
        <v>137</v>
      </c>
      <c r="C398" s="89" t="str">
        <f t="shared" si="7"/>
        <v>A.10.1.1 398</v>
      </c>
      <c r="D398" s="101" t="s">
        <v>608</v>
      </c>
      <c r="E398" s="100" t="s">
        <v>0</v>
      </c>
      <c r="F398" s="112" t="s">
        <v>1743</v>
      </c>
      <c r="G398" s="112" t="s">
        <v>1744</v>
      </c>
      <c r="H398" s="100" t="s">
        <v>749</v>
      </c>
      <c r="I398" s="100" t="s">
        <v>750</v>
      </c>
      <c r="J398" s="100"/>
      <c r="K398" s="100" t="s">
        <v>17</v>
      </c>
      <c r="L398" s="100" t="s">
        <v>17</v>
      </c>
      <c r="M398" s="100" t="s">
        <v>17</v>
      </c>
      <c r="N398" s="100" t="s">
        <v>17</v>
      </c>
      <c r="O398" s="100" t="s">
        <v>305</v>
      </c>
      <c r="P398" s="100" t="s">
        <v>305</v>
      </c>
      <c r="Q398" s="100" t="s">
        <v>17</v>
      </c>
      <c r="R398" s="100" t="s">
        <v>17</v>
      </c>
      <c r="S398" s="100" t="s">
        <v>17</v>
      </c>
      <c r="T398" s="100" t="s">
        <v>17</v>
      </c>
      <c r="U398" s="100" t="s">
        <v>17</v>
      </c>
      <c r="V398" s="100" t="s">
        <v>17</v>
      </c>
      <c r="W398" s="100" t="s">
        <v>305</v>
      </c>
      <c r="X398" s="100" t="s">
        <v>17</v>
      </c>
      <c r="Y398" s="100" t="s">
        <v>1095</v>
      </c>
      <c r="Z398" s="100" t="s">
        <v>1096</v>
      </c>
      <c r="AA398" s="100" t="s">
        <v>1097</v>
      </c>
    </row>
    <row r="399" spans="1:27" s="102" customFormat="1" ht="38.25" x14ac:dyDescent="0.2">
      <c r="A399" s="100" t="s">
        <v>867</v>
      </c>
      <c r="B399" s="100" t="s">
        <v>143</v>
      </c>
      <c r="C399" s="89" t="str">
        <f t="shared" si="7"/>
        <v>A.10.1.2 399</v>
      </c>
      <c r="D399" s="101" t="s">
        <v>612</v>
      </c>
      <c r="E399" s="100" t="s">
        <v>330</v>
      </c>
      <c r="F399" s="100" t="s">
        <v>398</v>
      </c>
      <c r="G399" s="100" t="s">
        <v>397</v>
      </c>
      <c r="H399" s="100"/>
      <c r="I399" s="100"/>
      <c r="J399" s="100"/>
      <c r="K399" s="100" t="s">
        <v>17</v>
      </c>
      <c r="L399" s="100" t="s">
        <v>17</v>
      </c>
      <c r="M399" s="100" t="s">
        <v>17</v>
      </c>
      <c r="N399" s="100" t="s">
        <v>17</v>
      </c>
      <c r="O399" s="100" t="s">
        <v>305</v>
      </c>
      <c r="P399" s="100" t="s">
        <v>305</v>
      </c>
      <c r="Q399" s="100"/>
      <c r="R399" s="100"/>
      <c r="S399" s="100" t="s">
        <v>17</v>
      </c>
      <c r="T399" s="100" t="s">
        <v>17</v>
      </c>
      <c r="U399" s="100"/>
      <c r="V399" s="100" t="s">
        <v>17</v>
      </c>
      <c r="W399" s="100" t="s">
        <v>305</v>
      </c>
      <c r="X399" s="100" t="s">
        <v>17</v>
      </c>
      <c r="Y399" s="100" t="s">
        <v>1098</v>
      </c>
      <c r="Z399" s="100" t="s">
        <v>1099</v>
      </c>
      <c r="AA399" s="100" t="s">
        <v>1100</v>
      </c>
    </row>
    <row r="400" spans="1:27" s="102" customFormat="1" ht="357" x14ac:dyDescent="0.2">
      <c r="A400" s="100" t="s">
        <v>867</v>
      </c>
      <c r="B400" s="100" t="s">
        <v>143</v>
      </c>
      <c r="C400" s="89" t="str">
        <f t="shared" si="7"/>
        <v>A.10.1.2 400</v>
      </c>
      <c r="D400" s="101" t="s">
        <v>601</v>
      </c>
      <c r="E400" s="100" t="s">
        <v>0</v>
      </c>
      <c r="F400" s="112" t="s">
        <v>1745</v>
      </c>
      <c r="G400" s="112" t="s">
        <v>1746</v>
      </c>
      <c r="H400" s="100" t="s">
        <v>399</v>
      </c>
      <c r="I400" s="100" t="s">
        <v>350</v>
      </c>
      <c r="J400" s="100"/>
      <c r="K400" s="100" t="s">
        <v>17</v>
      </c>
      <c r="L400" s="100" t="s">
        <v>17</v>
      </c>
      <c r="M400" s="100" t="s">
        <v>17</v>
      </c>
      <c r="N400" s="100" t="s">
        <v>17</v>
      </c>
      <c r="O400" s="100" t="s">
        <v>305</v>
      </c>
      <c r="P400" s="100" t="s">
        <v>305</v>
      </c>
      <c r="Q400" s="100"/>
      <c r="R400" s="100"/>
      <c r="S400" s="100" t="s">
        <v>17</v>
      </c>
      <c r="T400" s="100" t="s">
        <v>17</v>
      </c>
      <c r="U400" s="100"/>
      <c r="V400" s="100" t="s">
        <v>17</v>
      </c>
      <c r="W400" s="100" t="s">
        <v>305</v>
      </c>
      <c r="X400" s="100" t="s">
        <v>17</v>
      </c>
      <c r="Y400" s="100" t="s">
        <v>1101</v>
      </c>
      <c r="Z400" s="100" t="s">
        <v>1102</v>
      </c>
      <c r="AA400" s="100" t="s">
        <v>1103</v>
      </c>
    </row>
    <row r="401" spans="1:27" s="102" customFormat="1" ht="242.25" x14ac:dyDescent="0.2">
      <c r="A401" s="100" t="s">
        <v>867</v>
      </c>
      <c r="B401" s="100" t="s">
        <v>143</v>
      </c>
      <c r="C401" s="89" t="str">
        <f t="shared" si="7"/>
        <v>A.10.1.2 401</v>
      </c>
      <c r="D401" s="101" t="s">
        <v>602</v>
      </c>
      <c r="E401" s="100" t="s">
        <v>0</v>
      </c>
      <c r="F401" s="112" t="s">
        <v>1747</v>
      </c>
      <c r="G401" s="112" t="s">
        <v>1748</v>
      </c>
      <c r="H401" s="100" t="s">
        <v>751</v>
      </c>
      <c r="I401" s="100" t="s">
        <v>351</v>
      </c>
      <c r="J401" s="100"/>
      <c r="K401" s="100" t="s">
        <v>17</v>
      </c>
      <c r="L401" s="100" t="s">
        <v>17</v>
      </c>
      <c r="M401" s="100" t="s">
        <v>17</v>
      </c>
      <c r="N401" s="100" t="s">
        <v>17</v>
      </c>
      <c r="O401" s="100" t="s">
        <v>305</v>
      </c>
      <c r="P401" s="100" t="s">
        <v>305</v>
      </c>
      <c r="Q401" s="100"/>
      <c r="R401" s="100"/>
      <c r="S401" s="100" t="s">
        <v>17</v>
      </c>
      <c r="T401" s="100" t="s">
        <v>17</v>
      </c>
      <c r="U401" s="100"/>
      <c r="V401" s="100" t="s">
        <v>17</v>
      </c>
      <c r="W401" s="100" t="s">
        <v>305</v>
      </c>
      <c r="X401" s="100" t="s">
        <v>17</v>
      </c>
      <c r="Y401" s="100" t="s">
        <v>1104</v>
      </c>
      <c r="Z401" s="100" t="s">
        <v>1105</v>
      </c>
      <c r="AA401" s="100" t="s">
        <v>1106</v>
      </c>
    </row>
    <row r="402" spans="1:27" s="102" customFormat="1" ht="178.5" x14ac:dyDescent="0.2">
      <c r="A402" s="100" t="s">
        <v>867</v>
      </c>
      <c r="B402" s="100" t="s">
        <v>143</v>
      </c>
      <c r="C402" s="89" t="str">
        <f t="shared" si="7"/>
        <v>A.10.1.2 402</v>
      </c>
      <c r="D402" s="101" t="s">
        <v>603</v>
      </c>
      <c r="E402" s="100" t="s">
        <v>0</v>
      </c>
      <c r="F402" s="83" t="s">
        <v>1585</v>
      </c>
      <c r="G402" s="83" t="s">
        <v>1586</v>
      </c>
      <c r="H402" s="100" t="s">
        <v>752</v>
      </c>
      <c r="I402" s="100" t="s">
        <v>753</v>
      </c>
      <c r="J402" s="100"/>
      <c r="K402" s="100" t="s">
        <v>17</v>
      </c>
      <c r="L402" s="100" t="s">
        <v>17</v>
      </c>
      <c r="M402" s="100" t="s">
        <v>17</v>
      </c>
      <c r="N402" s="100" t="s">
        <v>17</v>
      </c>
      <c r="O402" s="100" t="s">
        <v>305</v>
      </c>
      <c r="P402" s="100" t="s">
        <v>305</v>
      </c>
      <c r="Q402" s="100"/>
      <c r="R402" s="100"/>
      <c r="S402" s="100" t="s">
        <v>17</v>
      </c>
      <c r="T402" s="100" t="s">
        <v>17</v>
      </c>
      <c r="U402" s="100"/>
      <c r="V402" s="100" t="s">
        <v>17</v>
      </c>
      <c r="W402" s="100" t="s">
        <v>305</v>
      </c>
      <c r="X402" s="100" t="s">
        <v>17</v>
      </c>
      <c r="Y402" s="100" t="s">
        <v>1107</v>
      </c>
      <c r="Z402" s="100" t="s">
        <v>1108</v>
      </c>
      <c r="AA402" s="100" t="s">
        <v>1109</v>
      </c>
    </row>
    <row r="403" spans="1:27" s="102" customFormat="1" ht="51" x14ac:dyDescent="0.2">
      <c r="A403" s="100" t="s">
        <v>867</v>
      </c>
      <c r="B403" s="100" t="s">
        <v>143</v>
      </c>
      <c r="C403" s="89" t="str">
        <f t="shared" si="7"/>
        <v>A.10.1.2 403</v>
      </c>
      <c r="D403" s="101" t="s">
        <v>612</v>
      </c>
      <c r="E403" s="100" t="s">
        <v>330</v>
      </c>
      <c r="F403" s="100" t="s">
        <v>400</v>
      </c>
      <c r="G403" s="100" t="s">
        <v>1476</v>
      </c>
      <c r="H403" s="100"/>
      <c r="I403" s="100"/>
      <c r="J403" s="100"/>
      <c r="K403" s="100" t="s">
        <v>17</v>
      </c>
      <c r="L403" s="100" t="s">
        <v>17</v>
      </c>
      <c r="M403" s="100" t="s">
        <v>17</v>
      </c>
      <c r="N403" s="100" t="s">
        <v>17</v>
      </c>
      <c r="O403" s="100" t="s">
        <v>305</v>
      </c>
      <c r="P403" s="100" t="s">
        <v>305</v>
      </c>
      <c r="Q403" s="100" t="s">
        <v>17</v>
      </c>
      <c r="R403" s="100" t="s">
        <v>17</v>
      </c>
      <c r="S403" s="100" t="s">
        <v>17</v>
      </c>
      <c r="T403" s="100" t="s">
        <v>17</v>
      </c>
      <c r="U403" s="100"/>
      <c r="V403" s="100" t="s">
        <v>17</v>
      </c>
      <c r="W403" s="100" t="s">
        <v>305</v>
      </c>
      <c r="X403" s="100" t="s">
        <v>17</v>
      </c>
      <c r="Y403" s="100" t="s">
        <v>1110</v>
      </c>
      <c r="Z403" s="100" t="s">
        <v>1111</v>
      </c>
      <c r="AA403" s="100" t="s">
        <v>1112</v>
      </c>
    </row>
    <row r="404" spans="1:27" s="102" customFormat="1" ht="409.5" x14ac:dyDescent="0.2">
      <c r="A404" s="100" t="s">
        <v>867</v>
      </c>
      <c r="B404" s="100" t="s">
        <v>143</v>
      </c>
      <c r="C404" s="89" t="str">
        <f t="shared" si="7"/>
        <v>A.10.1.2 404</v>
      </c>
      <c r="D404" s="101" t="s">
        <v>603</v>
      </c>
      <c r="E404" s="100" t="s">
        <v>0</v>
      </c>
      <c r="F404" s="112" t="s">
        <v>1749</v>
      </c>
      <c r="G404" s="112" t="s">
        <v>1750</v>
      </c>
      <c r="H404" s="100" t="s">
        <v>754</v>
      </c>
      <c r="I404" s="100" t="s">
        <v>755</v>
      </c>
      <c r="J404" s="100"/>
      <c r="K404" s="100" t="s">
        <v>17</v>
      </c>
      <c r="L404" s="100" t="s">
        <v>17</v>
      </c>
      <c r="M404" s="100" t="s">
        <v>17</v>
      </c>
      <c r="N404" s="100" t="s">
        <v>17</v>
      </c>
      <c r="O404" s="100" t="s">
        <v>305</v>
      </c>
      <c r="P404" s="100" t="s">
        <v>305</v>
      </c>
      <c r="Q404" s="100" t="s">
        <v>17</v>
      </c>
      <c r="R404" s="100" t="s">
        <v>17</v>
      </c>
      <c r="S404" s="100" t="s">
        <v>17</v>
      </c>
      <c r="T404" s="100" t="s">
        <v>17</v>
      </c>
      <c r="U404" s="100"/>
      <c r="V404" s="100" t="s">
        <v>17</v>
      </c>
      <c r="W404" s="100" t="s">
        <v>305</v>
      </c>
      <c r="X404" s="100" t="s">
        <v>17</v>
      </c>
      <c r="Y404" s="100" t="s">
        <v>1113</v>
      </c>
      <c r="Z404" s="100" t="s">
        <v>1114</v>
      </c>
      <c r="AA404" s="100" t="s">
        <v>1115</v>
      </c>
    </row>
    <row r="405" spans="1:27" s="102" customFormat="1" ht="267.75" x14ac:dyDescent="0.2">
      <c r="A405" s="100" t="s">
        <v>867</v>
      </c>
      <c r="B405" s="100" t="s">
        <v>143</v>
      </c>
      <c r="C405" s="89" t="str">
        <f t="shared" si="7"/>
        <v>A.10.1.2 405</v>
      </c>
      <c r="D405" s="101" t="s">
        <v>604</v>
      </c>
      <c r="E405" s="100" t="s">
        <v>0</v>
      </c>
      <c r="F405" s="112" t="s">
        <v>1751</v>
      </c>
      <c r="G405" s="112" t="s">
        <v>1752</v>
      </c>
      <c r="H405" s="100" t="s">
        <v>401</v>
      </c>
      <c r="I405" s="100" t="s">
        <v>352</v>
      </c>
      <c r="J405" s="100"/>
      <c r="K405" s="100" t="s">
        <v>17</v>
      </c>
      <c r="L405" s="100" t="s">
        <v>17</v>
      </c>
      <c r="M405" s="100" t="s">
        <v>17</v>
      </c>
      <c r="N405" s="100" t="s">
        <v>17</v>
      </c>
      <c r="O405" s="100" t="s">
        <v>305</v>
      </c>
      <c r="P405" s="100" t="s">
        <v>305</v>
      </c>
      <c r="Q405" s="100"/>
      <c r="R405" s="100" t="s">
        <v>17</v>
      </c>
      <c r="S405" s="100" t="s">
        <v>17</v>
      </c>
      <c r="T405" s="100" t="s">
        <v>17</v>
      </c>
      <c r="U405" s="100"/>
      <c r="V405" s="100" t="s">
        <v>17</v>
      </c>
      <c r="W405" s="100" t="s">
        <v>305</v>
      </c>
      <c r="X405" s="100" t="s">
        <v>17</v>
      </c>
      <c r="Y405" s="100" t="s">
        <v>1116</v>
      </c>
      <c r="Z405" s="100" t="s">
        <v>1117</v>
      </c>
      <c r="AA405" s="100" t="s">
        <v>1118</v>
      </c>
    </row>
    <row r="406" spans="1:27" s="102" customFormat="1" ht="51" x14ac:dyDescent="0.2">
      <c r="A406" s="100" t="s">
        <v>867</v>
      </c>
      <c r="B406" s="100" t="s">
        <v>164</v>
      </c>
      <c r="C406" s="89" t="str">
        <f t="shared" si="7"/>
        <v>A.11.2.8 406</v>
      </c>
      <c r="D406" s="101" t="s">
        <v>612</v>
      </c>
      <c r="E406" s="100" t="s">
        <v>330</v>
      </c>
      <c r="F406" s="100" t="s">
        <v>403</v>
      </c>
      <c r="G406" s="100" t="s">
        <v>402</v>
      </c>
      <c r="H406" s="100"/>
      <c r="I406" s="100"/>
      <c r="J406" s="100"/>
      <c r="K406" s="100" t="s">
        <v>17</v>
      </c>
      <c r="L406" s="100" t="s">
        <v>17</v>
      </c>
      <c r="M406" s="100" t="s">
        <v>17</v>
      </c>
      <c r="N406" s="100" t="s">
        <v>17</v>
      </c>
      <c r="O406" s="100" t="s">
        <v>305</v>
      </c>
      <c r="P406" s="100" t="s">
        <v>305</v>
      </c>
      <c r="Q406" s="100" t="s">
        <v>17</v>
      </c>
      <c r="R406" s="100"/>
      <c r="S406" s="100" t="s">
        <v>305</v>
      </c>
      <c r="T406" s="100"/>
      <c r="U406" s="100"/>
      <c r="V406" s="100" t="s">
        <v>17</v>
      </c>
      <c r="W406" s="100" t="s">
        <v>305</v>
      </c>
      <c r="X406" s="100" t="s">
        <v>17</v>
      </c>
      <c r="Y406" s="100" t="s">
        <v>1119</v>
      </c>
      <c r="Z406" s="100" t="s">
        <v>1120</v>
      </c>
      <c r="AA406" s="100" t="s">
        <v>1121</v>
      </c>
    </row>
    <row r="407" spans="1:27" s="102" customFormat="1" ht="191.25" x14ac:dyDescent="0.2">
      <c r="A407" s="100" t="s">
        <v>867</v>
      </c>
      <c r="B407" s="100" t="s">
        <v>164</v>
      </c>
      <c r="C407" s="89" t="str">
        <f t="shared" si="7"/>
        <v>A.11.2.8 407</v>
      </c>
      <c r="D407" s="101" t="s">
        <v>601</v>
      </c>
      <c r="E407" s="100" t="s">
        <v>0</v>
      </c>
      <c r="F407" s="83" t="s">
        <v>1587</v>
      </c>
      <c r="G407" s="83" t="s">
        <v>1588</v>
      </c>
      <c r="H407" s="100" t="s">
        <v>756</v>
      </c>
      <c r="I407" s="100" t="s">
        <v>353</v>
      </c>
      <c r="J407" s="100"/>
      <c r="K407" s="100" t="s">
        <v>17</v>
      </c>
      <c r="L407" s="100" t="s">
        <v>17</v>
      </c>
      <c r="M407" s="100" t="s">
        <v>17</v>
      </c>
      <c r="N407" s="100" t="s">
        <v>17</v>
      </c>
      <c r="O407" s="100" t="s">
        <v>305</v>
      </c>
      <c r="P407" s="100" t="s">
        <v>305</v>
      </c>
      <c r="Q407" s="100" t="s">
        <v>17</v>
      </c>
      <c r="R407" s="100"/>
      <c r="S407" s="100" t="s">
        <v>305</v>
      </c>
      <c r="T407" s="100"/>
      <c r="U407" s="100"/>
      <c r="V407" s="100" t="s">
        <v>17</v>
      </c>
      <c r="W407" s="100" t="s">
        <v>305</v>
      </c>
      <c r="X407" s="100" t="s">
        <v>17</v>
      </c>
      <c r="Y407" s="100" t="s">
        <v>1122</v>
      </c>
      <c r="Z407" s="100" t="s">
        <v>1123</v>
      </c>
      <c r="AA407" s="100" t="s">
        <v>1124</v>
      </c>
    </row>
    <row r="408" spans="1:27" s="102" customFormat="1" ht="127.5" x14ac:dyDescent="0.2">
      <c r="A408" s="100" t="s">
        <v>867</v>
      </c>
      <c r="B408" s="100" t="s">
        <v>164</v>
      </c>
      <c r="C408" s="89" t="str">
        <f t="shared" si="7"/>
        <v>A.11.2.8 408</v>
      </c>
      <c r="D408" s="101" t="s">
        <v>602</v>
      </c>
      <c r="E408" s="100" t="s">
        <v>0</v>
      </c>
      <c r="F408" s="83" t="s">
        <v>1589</v>
      </c>
      <c r="G408" s="83" t="s">
        <v>1590</v>
      </c>
      <c r="H408" s="100" t="s">
        <v>757</v>
      </c>
      <c r="I408" s="100" t="s">
        <v>758</v>
      </c>
      <c r="J408" s="100"/>
      <c r="K408" s="100" t="s">
        <v>17</v>
      </c>
      <c r="L408" s="100" t="s">
        <v>17</v>
      </c>
      <c r="M408" s="100" t="s">
        <v>17</v>
      </c>
      <c r="N408" s="100" t="s">
        <v>17</v>
      </c>
      <c r="O408" s="100" t="s">
        <v>305</v>
      </c>
      <c r="P408" s="100" t="s">
        <v>305</v>
      </c>
      <c r="Q408" s="100" t="s">
        <v>17</v>
      </c>
      <c r="R408" s="100"/>
      <c r="S408" s="100" t="s">
        <v>305</v>
      </c>
      <c r="T408" s="100"/>
      <c r="U408" s="100"/>
      <c r="V408" s="100" t="s">
        <v>17</v>
      </c>
      <c r="W408" s="100" t="s">
        <v>305</v>
      </c>
      <c r="X408" s="100" t="s">
        <v>17</v>
      </c>
      <c r="Y408" s="100" t="s">
        <v>1125</v>
      </c>
      <c r="Z408" s="100" t="s">
        <v>1126</v>
      </c>
      <c r="AA408" s="100" t="s">
        <v>1127</v>
      </c>
    </row>
    <row r="409" spans="1:27" s="102" customFormat="1" ht="76.5" x14ac:dyDescent="0.2">
      <c r="A409" s="100" t="s">
        <v>867</v>
      </c>
      <c r="B409" s="100" t="s">
        <v>383</v>
      </c>
      <c r="C409" s="89" t="str">
        <f t="shared" si="7"/>
        <v>A.12.1 409</v>
      </c>
      <c r="D409" s="101" t="s">
        <v>612</v>
      </c>
      <c r="E409" s="100" t="s">
        <v>330</v>
      </c>
      <c r="F409" s="100" t="s">
        <v>405</v>
      </c>
      <c r="G409" s="100" t="s">
        <v>404</v>
      </c>
      <c r="H409" s="100"/>
      <c r="I409" s="100"/>
      <c r="J409" s="100"/>
      <c r="K409" s="100" t="s">
        <v>17</v>
      </c>
      <c r="L409" s="100" t="s">
        <v>17</v>
      </c>
      <c r="M409" s="100" t="s">
        <v>17</v>
      </c>
      <c r="N409" s="100" t="s">
        <v>17</v>
      </c>
      <c r="O409" s="100" t="s">
        <v>305</v>
      </c>
      <c r="P409" s="100" t="s">
        <v>305</v>
      </c>
      <c r="Q409" s="100"/>
      <c r="R409" s="100" t="s">
        <v>17</v>
      </c>
      <c r="S409" s="100" t="s">
        <v>17</v>
      </c>
      <c r="T409" s="100"/>
      <c r="U409" s="100"/>
      <c r="V409" s="100" t="s">
        <v>17</v>
      </c>
      <c r="W409" s="100" t="s">
        <v>305</v>
      </c>
      <c r="X409" s="100"/>
      <c r="Y409" s="100" t="s">
        <v>1128</v>
      </c>
      <c r="Z409" s="100" t="s">
        <v>1129</v>
      </c>
      <c r="AA409" s="100" t="s">
        <v>1130</v>
      </c>
    </row>
    <row r="410" spans="1:27" s="102" customFormat="1" ht="127.5" x14ac:dyDescent="0.2">
      <c r="A410" s="100" t="s">
        <v>867</v>
      </c>
      <c r="B410" s="100" t="s">
        <v>383</v>
      </c>
      <c r="C410" s="89" t="str">
        <f t="shared" si="7"/>
        <v>A.12.1 410</v>
      </c>
      <c r="D410" s="101" t="s">
        <v>602</v>
      </c>
      <c r="E410" s="100" t="s">
        <v>0</v>
      </c>
      <c r="F410" s="83" t="s">
        <v>1591</v>
      </c>
      <c r="G410" s="83" t="s">
        <v>1592</v>
      </c>
      <c r="H410" s="100" t="s">
        <v>759</v>
      </c>
      <c r="I410" s="100" t="s">
        <v>760</v>
      </c>
      <c r="J410" s="100"/>
      <c r="K410" s="100" t="s">
        <v>17</v>
      </c>
      <c r="L410" s="100" t="s">
        <v>17</v>
      </c>
      <c r="M410" s="100" t="s">
        <v>17</v>
      </c>
      <c r="N410" s="100" t="s">
        <v>17</v>
      </c>
      <c r="O410" s="100" t="s">
        <v>305</v>
      </c>
      <c r="P410" s="100" t="s">
        <v>305</v>
      </c>
      <c r="Q410" s="100"/>
      <c r="R410" s="100" t="s">
        <v>17</v>
      </c>
      <c r="S410" s="100" t="s">
        <v>17</v>
      </c>
      <c r="T410" s="100"/>
      <c r="U410" s="100"/>
      <c r="V410" s="100" t="s">
        <v>17</v>
      </c>
      <c r="W410" s="100" t="s">
        <v>305</v>
      </c>
      <c r="X410" s="100"/>
      <c r="Y410" s="100" t="s">
        <v>1131</v>
      </c>
      <c r="Z410" s="100" t="s">
        <v>1132</v>
      </c>
      <c r="AA410" s="100" t="s">
        <v>1133</v>
      </c>
    </row>
    <row r="411" spans="1:27" s="102" customFormat="1" ht="178.5" x14ac:dyDescent="0.2">
      <c r="A411" s="100" t="s">
        <v>867</v>
      </c>
      <c r="B411" s="100" t="s">
        <v>383</v>
      </c>
      <c r="C411" s="89" t="str">
        <f t="shared" si="7"/>
        <v>A.12.1 411</v>
      </c>
      <c r="D411" s="101" t="s">
        <v>603</v>
      </c>
      <c r="E411" s="100" t="s">
        <v>0</v>
      </c>
      <c r="F411" s="83" t="s">
        <v>1593</v>
      </c>
      <c r="G411" s="83" t="s">
        <v>1594</v>
      </c>
      <c r="H411" s="100" t="s">
        <v>1134</v>
      </c>
      <c r="I411" s="100" t="s">
        <v>761</v>
      </c>
      <c r="J411" s="100"/>
      <c r="K411" s="100" t="s">
        <v>17</v>
      </c>
      <c r="L411" s="100" t="s">
        <v>17</v>
      </c>
      <c r="M411" s="100" t="s">
        <v>17</v>
      </c>
      <c r="N411" s="100" t="s">
        <v>17</v>
      </c>
      <c r="O411" s="100" t="s">
        <v>305</v>
      </c>
      <c r="P411" s="100" t="s">
        <v>305</v>
      </c>
      <c r="Q411" s="100"/>
      <c r="R411" s="100" t="s">
        <v>17</v>
      </c>
      <c r="S411" s="100" t="s">
        <v>17</v>
      </c>
      <c r="T411" s="100"/>
      <c r="U411" s="100"/>
      <c r="V411" s="100" t="s">
        <v>17</v>
      </c>
      <c r="W411" s="100" t="s">
        <v>305</v>
      </c>
      <c r="X411" s="100"/>
      <c r="Y411" s="100" t="s">
        <v>1135</v>
      </c>
      <c r="Z411" s="100" t="s">
        <v>1136</v>
      </c>
      <c r="AA411" s="100" t="s">
        <v>1137</v>
      </c>
    </row>
    <row r="412" spans="1:27" s="102" customFormat="1" ht="63.75" x14ac:dyDescent="0.2">
      <c r="A412" s="100" t="s">
        <v>867</v>
      </c>
      <c r="B412" s="100" t="s">
        <v>383</v>
      </c>
      <c r="C412" s="89" t="str">
        <f t="shared" si="7"/>
        <v>A.12.1 412</v>
      </c>
      <c r="D412" s="101" t="s">
        <v>612</v>
      </c>
      <c r="E412" s="100" t="s">
        <v>330</v>
      </c>
      <c r="F412" s="100" t="s">
        <v>407</v>
      </c>
      <c r="G412" s="100" t="s">
        <v>406</v>
      </c>
      <c r="H412" s="100"/>
      <c r="I412" s="100"/>
      <c r="J412" s="100"/>
      <c r="K412" s="100" t="s">
        <v>17</v>
      </c>
      <c r="L412" s="100" t="s">
        <v>17</v>
      </c>
      <c r="M412" s="100" t="s">
        <v>17</v>
      </c>
      <c r="N412" s="100" t="s">
        <v>17</v>
      </c>
      <c r="O412" s="100" t="s">
        <v>305</v>
      </c>
      <c r="P412" s="100" t="s">
        <v>305</v>
      </c>
      <c r="Q412" s="100" t="s">
        <v>17</v>
      </c>
      <c r="R412" s="100"/>
      <c r="S412" s="100" t="s">
        <v>17</v>
      </c>
      <c r="T412" s="100"/>
      <c r="U412" s="100"/>
      <c r="V412" s="100" t="s">
        <v>17</v>
      </c>
      <c r="W412" s="100" t="s">
        <v>305</v>
      </c>
      <c r="X412" s="100"/>
      <c r="Y412" s="100" t="s">
        <v>1138</v>
      </c>
      <c r="Z412" s="100" t="s">
        <v>1139</v>
      </c>
      <c r="AA412" s="100" t="s">
        <v>1140</v>
      </c>
    </row>
    <row r="413" spans="1:27" s="102" customFormat="1" ht="216.75" x14ac:dyDescent="0.2">
      <c r="A413" s="100" t="s">
        <v>867</v>
      </c>
      <c r="B413" s="100" t="s">
        <v>383</v>
      </c>
      <c r="C413" s="89" t="str">
        <f t="shared" si="7"/>
        <v>A.12.1 413</v>
      </c>
      <c r="D413" s="101" t="s">
        <v>601</v>
      </c>
      <c r="E413" s="100" t="s">
        <v>0</v>
      </c>
      <c r="F413" s="112" t="s">
        <v>1753</v>
      </c>
      <c r="G413" s="112" t="s">
        <v>1754</v>
      </c>
      <c r="H413" s="100" t="s">
        <v>762</v>
      </c>
      <c r="I413" s="100" t="s">
        <v>354</v>
      </c>
      <c r="J413" s="100"/>
      <c r="K413" s="100" t="s">
        <v>17</v>
      </c>
      <c r="L413" s="100" t="s">
        <v>17</v>
      </c>
      <c r="M413" s="100" t="s">
        <v>17</v>
      </c>
      <c r="N413" s="100" t="s">
        <v>17</v>
      </c>
      <c r="O413" s="100" t="s">
        <v>305</v>
      </c>
      <c r="P413" s="100" t="s">
        <v>305</v>
      </c>
      <c r="Q413" s="100" t="s">
        <v>17</v>
      </c>
      <c r="R413" s="100"/>
      <c r="S413" s="100" t="s">
        <v>17</v>
      </c>
      <c r="T413" s="100"/>
      <c r="U413" s="100"/>
      <c r="V413" s="100" t="s">
        <v>17</v>
      </c>
      <c r="W413" s="100" t="s">
        <v>305</v>
      </c>
      <c r="X413" s="100"/>
      <c r="Y413" s="100" t="s">
        <v>1141</v>
      </c>
      <c r="Z413" s="100" t="s">
        <v>1142</v>
      </c>
      <c r="AA413" s="100" t="s">
        <v>1143</v>
      </c>
    </row>
    <row r="414" spans="1:27" s="102" customFormat="1" ht="114.75" x14ac:dyDescent="0.2">
      <c r="A414" s="100" t="s">
        <v>867</v>
      </c>
      <c r="B414" s="100" t="s">
        <v>383</v>
      </c>
      <c r="C414" s="89" t="str">
        <f t="shared" si="7"/>
        <v>A.12.1 414</v>
      </c>
      <c r="D414" s="101" t="s">
        <v>602</v>
      </c>
      <c r="E414" s="100" t="s">
        <v>0</v>
      </c>
      <c r="F414" s="83" t="s">
        <v>1595</v>
      </c>
      <c r="G414" s="83" t="s">
        <v>1596</v>
      </c>
      <c r="H414" s="100" t="s">
        <v>763</v>
      </c>
      <c r="I414" s="100" t="s">
        <v>355</v>
      </c>
      <c r="J414" s="100"/>
      <c r="K414" s="100" t="s">
        <v>17</v>
      </c>
      <c r="L414" s="100" t="s">
        <v>17</v>
      </c>
      <c r="M414" s="100" t="s">
        <v>17</v>
      </c>
      <c r="N414" s="100" t="s">
        <v>17</v>
      </c>
      <c r="O414" s="100" t="s">
        <v>305</v>
      </c>
      <c r="P414" s="100" t="s">
        <v>305</v>
      </c>
      <c r="Q414" s="100" t="s">
        <v>17</v>
      </c>
      <c r="R414" s="100"/>
      <c r="S414" s="100" t="s">
        <v>17</v>
      </c>
      <c r="T414" s="100"/>
      <c r="U414" s="100"/>
      <c r="V414" s="100" t="s">
        <v>17</v>
      </c>
      <c r="W414" s="100" t="s">
        <v>305</v>
      </c>
      <c r="X414" s="100"/>
      <c r="Y414" s="100" t="s">
        <v>1144</v>
      </c>
      <c r="Z414" s="100" t="s">
        <v>1145</v>
      </c>
      <c r="AA414" s="100" t="s">
        <v>1146</v>
      </c>
    </row>
    <row r="415" spans="1:27" s="102" customFormat="1" ht="114.75" x14ac:dyDescent="0.2">
      <c r="A415" s="100" t="s">
        <v>867</v>
      </c>
      <c r="B415" s="100" t="s">
        <v>383</v>
      </c>
      <c r="C415" s="89" t="str">
        <f t="shared" si="7"/>
        <v>A.12.1 415</v>
      </c>
      <c r="D415" s="101" t="s">
        <v>603</v>
      </c>
      <c r="E415" s="100" t="s">
        <v>0</v>
      </c>
      <c r="F415" s="83" t="s">
        <v>1593</v>
      </c>
      <c r="G415" s="83" t="s">
        <v>1594</v>
      </c>
      <c r="H415" s="100" t="s">
        <v>764</v>
      </c>
      <c r="I415" s="100" t="s">
        <v>765</v>
      </c>
      <c r="J415" s="100"/>
      <c r="K415" s="100" t="s">
        <v>17</v>
      </c>
      <c r="L415" s="100" t="s">
        <v>17</v>
      </c>
      <c r="M415" s="100" t="s">
        <v>17</v>
      </c>
      <c r="N415" s="100" t="s">
        <v>17</v>
      </c>
      <c r="O415" s="100" t="s">
        <v>305</v>
      </c>
      <c r="P415" s="100" t="s">
        <v>305</v>
      </c>
      <c r="Q415" s="100" t="s">
        <v>17</v>
      </c>
      <c r="R415" s="100"/>
      <c r="S415" s="100" t="s">
        <v>17</v>
      </c>
      <c r="T415" s="100"/>
      <c r="U415" s="100"/>
      <c r="V415" s="100" t="s">
        <v>17</v>
      </c>
      <c r="W415" s="100" t="s">
        <v>305</v>
      </c>
      <c r="X415" s="100"/>
      <c r="Y415" s="100" t="s">
        <v>1147</v>
      </c>
      <c r="Z415" s="100" t="s">
        <v>1136</v>
      </c>
      <c r="AA415" s="100" t="s">
        <v>1137</v>
      </c>
    </row>
    <row r="416" spans="1:27" s="102" customFormat="1" ht="114.75" x14ac:dyDescent="0.2">
      <c r="A416" s="100" t="s">
        <v>867</v>
      </c>
      <c r="B416" s="100" t="s">
        <v>383</v>
      </c>
      <c r="C416" s="89" t="str">
        <f t="shared" si="7"/>
        <v>A.12.1 416</v>
      </c>
      <c r="D416" s="101" t="s">
        <v>604</v>
      </c>
      <c r="E416" s="100" t="s">
        <v>0</v>
      </c>
      <c r="F416" s="83" t="s">
        <v>1597</v>
      </c>
      <c r="G416" s="83" t="s">
        <v>1598</v>
      </c>
      <c r="H416" s="100" t="s">
        <v>766</v>
      </c>
      <c r="I416" s="100" t="s">
        <v>767</v>
      </c>
      <c r="J416" s="100"/>
      <c r="K416" s="100" t="s">
        <v>17</v>
      </c>
      <c r="L416" s="100" t="s">
        <v>17</v>
      </c>
      <c r="M416" s="100" t="s">
        <v>17</v>
      </c>
      <c r="N416" s="100" t="s">
        <v>17</v>
      </c>
      <c r="O416" s="100" t="s">
        <v>305</v>
      </c>
      <c r="P416" s="100" t="s">
        <v>305</v>
      </c>
      <c r="Q416" s="100" t="s">
        <v>17</v>
      </c>
      <c r="R416" s="100"/>
      <c r="S416" s="100" t="s">
        <v>17</v>
      </c>
      <c r="T416" s="100"/>
      <c r="U416" s="100"/>
      <c r="V416" s="100" t="s">
        <v>17</v>
      </c>
      <c r="W416" s="100" t="s">
        <v>305</v>
      </c>
      <c r="X416" s="100"/>
      <c r="Y416" s="100" t="s">
        <v>1148</v>
      </c>
      <c r="Z416" s="100" t="s">
        <v>1149</v>
      </c>
      <c r="AA416" s="100" t="s">
        <v>1150</v>
      </c>
    </row>
    <row r="417" spans="1:27" s="102" customFormat="1" ht="76.5" x14ac:dyDescent="0.2">
      <c r="A417" s="100" t="s">
        <v>867</v>
      </c>
      <c r="B417" s="100" t="s">
        <v>383</v>
      </c>
      <c r="C417" s="89" t="str">
        <f t="shared" si="7"/>
        <v>A.12.1 417</v>
      </c>
      <c r="D417" s="101" t="s">
        <v>612</v>
      </c>
      <c r="E417" s="100" t="s">
        <v>330</v>
      </c>
      <c r="F417" s="100" t="s">
        <v>409</v>
      </c>
      <c r="G417" s="100" t="s">
        <v>408</v>
      </c>
      <c r="H417" s="100"/>
      <c r="I417" s="100"/>
      <c r="J417" s="100"/>
      <c r="K417" s="100" t="s">
        <v>17</v>
      </c>
      <c r="L417" s="100" t="s">
        <v>17</v>
      </c>
      <c r="M417" s="100" t="s">
        <v>17</v>
      </c>
      <c r="N417" s="100" t="s">
        <v>17</v>
      </c>
      <c r="O417" s="100" t="s">
        <v>305</v>
      </c>
      <c r="P417" s="100" t="s">
        <v>305</v>
      </c>
      <c r="Q417" s="100"/>
      <c r="R417" s="100"/>
      <c r="S417" s="100" t="s">
        <v>17</v>
      </c>
      <c r="T417" s="100" t="s">
        <v>17</v>
      </c>
      <c r="U417" s="100"/>
      <c r="V417" s="100" t="s">
        <v>17</v>
      </c>
      <c r="W417" s="100" t="s">
        <v>305</v>
      </c>
      <c r="X417" s="100"/>
      <c r="Y417" s="100" t="s">
        <v>1151</v>
      </c>
      <c r="Z417" s="100" t="s">
        <v>1152</v>
      </c>
      <c r="AA417" s="100" t="s">
        <v>1153</v>
      </c>
    </row>
    <row r="418" spans="1:27" s="102" customFormat="1" ht="89.25" x14ac:dyDescent="0.2">
      <c r="A418" s="100" t="s">
        <v>867</v>
      </c>
      <c r="B418" s="100" t="s">
        <v>383</v>
      </c>
      <c r="C418" s="89" t="str">
        <f t="shared" si="7"/>
        <v>A.12.1 418</v>
      </c>
      <c r="D418" s="101" t="s">
        <v>601</v>
      </c>
      <c r="E418" s="100" t="s">
        <v>0</v>
      </c>
      <c r="F418" s="83" t="s">
        <v>1599</v>
      </c>
      <c r="G418" s="83" t="s">
        <v>1594</v>
      </c>
      <c r="H418" s="100" t="s">
        <v>768</v>
      </c>
      <c r="I418" s="100" t="s">
        <v>356</v>
      </c>
      <c r="J418" s="100"/>
      <c r="K418" s="100" t="s">
        <v>17</v>
      </c>
      <c r="L418" s="100" t="s">
        <v>17</v>
      </c>
      <c r="M418" s="100" t="s">
        <v>17</v>
      </c>
      <c r="N418" s="100" t="s">
        <v>17</v>
      </c>
      <c r="O418" s="100" t="s">
        <v>305</v>
      </c>
      <c r="P418" s="100" t="s">
        <v>305</v>
      </c>
      <c r="Q418" s="100"/>
      <c r="R418" s="100"/>
      <c r="S418" s="100" t="s">
        <v>17</v>
      </c>
      <c r="T418" s="100" t="s">
        <v>17</v>
      </c>
      <c r="U418" s="100"/>
      <c r="V418" s="100" t="s">
        <v>17</v>
      </c>
      <c r="W418" s="100" t="s">
        <v>305</v>
      </c>
      <c r="X418" s="100"/>
      <c r="Y418" s="100" t="s">
        <v>1154</v>
      </c>
      <c r="Z418" s="100" t="s">
        <v>1136</v>
      </c>
      <c r="AA418" s="100" t="s">
        <v>1155</v>
      </c>
    </row>
    <row r="419" spans="1:27" s="102" customFormat="1" ht="280.5" x14ac:dyDescent="0.2">
      <c r="A419" s="100" t="s">
        <v>867</v>
      </c>
      <c r="B419" s="100" t="s">
        <v>383</v>
      </c>
      <c r="C419" s="89" t="str">
        <f t="shared" si="7"/>
        <v>A.12.1 419</v>
      </c>
      <c r="D419" s="101" t="s">
        <v>602</v>
      </c>
      <c r="E419" s="100" t="s">
        <v>0</v>
      </c>
      <c r="F419" s="83" t="s">
        <v>1600</v>
      </c>
      <c r="G419" s="83" t="s">
        <v>1601</v>
      </c>
      <c r="H419" s="100" t="s">
        <v>769</v>
      </c>
      <c r="I419" s="100" t="s">
        <v>357</v>
      </c>
      <c r="J419" s="100"/>
      <c r="K419" s="100" t="s">
        <v>17</v>
      </c>
      <c r="L419" s="100" t="s">
        <v>17</v>
      </c>
      <c r="M419" s="100" t="s">
        <v>17</v>
      </c>
      <c r="N419" s="100" t="s">
        <v>17</v>
      </c>
      <c r="O419" s="100" t="s">
        <v>305</v>
      </c>
      <c r="P419" s="100" t="s">
        <v>305</v>
      </c>
      <c r="Q419" s="100"/>
      <c r="R419" s="100"/>
      <c r="S419" s="100" t="s">
        <v>17</v>
      </c>
      <c r="T419" s="100" t="s">
        <v>17</v>
      </c>
      <c r="U419" s="100"/>
      <c r="V419" s="100" t="s">
        <v>17</v>
      </c>
      <c r="W419" s="100" t="s">
        <v>305</v>
      </c>
      <c r="X419" s="100"/>
      <c r="Y419" s="100" t="s">
        <v>1156</v>
      </c>
      <c r="Z419" s="100" t="s">
        <v>1157</v>
      </c>
      <c r="AA419" s="100" t="s">
        <v>1158</v>
      </c>
    </row>
    <row r="420" spans="1:27" s="102" customFormat="1" ht="293.25" x14ac:dyDescent="0.2">
      <c r="A420" s="100" t="s">
        <v>867</v>
      </c>
      <c r="B420" s="100" t="s">
        <v>383</v>
      </c>
      <c r="C420" s="89" t="str">
        <f t="shared" si="7"/>
        <v>A.12.1 420</v>
      </c>
      <c r="D420" s="101" t="s">
        <v>603</v>
      </c>
      <c r="E420" s="100" t="s">
        <v>0</v>
      </c>
      <c r="F420" s="83" t="s">
        <v>1602</v>
      </c>
      <c r="G420" s="83" t="s">
        <v>1603</v>
      </c>
      <c r="H420" s="100" t="s">
        <v>770</v>
      </c>
      <c r="I420" s="100" t="s">
        <v>358</v>
      </c>
      <c r="J420" s="100"/>
      <c r="K420" s="100" t="s">
        <v>17</v>
      </c>
      <c r="L420" s="100" t="s">
        <v>17</v>
      </c>
      <c r="M420" s="100" t="s">
        <v>17</v>
      </c>
      <c r="N420" s="100" t="s">
        <v>17</v>
      </c>
      <c r="O420" s="100" t="s">
        <v>305</v>
      </c>
      <c r="P420" s="100" t="s">
        <v>305</v>
      </c>
      <c r="Q420" s="100"/>
      <c r="R420" s="100"/>
      <c r="S420" s="100" t="s">
        <v>17</v>
      </c>
      <c r="T420" s="100" t="s">
        <v>17</v>
      </c>
      <c r="U420" s="100"/>
      <c r="V420" s="100" t="s">
        <v>17</v>
      </c>
      <c r="W420" s="100" t="s">
        <v>305</v>
      </c>
      <c r="X420" s="100"/>
      <c r="Y420" s="100" t="s">
        <v>1159</v>
      </c>
      <c r="Z420" s="100" t="s">
        <v>1160</v>
      </c>
      <c r="AA420" s="100" t="s">
        <v>1161</v>
      </c>
    </row>
    <row r="421" spans="1:27" s="102" customFormat="1" ht="114.75" x14ac:dyDescent="0.2">
      <c r="A421" s="100" t="s">
        <v>867</v>
      </c>
      <c r="B421" s="100" t="s">
        <v>383</v>
      </c>
      <c r="C421" s="89" t="str">
        <f t="shared" si="7"/>
        <v>A.12.1 421</v>
      </c>
      <c r="D421" s="101" t="s">
        <v>604</v>
      </c>
      <c r="E421" s="100" t="s">
        <v>0</v>
      </c>
      <c r="F421" s="83" t="s">
        <v>1604</v>
      </c>
      <c r="G421" s="83" t="s">
        <v>1605</v>
      </c>
      <c r="H421" s="100" t="s">
        <v>771</v>
      </c>
      <c r="I421" s="100" t="s">
        <v>772</v>
      </c>
      <c r="J421" s="100"/>
      <c r="K421" s="100" t="s">
        <v>17</v>
      </c>
      <c r="L421" s="100" t="s">
        <v>17</v>
      </c>
      <c r="M421" s="100" t="s">
        <v>17</v>
      </c>
      <c r="N421" s="100" t="s">
        <v>17</v>
      </c>
      <c r="O421" s="100" t="s">
        <v>305</v>
      </c>
      <c r="P421" s="100" t="s">
        <v>305</v>
      </c>
      <c r="Q421" s="100"/>
      <c r="R421" s="100"/>
      <c r="S421" s="100" t="s">
        <v>17</v>
      </c>
      <c r="T421" s="100" t="s">
        <v>17</v>
      </c>
      <c r="U421" s="100"/>
      <c r="V421" s="100" t="s">
        <v>17</v>
      </c>
      <c r="W421" s="100" t="s">
        <v>305</v>
      </c>
      <c r="X421" s="100"/>
      <c r="Y421" s="100" t="s">
        <v>1162</v>
      </c>
      <c r="Z421" s="100" t="s">
        <v>1163</v>
      </c>
      <c r="AA421" s="100" t="s">
        <v>1164</v>
      </c>
    </row>
    <row r="422" spans="1:27" s="102" customFormat="1" ht="165.75" x14ac:dyDescent="0.2">
      <c r="A422" s="100" t="s">
        <v>867</v>
      </c>
      <c r="B422" s="100" t="s">
        <v>383</v>
      </c>
      <c r="C422" s="89" t="str">
        <f t="shared" si="7"/>
        <v>A.12.1 422</v>
      </c>
      <c r="D422" s="101" t="s">
        <v>605</v>
      </c>
      <c r="E422" s="100" t="s">
        <v>0</v>
      </c>
      <c r="F422" s="83" t="s">
        <v>1606</v>
      </c>
      <c r="G422" s="83" t="s">
        <v>1607</v>
      </c>
      <c r="H422" s="100" t="s">
        <v>773</v>
      </c>
      <c r="I422" s="100" t="s">
        <v>774</v>
      </c>
      <c r="J422" s="100"/>
      <c r="K422" s="100" t="s">
        <v>17</v>
      </c>
      <c r="L422" s="100" t="s">
        <v>17</v>
      </c>
      <c r="M422" s="100" t="s">
        <v>17</v>
      </c>
      <c r="N422" s="100" t="s">
        <v>17</v>
      </c>
      <c r="O422" s="100" t="s">
        <v>305</v>
      </c>
      <c r="P422" s="100" t="s">
        <v>305</v>
      </c>
      <c r="Q422" s="100"/>
      <c r="R422" s="100"/>
      <c r="S422" s="100" t="s">
        <v>17</v>
      </c>
      <c r="T422" s="100" t="s">
        <v>17</v>
      </c>
      <c r="U422" s="100"/>
      <c r="V422" s="100" t="s">
        <v>17</v>
      </c>
      <c r="W422" s="100" t="s">
        <v>305</v>
      </c>
      <c r="X422" s="100"/>
      <c r="Y422" s="100" t="s">
        <v>1165</v>
      </c>
      <c r="Z422" s="100" t="s">
        <v>1166</v>
      </c>
      <c r="AA422" s="100" t="s">
        <v>1167</v>
      </c>
    </row>
    <row r="423" spans="1:27" s="102" customFormat="1" ht="38.25" x14ac:dyDescent="0.2">
      <c r="A423" s="100" t="s">
        <v>867</v>
      </c>
      <c r="B423" s="100" t="s">
        <v>383</v>
      </c>
      <c r="C423" s="89" t="str">
        <f t="shared" si="7"/>
        <v>A.12.1 423</v>
      </c>
      <c r="D423" s="101" t="s">
        <v>612</v>
      </c>
      <c r="E423" s="100" t="s">
        <v>330</v>
      </c>
      <c r="F423" s="100" t="s">
        <v>405</v>
      </c>
      <c r="G423" s="100" t="s">
        <v>404</v>
      </c>
      <c r="H423" s="100"/>
      <c r="I423" s="100"/>
      <c r="J423" s="100"/>
      <c r="K423" s="100" t="s">
        <v>17</v>
      </c>
      <c r="L423" s="100" t="s">
        <v>17</v>
      </c>
      <c r="M423" s="100" t="s">
        <v>17</v>
      </c>
      <c r="N423" s="100" t="s">
        <v>17</v>
      </c>
      <c r="O423" s="100" t="s">
        <v>305</v>
      </c>
      <c r="P423" s="100" t="s">
        <v>305</v>
      </c>
      <c r="Q423" s="100" t="s">
        <v>17</v>
      </c>
      <c r="R423" s="100"/>
      <c r="S423" s="100" t="s">
        <v>17</v>
      </c>
      <c r="T423" s="100"/>
      <c r="U423" s="100"/>
      <c r="V423" s="100" t="s">
        <v>305</v>
      </c>
      <c r="W423" s="100" t="s">
        <v>305</v>
      </c>
      <c r="X423" s="100"/>
      <c r="Y423" s="100" t="s">
        <v>1168</v>
      </c>
      <c r="Z423" s="100" t="s">
        <v>1132</v>
      </c>
      <c r="AA423" s="100" t="s">
        <v>1169</v>
      </c>
    </row>
    <row r="424" spans="1:27" s="102" customFormat="1" ht="153" x14ac:dyDescent="0.2">
      <c r="A424" s="100" t="s">
        <v>867</v>
      </c>
      <c r="B424" s="100" t="s">
        <v>383</v>
      </c>
      <c r="C424" s="89" t="str">
        <f t="shared" si="7"/>
        <v>A.12.1 424</v>
      </c>
      <c r="D424" s="101" t="s">
        <v>602</v>
      </c>
      <c r="E424" s="100" t="s">
        <v>0</v>
      </c>
      <c r="F424" s="83" t="s">
        <v>1608</v>
      </c>
      <c r="G424" s="83" t="s">
        <v>1609</v>
      </c>
      <c r="H424" s="100" t="s">
        <v>775</v>
      </c>
      <c r="I424" s="100" t="s">
        <v>776</v>
      </c>
      <c r="J424" s="100"/>
      <c r="K424" s="100" t="s">
        <v>17</v>
      </c>
      <c r="L424" s="100" t="s">
        <v>17</v>
      </c>
      <c r="M424" s="100" t="s">
        <v>17</v>
      </c>
      <c r="N424" s="100" t="s">
        <v>17</v>
      </c>
      <c r="O424" s="100" t="s">
        <v>305</v>
      </c>
      <c r="P424" s="100" t="s">
        <v>305</v>
      </c>
      <c r="Q424" s="100" t="s">
        <v>17</v>
      </c>
      <c r="R424" s="100"/>
      <c r="S424" s="100" t="s">
        <v>17</v>
      </c>
      <c r="T424" s="100"/>
      <c r="U424" s="100"/>
      <c r="V424" s="100" t="s">
        <v>17</v>
      </c>
      <c r="W424" s="100" t="s">
        <v>305</v>
      </c>
      <c r="X424" s="100"/>
      <c r="Y424" s="100" t="s">
        <v>1170</v>
      </c>
      <c r="Z424" s="100" t="s">
        <v>1171</v>
      </c>
      <c r="AA424" s="100" t="s">
        <v>1172</v>
      </c>
    </row>
    <row r="425" spans="1:27" s="102" customFormat="1" ht="165.75" x14ac:dyDescent="0.2">
      <c r="A425" s="100" t="s">
        <v>867</v>
      </c>
      <c r="B425" s="100" t="s">
        <v>383</v>
      </c>
      <c r="C425" s="89" t="str">
        <f t="shared" si="7"/>
        <v>A.12.1 425</v>
      </c>
      <c r="D425" s="101" t="s">
        <v>603</v>
      </c>
      <c r="E425" s="100" t="s">
        <v>0</v>
      </c>
      <c r="F425" s="83" t="s">
        <v>1610</v>
      </c>
      <c r="G425" s="83" t="s">
        <v>1611</v>
      </c>
      <c r="H425" s="100" t="s">
        <v>777</v>
      </c>
      <c r="I425" s="100" t="s">
        <v>778</v>
      </c>
      <c r="J425" s="100"/>
      <c r="K425" s="100" t="s">
        <v>17</v>
      </c>
      <c r="L425" s="100" t="s">
        <v>17</v>
      </c>
      <c r="M425" s="100" t="s">
        <v>17</v>
      </c>
      <c r="N425" s="100" t="s">
        <v>17</v>
      </c>
      <c r="O425" s="100" t="s">
        <v>305</v>
      </c>
      <c r="P425" s="100" t="s">
        <v>305</v>
      </c>
      <c r="Q425" s="100" t="s">
        <v>17</v>
      </c>
      <c r="R425" s="100"/>
      <c r="S425" s="100" t="s">
        <v>17</v>
      </c>
      <c r="T425" s="100"/>
      <c r="U425" s="100"/>
      <c r="V425" s="100" t="s">
        <v>17</v>
      </c>
      <c r="W425" s="100" t="s">
        <v>305</v>
      </c>
      <c r="X425" s="100"/>
      <c r="Y425" s="100" t="s">
        <v>1173</v>
      </c>
      <c r="Z425" s="100" t="s">
        <v>1174</v>
      </c>
      <c r="AA425" s="100" t="s">
        <v>1175</v>
      </c>
    </row>
    <row r="426" spans="1:27" s="102" customFormat="1" ht="102" x14ac:dyDescent="0.2">
      <c r="A426" s="100" t="s">
        <v>867</v>
      </c>
      <c r="B426" s="100" t="s">
        <v>383</v>
      </c>
      <c r="C426" s="89" t="str">
        <f t="shared" si="7"/>
        <v>A.12.1 426</v>
      </c>
      <c r="D426" s="101" t="s">
        <v>612</v>
      </c>
      <c r="E426" s="100" t="s">
        <v>330</v>
      </c>
      <c r="F426" s="100" t="s">
        <v>405</v>
      </c>
      <c r="G426" s="100" t="s">
        <v>404</v>
      </c>
      <c r="H426" s="100"/>
      <c r="I426" s="100"/>
      <c r="J426" s="100"/>
      <c r="K426" s="100" t="s">
        <v>17</v>
      </c>
      <c r="L426" s="100" t="s">
        <v>17</v>
      </c>
      <c r="M426" s="100" t="s">
        <v>17</v>
      </c>
      <c r="N426" s="100" t="s">
        <v>17</v>
      </c>
      <c r="O426" s="100" t="s">
        <v>305</v>
      </c>
      <c r="P426" s="100" t="s">
        <v>305</v>
      </c>
      <c r="Q426" s="100"/>
      <c r="R426" s="100"/>
      <c r="S426" s="100" t="s">
        <v>17</v>
      </c>
      <c r="T426" s="100"/>
      <c r="U426" s="100"/>
      <c r="V426" s="125" t="s">
        <v>17</v>
      </c>
      <c r="W426" s="100" t="s">
        <v>305</v>
      </c>
      <c r="X426" s="100" t="s">
        <v>17</v>
      </c>
      <c r="Y426" s="100" t="s">
        <v>1176</v>
      </c>
      <c r="Z426" s="100" t="s">
        <v>1177</v>
      </c>
      <c r="AA426" s="100" t="s">
        <v>1178</v>
      </c>
    </row>
    <row r="427" spans="1:27" s="102" customFormat="1" ht="127.5" x14ac:dyDescent="0.2">
      <c r="A427" s="100" t="s">
        <v>867</v>
      </c>
      <c r="B427" s="100" t="s">
        <v>383</v>
      </c>
      <c r="C427" s="89" t="str">
        <f t="shared" si="7"/>
        <v>A.12.1 427</v>
      </c>
      <c r="D427" s="101" t="s">
        <v>601</v>
      </c>
      <c r="E427" s="100" t="s">
        <v>0</v>
      </c>
      <c r="F427" s="83" t="s">
        <v>1612</v>
      </c>
      <c r="G427" s="83" t="s">
        <v>1613</v>
      </c>
      <c r="H427" s="100" t="s">
        <v>1179</v>
      </c>
      <c r="I427" s="100" t="s">
        <v>1180</v>
      </c>
      <c r="J427" s="100"/>
      <c r="K427" s="100" t="s">
        <v>17</v>
      </c>
      <c r="L427" s="100" t="s">
        <v>17</v>
      </c>
      <c r="M427" s="100" t="s">
        <v>17</v>
      </c>
      <c r="N427" s="100" t="s">
        <v>17</v>
      </c>
      <c r="O427" s="100" t="s">
        <v>305</v>
      </c>
      <c r="P427" s="100" t="s">
        <v>305</v>
      </c>
      <c r="Q427" s="100"/>
      <c r="R427" s="100"/>
      <c r="S427" s="100" t="s">
        <v>17</v>
      </c>
      <c r="T427" s="100"/>
      <c r="U427" s="100"/>
      <c r="V427" s="100" t="s">
        <v>17</v>
      </c>
      <c r="W427" s="100" t="s">
        <v>305</v>
      </c>
      <c r="X427" s="100" t="s">
        <v>17</v>
      </c>
      <c r="Y427" s="100" t="s">
        <v>1181</v>
      </c>
      <c r="Z427" s="100" t="s">
        <v>1182</v>
      </c>
      <c r="AA427" s="100" t="s">
        <v>1183</v>
      </c>
    </row>
    <row r="428" spans="1:27" s="102" customFormat="1" ht="127.5" x14ac:dyDescent="0.2">
      <c r="A428" s="100" t="s">
        <v>867</v>
      </c>
      <c r="B428" s="100" t="s">
        <v>383</v>
      </c>
      <c r="C428" s="89" t="str">
        <f t="shared" si="7"/>
        <v>A.12.1 428</v>
      </c>
      <c r="D428" s="101" t="s">
        <v>602</v>
      </c>
      <c r="E428" s="100" t="s">
        <v>0</v>
      </c>
      <c r="F428" s="83" t="s">
        <v>1591</v>
      </c>
      <c r="G428" s="83" t="s">
        <v>1592</v>
      </c>
      <c r="H428" s="100" t="s">
        <v>759</v>
      </c>
      <c r="I428" s="100" t="s">
        <v>760</v>
      </c>
      <c r="J428" s="100"/>
      <c r="K428" s="100" t="s">
        <v>17</v>
      </c>
      <c r="L428" s="100" t="s">
        <v>17</v>
      </c>
      <c r="M428" s="100" t="s">
        <v>17</v>
      </c>
      <c r="N428" s="100" t="s">
        <v>17</v>
      </c>
      <c r="O428" s="100" t="s">
        <v>305</v>
      </c>
      <c r="P428" s="100" t="s">
        <v>305</v>
      </c>
      <c r="Q428" s="100"/>
      <c r="R428" s="100"/>
      <c r="S428" s="100" t="s">
        <v>17</v>
      </c>
      <c r="T428" s="100"/>
      <c r="U428" s="100"/>
      <c r="V428" s="100" t="s">
        <v>17</v>
      </c>
      <c r="W428" s="100" t="s">
        <v>305</v>
      </c>
      <c r="X428" s="100" t="s">
        <v>17</v>
      </c>
      <c r="Y428" s="100" t="s">
        <v>1184</v>
      </c>
      <c r="Z428" s="100" t="s">
        <v>1132</v>
      </c>
      <c r="AA428" s="100" t="s">
        <v>1133</v>
      </c>
    </row>
    <row r="429" spans="1:27" s="102" customFormat="1" ht="178.5" x14ac:dyDescent="0.2">
      <c r="A429" s="100" t="s">
        <v>867</v>
      </c>
      <c r="B429" s="100" t="s">
        <v>383</v>
      </c>
      <c r="C429" s="89" t="str">
        <f t="shared" si="7"/>
        <v>A.12.1 429</v>
      </c>
      <c r="D429" s="101" t="s">
        <v>603</v>
      </c>
      <c r="E429" s="100" t="s">
        <v>0</v>
      </c>
      <c r="F429" s="83" t="s">
        <v>1614</v>
      </c>
      <c r="G429" s="83" t="s">
        <v>1615</v>
      </c>
      <c r="H429" s="100" t="s">
        <v>1134</v>
      </c>
      <c r="I429" s="100" t="s">
        <v>761</v>
      </c>
      <c r="J429" s="100"/>
      <c r="K429" s="100" t="s">
        <v>17</v>
      </c>
      <c r="L429" s="100" t="s">
        <v>17</v>
      </c>
      <c r="M429" s="100" t="s">
        <v>17</v>
      </c>
      <c r="N429" s="100" t="s">
        <v>17</v>
      </c>
      <c r="O429" s="100" t="s">
        <v>305</v>
      </c>
      <c r="P429" s="100" t="s">
        <v>305</v>
      </c>
      <c r="Q429" s="100"/>
      <c r="R429" s="100"/>
      <c r="S429" s="100" t="s">
        <v>17</v>
      </c>
      <c r="T429" s="100"/>
      <c r="U429" s="100"/>
      <c r="V429" s="100" t="s">
        <v>17</v>
      </c>
      <c r="W429" s="100" t="s">
        <v>305</v>
      </c>
      <c r="X429" s="100" t="s">
        <v>17</v>
      </c>
      <c r="Y429" s="100" t="s">
        <v>1185</v>
      </c>
      <c r="Z429" s="100" t="s">
        <v>1136</v>
      </c>
      <c r="AA429" s="100" t="s">
        <v>1137</v>
      </c>
    </row>
    <row r="430" spans="1:27" s="102" customFormat="1" ht="395.25" x14ac:dyDescent="0.2">
      <c r="A430" s="100" t="s">
        <v>867</v>
      </c>
      <c r="B430" s="100" t="s">
        <v>383</v>
      </c>
      <c r="C430" s="89" t="str">
        <f t="shared" si="7"/>
        <v>A.12.1 430</v>
      </c>
      <c r="D430" s="101" t="s">
        <v>604</v>
      </c>
      <c r="E430" s="100" t="s">
        <v>0</v>
      </c>
      <c r="F430" s="83" t="s">
        <v>1616</v>
      </c>
      <c r="G430" s="83" t="s">
        <v>1617</v>
      </c>
      <c r="H430" s="100" t="s">
        <v>1186</v>
      </c>
      <c r="I430" s="100" t="s">
        <v>1187</v>
      </c>
      <c r="J430" s="100"/>
      <c r="K430" s="100" t="s">
        <v>17</v>
      </c>
      <c r="L430" s="100" t="s">
        <v>17</v>
      </c>
      <c r="M430" s="100" t="s">
        <v>17</v>
      </c>
      <c r="N430" s="100" t="s">
        <v>17</v>
      </c>
      <c r="O430" s="100" t="s">
        <v>305</v>
      </c>
      <c r="P430" s="100" t="s">
        <v>305</v>
      </c>
      <c r="Q430" s="100"/>
      <c r="R430" s="100"/>
      <c r="S430" s="100" t="s">
        <v>17</v>
      </c>
      <c r="T430" s="100"/>
      <c r="U430" s="100"/>
      <c r="V430" s="100" t="s">
        <v>17</v>
      </c>
      <c r="W430" s="100" t="s">
        <v>305</v>
      </c>
      <c r="X430" s="100" t="s">
        <v>17</v>
      </c>
      <c r="Y430" s="100" t="s">
        <v>1188</v>
      </c>
      <c r="Z430" s="100" t="s">
        <v>1189</v>
      </c>
      <c r="AA430" s="100" t="s">
        <v>1190</v>
      </c>
    </row>
    <row r="431" spans="1:27" s="102" customFormat="1" ht="306" x14ac:dyDescent="0.2">
      <c r="A431" s="100" t="s">
        <v>867</v>
      </c>
      <c r="B431" s="100" t="s">
        <v>383</v>
      </c>
      <c r="C431" s="89" t="str">
        <f t="shared" si="7"/>
        <v>A.12.1 431</v>
      </c>
      <c r="D431" s="101" t="s">
        <v>605</v>
      </c>
      <c r="E431" s="100" t="s">
        <v>0</v>
      </c>
      <c r="F431" s="83" t="s">
        <v>1618</v>
      </c>
      <c r="G431" s="83" t="s">
        <v>1619</v>
      </c>
      <c r="H431" s="100" t="s">
        <v>1191</v>
      </c>
      <c r="I431" s="100" t="s">
        <v>1192</v>
      </c>
      <c r="J431" s="100"/>
      <c r="K431" s="100" t="s">
        <v>17</v>
      </c>
      <c r="L431" s="100" t="s">
        <v>17</v>
      </c>
      <c r="M431" s="100" t="s">
        <v>17</v>
      </c>
      <c r="N431" s="100" t="s">
        <v>17</v>
      </c>
      <c r="O431" s="100" t="s">
        <v>305</v>
      </c>
      <c r="P431" s="100" t="s">
        <v>305</v>
      </c>
      <c r="Q431" s="100"/>
      <c r="R431" s="100"/>
      <c r="S431" s="100" t="s">
        <v>17</v>
      </c>
      <c r="T431" s="100"/>
      <c r="U431" s="100"/>
      <c r="V431" s="100" t="s">
        <v>17</v>
      </c>
      <c r="W431" s="100" t="s">
        <v>305</v>
      </c>
      <c r="X431" s="100" t="s">
        <v>17</v>
      </c>
      <c r="Y431" s="100" t="s">
        <v>1193</v>
      </c>
      <c r="Z431" s="100" t="s">
        <v>1194</v>
      </c>
      <c r="AA431" s="100" t="s">
        <v>1195</v>
      </c>
    </row>
    <row r="432" spans="1:27" s="102" customFormat="1" ht="38.25" x14ac:dyDescent="0.2">
      <c r="A432" s="100" t="s">
        <v>867</v>
      </c>
      <c r="B432" s="100" t="s">
        <v>176</v>
      </c>
      <c r="C432" s="89" t="str">
        <f t="shared" si="7"/>
        <v>A.12.2.1 432</v>
      </c>
      <c r="D432" s="101" t="s">
        <v>612</v>
      </c>
      <c r="E432" s="100" t="s">
        <v>330</v>
      </c>
      <c r="F432" s="100" t="s">
        <v>411</v>
      </c>
      <c r="G432" s="100" t="s">
        <v>410</v>
      </c>
      <c r="H432" s="100"/>
      <c r="I432" s="100"/>
      <c r="J432" s="100"/>
      <c r="K432" s="100" t="s">
        <v>17</v>
      </c>
      <c r="L432" s="100" t="s">
        <v>17</v>
      </c>
      <c r="M432" s="100" t="s">
        <v>17</v>
      </c>
      <c r="N432" s="100" t="s">
        <v>17</v>
      </c>
      <c r="O432" s="100" t="s">
        <v>305</v>
      </c>
      <c r="P432" s="100" t="s">
        <v>305</v>
      </c>
      <c r="Q432" s="100" t="s">
        <v>17</v>
      </c>
      <c r="R432" s="100" t="s">
        <v>17</v>
      </c>
      <c r="S432" s="100" t="s">
        <v>17</v>
      </c>
      <c r="T432" s="100"/>
      <c r="U432" s="100"/>
      <c r="V432" s="100" t="s">
        <v>305</v>
      </c>
      <c r="W432" s="100" t="s">
        <v>305</v>
      </c>
      <c r="X432" s="100" t="s">
        <v>17</v>
      </c>
      <c r="Y432" s="100" t="s">
        <v>1196</v>
      </c>
      <c r="Z432" s="100" t="s">
        <v>1197</v>
      </c>
      <c r="AA432" s="100" t="s">
        <v>1198</v>
      </c>
    </row>
    <row r="433" spans="1:27" s="102" customFormat="1" ht="242.25" x14ac:dyDescent="0.2">
      <c r="A433" s="100" t="s">
        <v>867</v>
      </c>
      <c r="B433" s="100" t="s">
        <v>176</v>
      </c>
      <c r="C433" s="89" t="str">
        <f t="shared" si="7"/>
        <v>A.12.2.1 433</v>
      </c>
      <c r="D433" s="101" t="s">
        <v>601</v>
      </c>
      <c r="E433" s="100" t="s">
        <v>0</v>
      </c>
      <c r="F433" s="112" t="s">
        <v>1755</v>
      </c>
      <c r="G433" s="112" t="s">
        <v>1756</v>
      </c>
      <c r="H433" s="100" t="s">
        <v>779</v>
      </c>
      <c r="I433" s="100" t="s">
        <v>780</v>
      </c>
      <c r="J433" s="100"/>
      <c r="K433" s="100" t="s">
        <v>17</v>
      </c>
      <c r="L433" s="100" t="s">
        <v>17</v>
      </c>
      <c r="M433" s="100" t="s">
        <v>17</v>
      </c>
      <c r="N433" s="100" t="s">
        <v>17</v>
      </c>
      <c r="O433" s="100" t="s">
        <v>305</v>
      </c>
      <c r="P433" s="100" t="s">
        <v>305</v>
      </c>
      <c r="Q433" s="100" t="s">
        <v>17</v>
      </c>
      <c r="R433" s="100" t="s">
        <v>17</v>
      </c>
      <c r="S433" s="100" t="s">
        <v>17</v>
      </c>
      <c r="T433" s="100"/>
      <c r="U433" s="100"/>
      <c r="V433" s="100" t="s">
        <v>17</v>
      </c>
      <c r="W433" s="100" t="s">
        <v>305</v>
      </c>
      <c r="X433" s="100" t="s">
        <v>17</v>
      </c>
      <c r="Y433" s="100" t="s">
        <v>1199</v>
      </c>
      <c r="Z433" s="100" t="s">
        <v>1200</v>
      </c>
      <c r="AA433" s="100" t="s">
        <v>1201</v>
      </c>
    </row>
    <row r="434" spans="1:27" s="102" customFormat="1" ht="204" x14ac:dyDescent="0.2">
      <c r="A434" s="100" t="s">
        <v>867</v>
      </c>
      <c r="B434" s="100" t="s">
        <v>176</v>
      </c>
      <c r="C434" s="89" t="str">
        <f t="shared" si="7"/>
        <v>A.12.2.1 434</v>
      </c>
      <c r="D434" s="101" t="s">
        <v>602</v>
      </c>
      <c r="E434" s="100" t="s">
        <v>0</v>
      </c>
      <c r="F434" s="83" t="s">
        <v>1620</v>
      </c>
      <c r="G434" s="83" t="s">
        <v>1621</v>
      </c>
      <c r="H434" s="100" t="s">
        <v>781</v>
      </c>
      <c r="I434" s="100" t="s">
        <v>782</v>
      </c>
      <c r="J434" s="100"/>
      <c r="K434" s="100" t="s">
        <v>17</v>
      </c>
      <c r="L434" s="100" t="s">
        <v>17</v>
      </c>
      <c r="M434" s="100" t="s">
        <v>17</v>
      </c>
      <c r="N434" s="100" t="s">
        <v>17</v>
      </c>
      <c r="O434" s="100" t="s">
        <v>305</v>
      </c>
      <c r="P434" s="100" t="s">
        <v>305</v>
      </c>
      <c r="Q434" s="100" t="s">
        <v>17</v>
      </c>
      <c r="R434" s="100" t="s">
        <v>17</v>
      </c>
      <c r="S434" s="100" t="s">
        <v>17</v>
      </c>
      <c r="T434" s="100"/>
      <c r="U434" s="100"/>
      <c r="V434" s="100" t="s">
        <v>17</v>
      </c>
      <c r="W434" s="100" t="s">
        <v>305</v>
      </c>
      <c r="X434" s="100" t="s">
        <v>17</v>
      </c>
      <c r="Y434" s="100" t="s">
        <v>1202</v>
      </c>
      <c r="Z434" s="100" t="s">
        <v>1203</v>
      </c>
      <c r="AA434" s="100" t="s">
        <v>1204</v>
      </c>
    </row>
    <row r="435" spans="1:27" s="102" customFormat="1" ht="140.25" x14ac:dyDescent="0.2">
      <c r="A435" s="100" t="s">
        <v>867</v>
      </c>
      <c r="B435" s="100" t="s">
        <v>176</v>
      </c>
      <c r="C435" s="89" t="str">
        <f t="shared" si="7"/>
        <v>A.12.2.1 435</v>
      </c>
      <c r="D435" s="101" t="s">
        <v>603</v>
      </c>
      <c r="E435" s="100" t="s">
        <v>0</v>
      </c>
      <c r="F435" s="83" t="s">
        <v>1622</v>
      </c>
      <c r="G435" s="83" t="s">
        <v>1623</v>
      </c>
      <c r="H435" s="100" t="s">
        <v>783</v>
      </c>
      <c r="I435" s="100" t="s">
        <v>784</v>
      </c>
      <c r="J435" s="100"/>
      <c r="K435" s="100" t="s">
        <v>17</v>
      </c>
      <c r="L435" s="100" t="s">
        <v>17</v>
      </c>
      <c r="M435" s="100" t="s">
        <v>17</v>
      </c>
      <c r="N435" s="100" t="s">
        <v>17</v>
      </c>
      <c r="O435" s="100" t="s">
        <v>305</v>
      </c>
      <c r="P435" s="100" t="s">
        <v>305</v>
      </c>
      <c r="Q435" s="100" t="s">
        <v>17</v>
      </c>
      <c r="R435" s="100" t="s">
        <v>17</v>
      </c>
      <c r="S435" s="100" t="s">
        <v>17</v>
      </c>
      <c r="T435" s="100"/>
      <c r="U435" s="100"/>
      <c r="V435" s="100" t="s">
        <v>17</v>
      </c>
      <c r="W435" s="100" t="s">
        <v>305</v>
      </c>
      <c r="X435" s="100" t="s">
        <v>17</v>
      </c>
      <c r="Y435" s="100" t="s">
        <v>1205</v>
      </c>
      <c r="Z435" s="100" t="s">
        <v>1206</v>
      </c>
      <c r="AA435" s="100" t="s">
        <v>1207</v>
      </c>
    </row>
    <row r="436" spans="1:27" s="102" customFormat="1" ht="165.75" x14ac:dyDescent="0.2">
      <c r="A436" s="100" t="s">
        <v>867</v>
      </c>
      <c r="B436" s="100" t="s">
        <v>176</v>
      </c>
      <c r="C436" s="89" t="str">
        <f t="shared" si="7"/>
        <v>A.12.2.1 436</v>
      </c>
      <c r="D436" s="101" t="s">
        <v>604</v>
      </c>
      <c r="E436" s="100" t="s">
        <v>0</v>
      </c>
      <c r="F436" s="83" t="s">
        <v>1624</v>
      </c>
      <c r="G436" s="83" t="s">
        <v>1625</v>
      </c>
      <c r="H436" s="100" t="s">
        <v>785</v>
      </c>
      <c r="I436" s="100" t="s">
        <v>786</v>
      </c>
      <c r="J436" s="100"/>
      <c r="K436" s="100" t="s">
        <v>17</v>
      </c>
      <c r="L436" s="100" t="s">
        <v>17</v>
      </c>
      <c r="M436" s="100" t="s">
        <v>17</v>
      </c>
      <c r="N436" s="100" t="s">
        <v>17</v>
      </c>
      <c r="O436" s="100" t="s">
        <v>305</v>
      </c>
      <c r="P436" s="100" t="s">
        <v>305</v>
      </c>
      <c r="Q436" s="100" t="s">
        <v>17</v>
      </c>
      <c r="R436" s="100" t="s">
        <v>17</v>
      </c>
      <c r="S436" s="100" t="s">
        <v>17</v>
      </c>
      <c r="T436" s="100"/>
      <c r="U436" s="100"/>
      <c r="V436" s="100" t="s">
        <v>17</v>
      </c>
      <c r="W436" s="100" t="s">
        <v>305</v>
      </c>
      <c r="X436" s="100" t="s">
        <v>17</v>
      </c>
      <c r="Y436" s="100" t="s">
        <v>1208</v>
      </c>
      <c r="Z436" s="100" t="s">
        <v>1209</v>
      </c>
      <c r="AA436" s="100" t="s">
        <v>1210</v>
      </c>
    </row>
    <row r="437" spans="1:27" s="102" customFormat="1" ht="165.75" x14ac:dyDescent="0.2">
      <c r="A437" s="100" t="s">
        <v>867</v>
      </c>
      <c r="B437" s="100" t="s">
        <v>176</v>
      </c>
      <c r="C437" s="89" t="str">
        <f t="shared" si="7"/>
        <v>A.12.2.1 437</v>
      </c>
      <c r="D437" s="101" t="s">
        <v>605</v>
      </c>
      <c r="E437" s="100" t="s">
        <v>0</v>
      </c>
      <c r="F437" s="83" t="s">
        <v>1626</v>
      </c>
      <c r="G437" s="83" t="s">
        <v>1627</v>
      </c>
      <c r="H437" s="100" t="s">
        <v>787</v>
      </c>
      <c r="I437" s="100" t="s">
        <v>788</v>
      </c>
      <c r="J437" s="100"/>
      <c r="K437" s="100" t="s">
        <v>17</v>
      </c>
      <c r="L437" s="100" t="s">
        <v>17</v>
      </c>
      <c r="M437" s="100" t="s">
        <v>17</v>
      </c>
      <c r="N437" s="100" t="s">
        <v>17</v>
      </c>
      <c r="O437" s="100" t="s">
        <v>305</v>
      </c>
      <c r="P437" s="100" t="s">
        <v>305</v>
      </c>
      <c r="Q437" s="100" t="s">
        <v>17</v>
      </c>
      <c r="R437" s="100" t="s">
        <v>17</v>
      </c>
      <c r="S437" s="100" t="s">
        <v>17</v>
      </c>
      <c r="T437" s="100"/>
      <c r="U437" s="100"/>
      <c r="V437" s="100" t="s">
        <v>17</v>
      </c>
      <c r="W437" s="100" t="s">
        <v>305</v>
      </c>
      <c r="X437" s="100" t="s">
        <v>17</v>
      </c>
      <c r="Y437" s="100" t="s">
        <v>1211</v>
      </c>
      <c r="Z437" s="100" t="s">
        <v>1212</v>
      </c>
      <c r="AA437" s="100" t="s">
        <v>1213</v>
      </c>
    </row>
    <row r="438" spans="1:27" s="102" customFormat="1" ht="114.75" x14ac:dyDescent="0.2">
      <c r="A438" s="100" t="s">
        <v>867</v>
      </c>
      <c r="B438" s="100" t="s">
        <v>176</v>
      </c>
      <c r="C438" s="89" t="str">
        <f t="shared" si="7"/>
        <v>A.12.2.1 438</v>
      </c>
      <c r="D438" s="101" t="s">
        <v>606</v>
      </c>
      <c r="E438" s="100" t="s">
        <v>0</v>
      </c>
      <c r="F438" s="83" t="s">
        <v>1628</v>
      </c>
      <c r="G438" s="83" t="s">
        <v>1629</v>
      </c>
      <c r="H438" s="100" t="s">
        <v>789</v>
      </c>
      <c r="I438" s="100" t="s">
        <v>790</v>
      </c>
      <c r="J438" s="100"/>
      <c r="K438" s="100" t="s">
        <v>17</v>
      </c>
      <c r="L438" s="100" t="s">
        <v>17</v>
      </c>
      <c r="M438" s="100" t="s">
        <v>17</v>
      </c>
      <c r="N438" s="100" t="s">
        <v>17</v>
      </c>
      <c r="O438" s="100" t="s">
        <v>305</v>
      </c>
      <c r="P438" s="100" t="s">
        <v>305</v>
      </c>
      <c r="Q438" s="100" t="s">
        <v>17</v>
      </c>
      <c r="R438" s="100" t="s">
        <v>17</v>
      </c>
      <c r="S438" s="100" t="s">
        <v>17</v>
      </c>
      <c r="T438" s="100"/>
      <c r="U438" s="100"/>
      <c r="V438" s="100" t="s">
        <v>17</v>
      </c>
      <c r="W438" s="100" t="s">
        <v>305</v>
      </c>
      <c r="X438" s="100" t="s">
        <v>17</v>
      </c>
      <c r="Y438" s="100" t="s">
        <v>1214</v>
      </c>
      <c r="Z438" s="100" t="s">
        <v>1215</v>
      </c>
      <c r="AA438" s="100" t="s">
        <v>1216</v>
      </c>
    </row>
    <row r="439" spans="1:27" s="102" customFormat="1" ht="165.75" x14ac:dyDescent="0.2">
      <c r="A439" s="100" t="s">
        <v>867</v>
      </c>
      <c r="B439" s="100" t="s">
        <v>176</v>
      </c>
      <c r="C439" s="89" t="str">
        <f t="shared" si="7"/>
        <v>A.12.2.1 439</v>
      </c>
      <c r="D439" s="101" t="s">
        <v>608</v>
      </c>
      <c r="E439" s="100" t="s">
        <v>0</v>
      </c>
      <c r="F439" s="83" t="s">
        <v>1630</v>
      </c>
      <c r="G439" s="83" t="s">
        <v>1631</v>
      </c>
      <c r="H439" s="100" t="s">
        <v>791</v>
      </c>
      <c r="I439" s="100" t="s">
        <v>792</v>
      </c>
      <c r="J439" s="100"/>
      <c r="K439" s="100" t="s">
        <v>17</v>
      </c>
      <c r="L439" s="100" t="s">
        <v>17</v>
      </c>
      <c r="M439" s="100" t="s">
        <v>17</v>
      </c>
      <c r="N439" s="100" t="s">
        <v>17</v>
      </c>
      <c r="O439" s="100" t="s">
        <v>305</v>
      </c>
      <c r="P439" s="100" t="s">
        <v>305</v>
      </c>
      <c r="Q439" s="100" t="s">
        <v>17</v>
      </c>
      <c r="R439" s="100" t="s">
        <v>17</v>
      </c>
      <c r="S439" s="100" t="s">
        <v>17</v>
      </c>
      <c r="T439" s="100"/>
      <c r="U439" s="100"/>
      <c r="V439" s="100" t="s">
        <v>17</v>
      </c>
      <c r="W439" s="100" t="s">
        <v>305</v>
      </c>
      <c r="X439" s="100" t="s">
        <v>17</v>
      </c>
      <c r="Y439" s="100" t="s">
        <v>1217</v>
      </c>
      <c r="Z439" s="100" t="s">
        <v>1218</v>
      </c>
      <c r="AA439" s="100" t="s">
        <v>1219</v>
      </c>
    </row>
    <row r="440" spans="1:27" s="102" customFormat="1" ht="178.5" x14ac:dyDescent="0.2">
      <c r="A440" s="100" t="s">
        <v>867</v>
      </c>
      <c r="B440" s="100" t="s">
        <v>176</v>
      </c>
      <c r="C440" s="89" t="str">
        <f t="shared" si="7"/>
        <v>A.12.2.1 440</v>
      </c>
      <c r="D440" s="101" t="s">
        <v>609</v>
      </c>
      <c r="E440" s="100" t="s">
        <v>0</v>
      </c>
      <c r="F440" s="83" t="s">
        <v>1632</v>
      </c>
      <c r="G440" s="83" t="s">
        <v>1633</v>
      </c>
      <c r="H440" s="100" t="s">
        <v>1220</v>
      </c>
      <c r="I440" s="100" t="s">
        <v>793</v>
      </c>
      <c r="J440" s="100"/>
      <c r="K440" s="100" t="s">
        <v>17</v>
      </c>
      <c r="L440" s="100" t="s">
        <v>17</v>
      </c>
      <c r="M440" s="100" t="s">
        <v>17</v>
      </c>
      <c r="N440" s="100" t="s">
        <v>17</v>
      </c>
      <c r="O440" s="100" t="s">
        <v>305</v>
      </c>
      <c r="P440" s="100" t="s">
        <v>305</v>
      </c>
      <c r="Q440" s="100" t="s">
        <v>17</v>
      </c>
      <c r="R440" s="100" t="s">
        <v>17</v>
      </c>
      <c r="S440" s="100" t="s">
        <v>17</v>
      </c>
      <c r="T440" s="100"/>
      <c r="U440" s="100"/>
      <c r="V440" s="100" t="s">
        <v>17</v>
      </c>
      <c r="W440" s="100" t="s">
        <v>305</v>
      </c>
      <c r="X440" s="100" t="s">
        <v>17</v>
      </c>
      <c r="Y440" s="100" t="s">
        <v>1221</v>
      </c>
      <c r="Z440" s="100" t="s">
        <v>1222</v>
      </c>
      <c r="AA440" s="100" t="s">
        <v>1223</v>
      </c>
    </row>
    <row r="441" spans="1:27" s="102" customFormat="1" ht="38.25" x14ac:dyDescent="0.2">
      <c r="A441" s="100" t="s">
        <v>867</v>
      </c>
      <c r="B441" s="100" t="s">
        <v>185</v>
      </c>
      <c r="C441" s="89" t="str">
        <f t="shared" si="7"/>
        <v>A.12.4.1 441</v>
      </c>
      <c r="D441" s="101" t="s">
        <v>612</v>
      </c>
      <c r="E441" s="100" t="s">
        <v>330</v>
      </c>
      <c r="F441" s="100" t="s">
        <v>413</v>
      </c>
      <c r="G441" s="100" t="s">
        <v>412</v>
      </c>
      <c r="H441" s="100"/>
      <c r="I441" s="100"/>
      <c r="J441" s="100"/>
      <c r="K441" s="100" t="s">
        <v>17</v>
      </c>
      <c r="L441" s="100" t="s">
        <v>17</v>
      </c>
      <c r="M441" s="100" t="s">
        <v>17</v>
      </c>
      <c r="N441" s="100" t="s">
        <v>17</v>
      </c>
      <c r="O441" s="100" t="s">
        <v>305</v>
      </c>
      <c r="P441" s="100" t="s">
        <v>305</v>
      </c>
      <c r="Q441" s="100" t="s">
        <v>17</v>
      </c>
      <c r="R441" s="100"/>
      <c r="S441" s="100" t="s">
        <v>17</v>
      </c>
      <c r="T441" s="100" t="s">
        <v>17</v>
      </c>
      <c r="U441" s="100"/>
      <c r="V441" s="100" t="s">
        <v>17</v>
      </c>
      <c r="W441" s="100" t="s">
        <v>305</v>
      </c>
      <c r="X441" s="100" t="s">
        <v>17</v>
      </c>
      <c r="Y441" s="100" t="s">
        <v>1224</v>
      </c>
      <c r="Z441" s="100" t="s">
        <v>1225</v>
      </c>
      <c r="AA441" s="100" t="s">
        <v>1226</v>
      </c>
    </row>
    <row r="442" spans="1:27" s="102" customFormat="1" ht="204" x14ac:dyDescent="0.2">
      <c r="A442" s="100" t="s">
        <v>867</v>
      </c>
      <c r="B442" s="100" t="s">
        <v>185</v>
      </c>
      <c r="C442" s="89" t="str">
        <f t="shared" si="7"/>
        <v>A.12.4.1 442</v>
      </c>
      <c r="D442" s="101" t="s">
        <v>601</v>
      </c>
      <c r="E442" s="100" t="s">
        <v>0</v>
      </c>
      <c r="F442" s="83" t="s">
        <v>1634</v>
      </c>
      <c r="G442" s="83" t="s">
        <v>1635</v>
      </c>
      <c r="H442" s="100" t="s">
        <v>794</v>
      </c>
      <c r="I442" s="100" t="s">
        <v>795</v>
      </c>
      <c r="J442" s="100"/>
      <c r="K442" s="100" t="s">
        <v>17</v>
      </c>
      <c r="L442" s="100" t="s">
        <v>17</v>
      </c>
      <c r="M442" s="100" t="s">
        <v>17</v>
      </c>
      <c r="N442" s="100" t="s">
        <v>17</v>
      </c>
      <c r="O442" s="100" t="s">
        <v>305</v>
      </c>
      <c r="P442" s="100" t="s">
        <v>305</v>
      </c>
      <c r="Q442" s="100" t="s">
        <v>17</v>
      </c>
      <c r="R442" s="100"/>
      <c r="S442" s="100" t="s">
        <v>17</v>
      </c>
      <c r="T442" s="100" t="s">
        <v>17</v>
      </c>
      <c r="U442" s="100"/>
      <c r="V442" s="100" t="s">
        <v>17</v>
      </c>
      <c r="W442" s="100" t="s">
        <v>305</v>
      </c>
      <c r="X442" s="100" t="s">
        <v>17</v>
      </c>
      <c r="Y442" s="100" t="s">
        <v>1227</v>
      </c>
      <c r="Z442" s="100" t="s">
        <v>1228</v>
      </c>
      <c r="AA442" s="100" t="s">
        <v>1229</v>
      </c>
    </row>
    <row r="443" spans="1:27" s="102" customFormat="1" ht="140.25" x14ac:dyDescent="0.2">
      <c r="A443" s="100" t="s">
        <v>867</v>
      </c>
      <c r="B443" s="100" t="s">
        <v>185</v>
      </c>
      <c r="C443" s="89" t="str">
        <f t="shared" si="7"/>
        <v>A.12.4.1 443</v>
      </c>
      <c r="D443" s="101" t="s">
        <v>602</v>
      </c>
      <c r="E443" s="100" t="s">
        <v>0</v>
      </c>
      <c r="F443" s="83" t="s">
        <v>1636</v>
      </c>
      <c r="G443" s="83" t="s">
        <v>1637</v>
      </c>
      <c r="H443" s="100" t="s">
        <v>1230</v>
      </c>
      <c r="I443" s="100" t="s">
        <v>1231</v>
      </c>
      <c r="J443" s="100"/>
      <c r="K443" s="100" t="s">
        <v>17</v>
      </c>
      <c r="L443" s="100" t="s">
        <v>17</v>
      </c>
      <c r="M443" s="100" t="s">
        <v>17</v>
      </c>
      <c r="N443" s="100" t="s">
        <v>17</v>
      </c>
      <c r="O443" s="100" t="s">
        <v>305</v>
      </c>
      <c r="P443" s="100" t="s">
        <v>305</v>
      </c>
      <c r="Q443" s="100"/>
      <c r="R443" s="100"/>
      <c r="S443" s="100" t="s">
        <v>17</v>
      </c>
      <c r="T443" s="100"/>
      <c r="U443" s="100"/>
      <c r="V443" s="100" t="s">
        <v>17</v>
      </c>
      <c r="W443" s="100" t="s">
        <v>305</v>
      </c>
      <c r="X443" s="100" t="s">
        <v>17</v>
      </c>
      <c r="Y443" s="100" t="s">
        <v>1232</v>
      </c>
      <c r="Z443" s="100" t="s">
        <v>1233</v>
      </c>
      <c r="AA443" s="100" t="s">
        <v>1234</v>
      </c>
    </row>
    <row r="444" spans="1:27" s="102" customFormat="1" ht="242.25" x14ac:dyDescent="0.2">
      <c r="A444" s="100" t="s">
        <v>867</v>
      </c>
      <c r="B444" s="100" t="s">
        <v>185</v>
      </c>
      <c r="C444" s="89" t="str">
        <f t="shared" si="7"/>
        <v>A.12.4.1 444</v>
      </c>
      <c r="D444" s="101" t="s">
        <v>603</v>
      </c>
      <c r="E444" s="100" t="s">
        <v>0</v>
      </c>
      <c r="F444" s="83" t="s">
        <v>1638</v>
      </c>
      <c r="G444" s="83" t="s">
        <v>1639</v>
      </c>
      <c r="H444" s="100" t="s">
        <v>796</v>
      </c>
      <c r="I444" s="100" t="s">
        <v>797</v>
      </c>
      <c r="J444" s="100"/>
      <c r="K444" s="100" t="s">
        <v>17</v>
      </c>
      <c r="L444" s="100" t="s">
        <v>17</v>
      </c>
      <c r="M444" s="100" t="s">
        <v>17</v>
      </c>
      <c r="N444" s="100" t="s">
        <v>17</v>
      </c>
      <c r="O444" s="100" t="s">
        <v>305</v>
      </c>
      <c r="P444" s="100" t="s">
        <v>305</v>
      </c>
      <c r="Q444" s="100" t="s">
        <v>17</v>
      </c>
      <c r="R444" s="100"/>
      <c r="S444" s="100" t="s">
        <v>17</v>
      </c>
      <c r="T444" s="100" t="s">
        <v>17</v>
      </c>
      <c r="U444" s="100"/>
      <c r="V444" s="100" t="s">
        <v>17</v>
      </c>
      <c r="W444" s="100" t="s">
        <v>305</v>
      </c>
      <c r="X444" s="100" t="s">
        <v>17</v>
      </c>
      <c r="Y444" s="100" t="s">
        <v>1235</v>
      </c>
      <c r="Z444" s="100" t="s">
        <v>1236</v>
      </c>
      <c r="AA444" s="100" t="s">
        <v>1237</v>
      </c>
    </row>
    <row r="445" spans="1:27" s="102" customFormat="1" ht="216.75" x14ac:dyDescent="0.2">
      <c r="A445" s="100" t="s">
        <v>867</v>
      </c>
      <c r="B445" s="100" t="s">
        <v>185</v>
      </c>
      <c r="C445" s="89" t="str">
        <f t="shared" si="7"/>
        <v>A.12.4.1 445</v>
      </c>
      <c r="D445" s="101" t="s">
        <v>604</v>
      </c>
      <c r="E445" s="100" t="s">
        <v>0</v>
      </c>
      <c r="F445" s="83" t="s">
        <v>1640</v>
      </c>
      <c r="G445" s="83" t="s">
        <v>1641</v>
      </c>
      <c r="H445" s="100" t="s">
        <v>798</v>
      </c>
      <c r="I445" s="100" t="s">
        <v>799</v>
      </c>
      <c r="J445" s="100"/>
      <c r="K445" s="100" t="s">
        <v>17</v>
      </c>
      <c r="L445" s="100" t="s">
        <v>17</v>
      </c>
      <c r="M445" s="100" t="s">
        <v>17</v>
      </c>
      <c r="N445" s="100" t="s">
        <v>17</v>
      </c>
      <c r="O445" s="100" t="s">
        <v>305</v>
      </c>
      <c r="P445" s="100" t="s">
        <v>305</v>
      </c>
      <c r="Q445" s="100" t="s">
        <v>17</v>
      </c>
      <c r="R445" s="100"/>
      <c r="S445" s="100" t="s">
        <v>17</v>
      </c>
      <c r="T445" s="100" t="s">
        <v>17</v>
      </c>
      <c r="U445" s="100"/>
      <c r="V445" s="100" t="s">
        <v>17</v>
      </c>
      <c r="W445" s="100" t="s">
        <v>305</v>
      </c>
      <c r="X445" s="100" t="s">
        <v>17</v>
      </c>
      <c r="Y445" s="100" t="s">
        <v>1238</v>
      </c>
      <c r="Z445" s="100" t="s">
        <v>1239</v>
      </c>
      <c r="AA445" s="100" t="s">
        <v>1240</v>
      </c>
    </row>
    <row r="446" spans="1:27" s="102" customFormat="1" ht="153" x14ac:dyDescent="0.2">
      <c r="A446" s="100" t="s">
        <v>867</v>
      </c>
      <c r="B446" s="100" t="s">
        <v>185</v>
      </c>
      <c r="C446" s="89" t="str">
        <f t="shared" si="7"/>
        <v>A.12.4.1 446</v>
      </c>
      <c r="D446" s="101" t="s">
        <v>605</v>
      </c>
      <c r="E446" s="100" t="s">
        <v>0</v>
      </c>
      <c r="F446" s="112" t="s">
        <v>1757</v>
      </c>
      <c r="G446" s="112" t="s">
        <v>1758</v>
      </c>
      <c r="H446" s="100" t="s">
        <v>800</v>
      </c>
      <c r="I446" s="100" t="s">
        <v>801</v>
      </c>
      <c r="J446" s="100"/>
      <c r="K446" s="100" t="s">
        <v>17</v>
      </c>
      <c r="L446" s="100" t="s">
        <v>17</v>
      </c>
      <c r="M446" s="100" t="s">
        <v>17</v>
      </c>
      <c r="N446" s="100" t="s">
        <v>17</v>
      </c>
      <c r="O446" s="100" t="s">
        <v>305</v>
      </c>
      <c r="P446" s="100" t="s">
        <v>305</v>
      </c>
      <c r="Q446" s="100" t="s">
        <v>17</v>
      </c>
      <c r="R446" s="100"/>
      <c r="S446" s="100" t="s">
        <v>17</v>
      </c>
      <c r="T446" s="100" t="s">
        <v>17</v>
      </c>
      <c r="U446" s="100"/>
      <c r="V446" s="100" t="s">
        <v>17</v>
      </c>
      <c r="W446" s="100" t="s">
        <v>305</v>
      </c>
      <c r="X446" s="100" t="s">
        <v>17</v>
      </c>
      <c r="Y446" s="100" t="s">
        <v>1241</v>
      </c>
      <c r="Z446" s="100" t="s">
        <v>1242</v>
      </c>
      <c r="AA446" s="100" t="s">
        <v>1243</v>
      </c>
    </row>
    <row r="447" spans="1:27" s="102" customFormat="1" ht="127.5" x14ac:dyDescent="0.2">
      <c r="A447" s="100" t="s">
        <v>867</v>
      </c>
      <c r="B447" s="100" t="s">
        <v>185</v>
      </c>
      <c r="C447" s="89" t="str">
        <f t="shared" si="7"/>
        <v>A.12.4.1 447</v>
      </c>
      <c r="D447" s="101" t="s">
        <v>606</v>
      </c>
      <c r="E447" s="100" t="s">
        <v>0</v>
      </c>
      <c r="F447" s="83" t="s">
        <v>1642</v>
      </c>
      <c r="G447" s="83" t="s">
        <v>1643</v>
      </c>
      <c r="H447" s="100" t="s">
        <v>802</v>
      </c>
      <c r="I447" s="100" t="s">
        <v>803</v>
      </c>
      <c r="J447" s="100"/>
      <c r="K447" s="100" t="s">
        <v>17</v>
      </c>
      <c r="L447" s="100" t="s">
        <v>17</v>
      </c>
      <c r="M447" s="100" t="s">
        <v>17</v>
      </c>
      <c r="N447" s="100" t="s">
        <v>17</v>
      </c>
      <c r="O447" s="100" t="s">
        <v>305</v>
      </c>
      <c r="P447" s="100" t="s">
        <v>305</v>
      </c>
      <c r="Q447" s="100" t="s">
        <v>17</v>
      </c>
      <c r="R447" s="100"/>
      <c r="S447" s="100" t="s">
        <v>17</v>
      </c>
      <c r="T447" s="100" t="s">
        <v>17</v>
      </c>
      <c r="U447" s="100"/>
      <c r="V447" s="100" t="s">
        <v>17</v>
      </c>
      <c r="W447" s="100" t="s">
        <v>305</v>
      </c>
      <c r="X447" s="100" t="s">
        <v>17</v>
      </c>
      <c r="Y447" s="100" t="s">
        <v>1244</v>
      </c>
      <c r="Z447" s="100" t="s">
        <v>1245</v>
      </c>
      <c r="AA447" s="100" t="s">
        <v>1246</v>
      </c>
    </row>
    <row r="448" spans="1:27" s="102" customFormat="1" ht="229.5" x14ac:dyDescent="0.2">
      <c r="A448" s="100" t="s">
        <v>867</v>
      </c>
      <c r="B448" s="100" t="s">
        <v>185</v>
      </c>
      <c r="C448" s="89" t="str">
        <f t="shared" si="7"/>
        <v>A.12.4.1 448</v>
      </c>
      <c r="D448" s="101" t="s">
        <v>608</v>
      </c>
      <c r="E448" s="100" t="s">
        <v>0</v>
      </c>
      <c r="F448" s="83" t="s">
        <v>1644</v>
      </c>
      <c r="G448" s="83" t="s">
        <v>1645</v>
      </c>
      <c r="H448" s="100" t="s">
        <v>804</v>
      </c>
      <c r="I448" s="100" t="s">
        <v>805</v>
      </c>
      <c r="J448" s="100"/>
      <c r="K448" s="100" t="s">
        <v>17</v>
      </c>
      <c r="L448" s="100" t="s">
        <v>17</v>
      </c>
      <c r="M448" s="100" t="s">
        <v>17</v>
      </c>
      <c r="N448" s="100" t="s">
        <v>17</v>
      </c>
      <c r="O448" s="100" t="s">
        <v>305</v>
      </c>
      <c r="P448" s="100" t="s">
        <v>305</v>
      </c>
      <c r="Q448" s="100" t="s">
        <v>17</v>
      </c>
      <c r="R448" s="100"/>
      <c r="S448" s="100" t="s">
        <v>17</v>
      </c>
      <c r="T448" s="100" t="s">
        <v>17</v>
      </c>
      <c r="U448" s="100"/>
      <c r="V448" s="100" t="s">
        <v>17</v>
      </c>
      <c r="W448" s="100" t="s">
        <v>305</v>
      </c>
      <c r="X448" s="100" t="s">
        <v>17</v>
      </c>
      <c r="Y448" s="100" t="s">
        <v>1247</v>
      </c>
      <c r="Z448" s="100" t="s">
        <v>1248</v>
      </c>
      <c r="AA448" s="100" t="s">
        <v>1249</v>
      </c>
    </row>
    <row r="449" spans="1:27" s="102" customFormat="1" ht="204" x14ac:dyDescent="0.2">
      <c r="A449" s="100" t="s">
        <v>867</v>
      </c>
      <c r="B449" s="100" t="s">
        <v>185</v>
      </c>
      <c r="C449" s="89" t="str">
        <f t="shared" ref="C449:C510" si="8">CONCATENATE(B449," ",TEXT(ROW(B449),"000"))</f>
        <v>A.12.4.1 449</v>
      </c>
      <c r="D449" s="101" t="s">
        <v>609</v>
      </c>
      <c r="E449" s="100" t="s">
        <v>0</v>
      </c>
      <c r="F449" s="112" t="s">
        <v>1759</v>
      </c>
      <c r="G449" s="112" t="s">
        <v>1760</v>
      </c>
      <c r="H449" s="100" t="s">
        <v>806</v>
      </c>
      <c r="I449" s="100" t="s">
        <v>807</v>
      </c>
      <c r="J449" s="100"/>
      <c r="K449" s="100" t="s">
        <v>17</v>
      </c>
      <c r="L449" s="100" t="s">
        <v>17</v>
      </c>
      <c r="M449" s="100" t="s">
        <v>17</v>
      </c>
      <c r="N449" s="100" t="s">
        <v>17</v>
      </c>
      <c r="O449" s="100" t="s">
        <v>305</v>
      </c>
      <c r="P449" s="100" t="s">
        <v>305</v>
      </c>
      <c r="Q449" s="100" t="s">
        <v>17</v>
      </c>
      <c r="R449" s="100"/>
      <c r="S449" s="100" t="s">
        <v>17</v>
      </c>
      <c r="T449" s="100" t="s">
        <v>17</v>
      </c>
      <c r="U449" s="100"/>
      <c r="V449" s="100" t="s">
        <v>17</v>
      </c>
      <c r="W449" s="100" t="s">
        <v>305</v>
      </c>
      <c r="X449" s="100" t="s">
        <v>17</v>
      </c>
      <c r="Y449" s="100" t="s">
        <v>1250</v>
      </c>
      <c r="Z449" s="100" t="s">
        <v>1251</v>
      </c>
      <c r="AA449" s="100" t="s">
        <v>1252</v>
      </c>
    </row>
    <row r="450" spans="1:27" s="102" customFormat="1" ht="127.5" x14ac:dyDescent="0.2">
      <c r="A450" s="100" t="s">
        <v>867</v>
      </c>
      <c r="B450" s="100" t="s">
        <v>185</v>
      </c>
      <c r="C450" s="89" t="str">
        <f t="shared" si="8"/>
        <v>A.12.4.1 450</v>
      </c>
      <c r="D450" s="101" t="s">
        <v>610</v>
      </c>
      <c r="E450" s="100" t="s">
        <v>0</v>
      </c>
      <c r="F450" s="83" t="s">
        <v>1646</v>
      </c>
      <c r="G450" s="83" t="s">
        <v>1647</v>
      </c>
      <c r="H450" s="100" t="s">
        <v>808</v>
      </c>
      <c r="I450" s="100" t="s">
        <v>359</v>
      </c>
      <c r="J450" s="100"/>
      <c r="K450" s="100" t="s">
        <v>17</v>
      </c>
      <c r="L450" s="100" t="s">
        <v>17</v>
      </c>
      <c r="M450" s="100" t="s">
        <v>17</v>
      </c>
      <c r="N450" s="100" t="s">
        <v>17</v>
      </c>
      <c r="O450" s="100" t="s">
        <v>305</v>
      </c>
      <c r="P450" s="100" t="s">
        <v>305</v>
      </c>
      <c r="Q450" s="100" t="s">
        <v>17</v>
      </c>
      <c r="R450" s="100"/>
      <c r="S450" s="100" t="s">
        <v>17</v>
      </c>
      <c r="T450" s="100" t="s">
        <v>17</v>
      </c>
      <c r="U450" s="100"/>
      <c r="V450" s="100" t="s">
        <v>17</v>
      </c>
      <c r="W450" s="100" t="s">
        <v>305</v>
      </c>
      <c r="X450" s="100" t="s">
        <v>17</v>
      </c>
      <c r="Y450" s="100" t="s">
        <v>1253</v>
      </c>
      <c r="Z450" s="100" t="s">
        <v>1254</v>
      </c>
      <c r="AA450" s="100" t="s">
        <v>1255</v>
      </c>
    </row>
    <row r="451" spans="1:27" s="102" customFormat="1" ht="51" x14ac:dyDescent="0.2">
      <c r="A451" s="100" t="s">
        <v>867</v>
      </c>
      <c r="B451" s="100" t="s">
        <v>202</v>
      </c>
      <c r="C451" s="89" t="str">
        <f t="shared" si="8"/>
        <v>A.12.6.1 451</v>
      </c>
      <c r="D451" s="101" t="s">
        <v>612</v>
      </c>
      <c r="E451" s="100" t="s">
        <v>330</v>
      </c>
      <c r="F451" s="91" t="s">
        <v>1478</v>
      </c>
      <c r="G451" s="20" t="s">
        <v>1479</v>
      </c>
      <c r="H451" s="100"/>
      <c r="I451" s="100"/>
      <c r="J451" s="100"/>
      <c r="K451" s="100" t="s">
        <v>17</v>
      </c>
      <c r="L451" s="100" t="s">
        <v>17</v>
      </c>
      <c r="M451" s="100" t="s">
        <v>17</v>
      </c>
      <c r="N451" s="100" t="s">
        <v>17</v>
      </c>
      <c r="O451" s="100" t="s">
        <v>305</v>
      </c>
      <c r="P451" s="100" t="s">
        <v>305</v>
      </c>
      <c r="Q451" s="100" t="s">
        <v>17</v>
      </c>
      <c r="R451" s="100" t="s">
        <v>17</v>
      </c>
      <c r="S451" s="100" t="s">
        <v>17</v>
      </c>
      <c r="T451" s="100" t="s">
        <v>17</v>
      </c>
      <c r="U451" s="100"/>
      <c r="V451" s="100" t="s">
        <v>305</v>
      </c>
      <c r="W451" s="100" t="s">
        <v>305</v>
      </c>
      <c r="X451" s="100" t="s">
        <v>17</v>
      </c>
      <c r="Y451" s="100" t="s">
        <v>1256</v>
      </c>
      <c r="Z451" s="100" t="s">
        <v>1257</v>
      </c>
      <c r="AA451" s="100" t="s">
        <v>1258</v>
      </c>
    </row>
    <row r="452" spans="1:27" s="102" customFormat="1" ht="229.5" x14ac:dyDescent="0.2">
      <c r="A452" s="100" t="s">
        <v>867</v>
      </c>
      <c r="B452" s="100" t="s">
        <v>202</v>
      </c>
      <c r="C452" s="89" t="str">
        <f t="shared" si="8"/>
        <v>A.12.6.1 452</v>
      </c>
      <c r="D452" s="101" t="s">
        <v>601</v>
      </c>
      <c r="E452" s="100" t="s">
        <v>0</v>
      </c>
      <c r="F452" s="83" t="s">
        <v>1648</v>
      </c>
      <c r="G452" s="83" t="s">
        <v>1649</v>
      </c>
      <c r="H452" s="100" t="s">
        <v>809</v>
      </c>
      <c r="I452" s="100" t="s">
        <v>360</v>
      </c>
      <c r="J452" s="100"/>
      <c r="K452" s="100" t="s">
        <v>17</v>
      </c>
      <c r="L452" s="100" t="s">
        <v>17</v>
      </c>
      <c r="M452" s="100" t="s">
        <v>17</v>
      </c>
      <c r="N452" s="100" t="s">
        <v>17</v>
      </c>
      <c r="O452" s="100" t="s">
        <v>305</v>
      </c>
      <c r="P452" s="100" t="s">
        <v>305</v>
      </c>
      <c r="Q452" s="100" t="s">
        <v>17</v>
      </c>
      <c r="R452" s="100" t="s">
        <v>17</v>
      </c>
      <c r="S452" s="100" t="s">
        <v>17</v>
      </c>
      <c r="T452" s="100" t="s">
        <v>17</v>
      </c>
      <c r="U452" s="100"/>
      <c r="V452" s="100" t="s">
        <v>17</v>
      </c>
      <c r="W452" s="100" t="s">
        <v>305</v>
      </c>
      <c r="X452" s="100" t="s">
        <v>17</v>
      </c>
      <c r="Y452" s="100" t="s">
        <v>1259</v>
      </c>
      <c r="Z452" s="100" t="s">
        <v>1260</v>
      </c>
      <c r="AA452" s="100" t="s">
        <v>1261</v>
      </c>
    </row>
    <row r="453" spans="1:27" s="102" customFormat="1" ht="178.5" x14ac:dyDescent="0.2">
      <c r="A453" s="100" t="s">
        <v>867</v>
      </c>
      <c r="B453" s="100" t="s">
        <v>202</v>
      </c>
      <c r="C453" s="89" t="str">
        <f t="shared" si="8"/>
        <v>A.12.6.1 453</v>
      </c>
      <c r="D453" s="101" t="s">
        <v>602</v>
      </c>
      <c r="E453" s="100" t="s">
        <v>0</v>
      </c>
      <c r="F453" s="112" t="s">
        <v>1761</v>
      </c>
      <c r="G453" s="112" t="s">
        <v>1762</v>
      </c>
      <c r="H453" s="100" t="s">
        <v>810</v>
      </c>
      <c r="I453" s="100" t="s">
        <v>811</v>
      </c>
      <c r="J453" s="100"/>
      <c r="K453" s="100" t="s">
        <v>17</v>
      </c>
      <c r="L453" s="100" t="s">
        <v>17</v>
      </c>
      <c r="M453" s="100" t="s">
        <v>17</v>
      </c>
      <c r="N453" s="100" t="s">
        <v>17</v>
      </c>
      <c r="O453" s="100" t="s">
        <v>305</v>
      </c>
      <c r="P453" s="100" t="s">
        <v>305</v>
      </c>
      <c r="Q453" s="100" t="s">
        <v>17</v>
      </c>
      <c r="R453" s="100" t="s">
        <v>17</v>
      </c>
      <c r="S453" s="100" t="s">
        <v>17</v>
      </c>
      <c r="T453" s="100" t="s">
        <v>17</v>
      </c>
      <c r="U453" s="100"/>
      <c r="V453" s="100" t="s">
        <v>17</v>
      </c>
      <c r="W453" s="100" t="s">
        <v>305</v>
      </c>
      <c r="X453" s="100" t="s">
        <v>17</v>
      </c>
      <c r="Y453" s="100" t="s">
        <v>1262</v>
      </c>
      <c r="Z453" s="100" t="s">
        <v>1263</v>
      </c>
      <c r="AA453" s="100" t="s">
        <v>1264</v>
      </c>
    </row>
    <row r="454" spans="1:27" s="102" customFormat="1" ht="127.5" x14ac:dyDescent="0.2">
      <c r="A454" s="100" t="s">
        <v>867</v>
      </c>
      <c r="B454" s="100" t="s">
        <v>202</v>
      </c>
      <c r="C454" s="89" t="str">
        <f t="shared" si="8"/>
        <v>A.12.6.1 454</v>
      </c>
      <c r="D454" s="101" t="s">
        <v>603</v>
      </c>
      <c r="E454" s="100" t="s">
        <v>0</v>
      </c>
      <c r="F454" s="83" t="s">
        <v>1650</v>
      </c>
      <c r="G454" s="83" t="s">
        <v>1651</v>
      </c>
      <c r="H454" s="100" t="s">
        <v>812</v>
      </c>
      <c r="I454" s="100" t="s">
        <v>361</v>
      </c>
      <c r="J454" s="100"/>
      <c r="K454" s="100" t="s">
        <v>17</v>
      </c>
      <c r="L454" s="100" t="s">
        <v>17</v>
      </c>
      <c r="M454" s="100" t="s">
        <v>17</v>
      </c>
      <c r="N454" s="100" t="s">
        <v>17</v>
      </c>
      <c r="O454" s="100" t="s">
        <v>305</v>
      </c>
      <c r="P454" s="100" t="s">
        <v>305</v>
      </c>
      <c r="Q454" s="100" t="s">
        <v>17</v>
      </c>
      <c r="R454" s="100" t="s">
        <v>17</v>
      </c>
      <c r="S454" s="100" t="s">
        <v>17</v>
      </c>
      <c r="T454" s="100" t="s">
        <v>17</v>
      </c>
      <c r="U454" s="100"/>
      <c r="V454" s="100" t="s">
        <v>17</v>
      </c>
      <c r="W454" s="100" t="s">
        <v>305</v>
      </c>
      <c r="X454" s="100" t="s">
        <v>17</v>
      </c>
      <c r="Y454" s="100" t="s">
        <v>1265</v>
      </c>
      <c r="Z454" s="100" t="s">
        <v>1266</v>
      </c>
      <c r="AA454" s="100" t="s">
        <v>1267</v>
      </c>
    </row>
    <row r="455" spans="1:27" s="102" customFormat="1" ht="242.25" x14ac:dyDescent="0.2">
      <c r="A455" s="100" t="s">
        <v>867</v>
      </c>
      <c r="B455" s="100" t="s">
        <v>202</v>
      </c>
      <c r="C455" s="89" t="str">
        <f t="shared" si="8"/>
        <v>A.12.6.1 455</v>
      </c>
      <c r="D455" s="101" t="s">
        <v>604</v>
      </c>
      <c r="E455" s="100" t="s">
        <v>0</v>
      </c>
      <c r="F455" s="83" t="s">
        <v>1652</v>
      </c>
      <c r="G455" s="83" t="s">
        <v>1653</v>
      </c>
      <c r="H455" s="100" t="s">
        <v>813</v>
      </c>
      <c r="I455" s="100" t="s">
        <v>814</v>
      </c>
      <c r="J455" s="100"/>
      <c r="K455" s="100" t="s">
        <v>17</v>
      </c>
      <c r="L455" s="100" t="s">
        <v>17</v>
      </c>
      <c r="M455" s="100" t="s">
        <v>17</v>
      </c>
      <c r="N455" s="100" t="s">
        <v>17</v>
      </c>
      <c r="O455" s="100" t="s">
        <v>305</v>
      </c>
      <c r="P455" s="100" t="s">
        <v>305</v>
      </c>
      <c r="Q455" s="100" t="s">
        <v>17</v>
      </c>
      <c r="R455" s="100" t="s">
        <v>17</v>
      </c>
      <c r="S455" s="100" t="s">
        <v>17</v>
      </c>
      <c r="T455" s="100" t="s">
        <v>17</v>
      </c>
      <c r="U455" s="100"/>
      <c r="V455" s="100" t="s">
        <v>17</v>
      </c>
      <c r="W455" s="100" t="s">
        <v>305</v>
      </c>
      <c r="X455" s="100" t="s">
        <v>17</v>
      </c>
      <c r="Y455" s="100" t="s">
        <v>1268</v>
      </c>
      <c r="Z455" s="100" t="s">
        <v>1269</v>
      </c>
      <c r="AA455" s="100" t="s">
        <v>1270</v>
      </c>
    </row>
    <row r="456" spans="1:27" s="102" customFormat="1" ht="38.25" x14ac:dyDescent="0.2">
      <c r="A456" s="100" t="s">
        <v>867</v>
      </c>
      <c r="B456" s="100" t="s">
        <v>205</v>
      </c>
      <c r="C456" s="89" t="str">
        <f t="shared" si="8"/>
        <v>A.12.6.2 456</v>
      </c>
      <c r="D456" s="101" t="s">
        <v>612</v>
      </c>
      <c r="E456" s="100" t="s">
        <v>330</v>
      </c>
      <c r="F456" s="100" t="s">
        <v>815</v>
      </c>
      <c r="G456" s="100" t="s">
        <v>816</v>
      </c>
      <c r="H456" s="100"/>
      <c r="I456" s="100"/>
      <c r="J456" s="100"/>
      <c r="K456" s="100" t="s">
        <v>17</v>
      </c>
      <c r="L456" s="100" t="s">
        <v>17</v>
      </c>
      <c r="M456" s="100" t="s">
        <v>17</v>
      </c>
      <c r="N456" s="100" t="s">
        <v>17</v>
      </c>
      <c r="O456" s="100" t="s">
        <v>305</v>
      </c>
      <c r="P456" s="100" t="s">
        <v>305</v>
      </c>
      <c r="Q456" s="100" t="s">
        <v>17</v>
      </c>
      <c r="R456" s="100" t="s">
        <v>17</v>
      </c>
      <c r="S456" s="100" t="s">
        <v>17</v>
      </c>
      <c r="T456" s="100"/>
      <c r="U456" s="100"/>
      <c r="V456" s="100" t="s">
        <v>17</v>
      </c>
      <c r="W456" s="100" t="s">
        <v>305</v>
      </c>
      <c r="X456" s="100" t="s">
        <v>17</v>
      </c>
      <c r="Y456" s="100" t="s">
        <v>1271</v>
      </c>
      <c r="Z456" s="100" t="s">
        <v>1272</v>
      </c>
      <c r="AA456" s="100" t="s">
        <v>1273</v>
      </c>
    </row>
    <row r="457" spans="1:27" s="102" customFormat="1" ht="102" x14ac:dyDescent="0.2">
      <c r="A457" s="100" t="s">
        <v>867</v>
      </c>
      <c r="B457" s="100" t="s">
        <v>205</v>
      </c>
      <c r="C457" s="89" t="str">
        <f t="shared" si="8"/>
        <v>A.12.6.2 457</v>
      </c>
      <c r="D457" s="101" t="s">
        <v>602</v>
      </c>
      <c r="E457" s="100" t="s">
        <v>0</v>
      </c>
      <c r="F457" s="83" t="s">
        <v>1654</v>
      </c>
      <c r="G457" s="83" t="s">
        <v>1655</v>
      </c>
      <c r="H457" s="100" t="s">
        <v>817</v>
      </c>
      <c r="I457" s="100" t="s">
        <v>818</v>
      </c>
      <c r="J457" s="100"/>
      <c r="K457" s="100" t="s">
        <v>17</v>
      </c>
      <c r="L457" s="100" t="s">
        <v>17</v>
      </c>
      <c r="M457" s="100" t="s">
        <v>17</v>
      </c>
      <c r="N457" s="100" t="s">
        <v>17</v>
      </c>
      <c r="O457" s="100" t="s">
        <v>305</v>
      </c>
      <c r="P457" s="100" t="s">
        <v>305</v>
      </c>
      <c r="Q457" s="100" t="s">
        <v>17</v>
      </c>
      <c r="R457" s="100" t="s">
        <v>17</v>
      </c>
      <c r="S457" s="100" t="s">
        <v>17</v>
      </c>
      <c r="T457" s="100"/>
      <c r="U457" s="100"/>
      <c r="V457" s="100" t="s">
        <v>17</v>
      </c>
      <c r="W457" s="100" t="s">
        <v>305</v>
      </c>
      <c r="X457" s="100" t="s">
        <v>17</v>
      </c>
      <c r="Y457" s="100" t="s">
        <v>1274</v>
      </c>
      <c r="Z457" s="100" t="s">
        <v>1275</v>
      </c>
      <c r="AA457" s="100" t="s">
        <v>1276</v>
      </c>
    </row>
    <row r="458" spans="1:27" s="102" customFormat="1" ht="102" x14ac:dyDescent="0.2">
      <c r="A458" s="100" t="s">
        <v>867</v>
      </c>
      <c r="B458" s="100" t="s">
        <v>205</v>
      </c>
      <c r="C458" s="89" t="str">
        <f t="shared" si="8"/>
        <v>A.12.6.2 458</v>
      </c>
      <c r="D458" s="101" t="s">
        <v>603</v>
      </c>
      <c r="E458" s="100" t="s">
        <v>0</v>
      </c>
      <c r="F458" s="83" t="s">
        <v>1656</v>
      </c>
      <c r="G458" s="83" t="s">
        <v>1657</v>
      </c>
      <c r="H458" s="100" t="s">
        <v>819</v>
      </c>
      <c r="I458" s="100" t="s">
        <v>362</v>
      </c>
      <c r="J458" s="100"/>
      <c r="K458" s="100" t="s">
        <v>17</v>
      </c>
      <c r="L458" s="100" t="s">
        <v>17</v>
      </c>
      <c r="M458" s="100" t="s">
        <v>17</v>
      </c>
      <c r="N458" s="100" t="s">
        <v>17</v>
      </c>
      <c r="O458" s="100" t="s">
        <v>305</v>
      </c>
      <c r="P458" s="100" t="s">
        <v>305</v>
      </c>
      <c r="Q458" s="100" t="s">
        <v>17</v>
      </c>
      <c r="R458" s="100" t="s">
        <v>17</v>
      </c>
      <c r="S458" s="100" t="s">
        <v>17</v>
      </c>
      <c r="T458" s="100"/>
      <c r="U458" s="100"/>
      <c r="V458" s="100" t="s">
        <v>17</v>
      </c>
      <c r="W458" s="100" t="s">
        <v>305</v>
      </c>
      <c r="X458" s="100" t="s">
        <v>17</v>
      </c>
      <c r="Y458" s="100" t="s">
        <v>1277</v>
      </c>
      <c r="Z458" s="100" t="s">
        <v>1278</v>
      </c>
      <c r="AA458" s="100" t="s">
        <v>1279</v>
      </c>
    </row>
    <row r="459" spans="1:27" s="102" customFormat="1" ht="89.25" x14ac:dyDescent="0.2">
      <c r="A459" s="100" t="s">
        <v>867</v>
      </c>
      <c r="B459" s="100" t="s">
        <v>384</v>
      </c>
      <c r="C459" s="89" t="str">
        <f t="shared" si="8"/>
        <v>A.13.1.1 459</v>
      </c>
      <c r="D459" s="101" t="s">
        <v>612</v>
      </c>
      <c r="E459" s="100" t="s">
        <v>330</v>
      </c>
      <c r="F459" s="100" t="s">
        <v>820</v>
      </c>
      <c r="G459" s="100" t="s">
        <v>821</v>
      </c>
      <c r="H459" s="100"/>
      <c r="I459" s="100"/>
      <c r="J459" s="100"/>
      <c r="K459" s="100" t="s">
        <v>17</v>
      </c>
      <c r="L459" s="100" t="s">
        <v>17</v>
      </c>
      <c r="M459" s="100" t="s">
        <v>17</v>
      </c>
      <c r="N459" s="100" t="s">
        <v>17</v>
      </c>
      <c r="O459" s="100" t="s">
        <v>305</v>
      </c>
      <c r="P459" s="100" t="s">
        <v>305</v>
      </c>
      <c r="Q459" s="100"/>
      <c r="R459" s="100"/>
      <c r="S459" s="100" t="s">
        <v>305</v>
      </c>
      <c r="T459" s="100"/>
      <c r="U459" s="100" t="s">
        <v>17</v>
      </c>
      <c r="V459" s="100" t="s">
        <v>17</v>
      </c>
      <c r="W459" s="100" t="s">
        <v>305</v>
      </c>
      <c r="X459" s="100"/>
      <c r="Y459" s="100" t="s">
        <v>1280</v>
      </c>
      <c r="Z459" s="100" t="s">
        <v>1281</v>
      </c>
      <c r="AA459" s="100" t="s">
        <v>1282</v>
      </c>
    </row>
    <row r="460" spans="1:27" s="102" customFormat="1" ht="140.25" x14ac:dyDescent="0.2">
      <c r="A460" s="100" t="s">
        <v>867</v>
      </c>
      <c r="B460" s="100" t="s">
        <v>384</v>
      </c>
      <c r="C460" s="89" t="str">
        <f t="shared" si="8"/>
        <v>A.13.1.1 460</v>
      </c>
      <c r="D460" s="101" t="s">
        <v>601</v>
      </c>
      <c r="E460" s="100" t="s">
        <v>0</v>
      </c>
      <c r="F460" s="83" t="s">
        <v>1658</v>
      </c>
      <c r="G460" s="83" t="s">
        <v>1659</v>
      </c>
      <c r="H460" s="100" t="s">
        <v>822</v>
      </c>
      <c r="I460" s="100" t="s">
        <v>823</v>
      </c>
      <c r="J460" s="100"/>
      <c r="K460" s="100" t="s">
        <v>17</v>
      </c>
      <c r="L460" s="100" t="s">
        <v>17</v>
      </c>
      <c r="M460" s="100" t="s">
        <v>17</v>
      </c>
      <c r="N460" s="100" t="s">
        <v>17</v>
      </c>
      <c r="O460" s="100" t="s">
        <v>305</v>
      </c>
      <c r="P460" s="100" t="s">
        <v>305</v>
      </c>
      <c r="Q460" s="100"/>
      <c r="R460" s="100"/>
      <c r="S460" s="100" t="s">
        <v>305</v>
      </c>
      <c r="T460" s="100"/>
      <c r="U460" s="100" t="s">
        <v>17</v>
      </c>
      <c r="V460" s="100" t="s">
        <v>17</v>
      </c>
      <c r="W460" s="100" t="s">
        <v>305</v>
      </c>
      <c r="X460" s="100"/>
      <c r="Y460" s="100" t="s">
        <v>1283</v>
      </c>
      <c r="Z460" s="100" t="s">
        <v>1284</v>
      </c>
      <c r="AA460" s="100" t="s">
        <v>1285</v>
      </c>
    </row>
    <row r="461" spans="1:27" s="102" customFormat="1" ht="165.75" x14ac:dyDescent="0.2">
      <c r="A461" s="100" t="s">
        <v>867</v>
      </c>
      <c r="B461" s="100" t="s">
        <v>384</v>
      </c>
      <c r="C461" s="89" t="str">
        <f t="shared" si="8"/>
        <v>A.13.1.1 461</v>
      </c>
      <c r="D461" s="101" t="s">
        <v>602</v>
      </c>
      <c r="E461" s="100" t="s">
        <v>0</v>
      </c>
      <c r="F461" s="112" t="s">
        <v>1763</v>
      </c>
      <c r="G461" s="112" t="s">
        <v>1764</v>
      </c>
      <c r="H461" s="100" t="s">
        <v>824</v>
      </c>
      <c r="I461" s="100" t="s">
        <v>363</v>
      </c>
      <c r="J461" s="100"/>
      <c r="K461" s="100" t="s">
        <v>17</v>
      </c>
      <c r="L461" s="100" t="s">
        <v>17</v>
      </c>
      <c r="M461" s="100" t="s">
        <v>17</v>
      </c>
      <c r="N461" s="100" t="s">
        <v>17</v>
      </c>
      <c r="O461" s="100" t="s">
        <v>305</v>
      </c>
      <c r="P461" s="100" t="s">
        <v>305</v>
      </c>
      <c r="Q461" s="100"/>
      <c r="R461" s="100"/>
      <c r="S461" s="100" t="s">
        <v>305</v>
      </c>
      <c r="T461" s="100"/>
      <c r="U461" s="100" t="s">
        <v>17</v>
      </c>
      <c r="V461" s="100" t="s">
        <v>17</v>
      </c>
      <c r="W461" s="100" t="s">
        <v>305</v>
      </c>
      <c r="X461" s="100"/>
      <c r="Y461" s="100" t="s">
        <v>1286</v>
      </c>
      <c r="Z461" s="100" t="s">
        <v>1287</v>
      </c>
      <c r="AA461" s="100" t="s">
        <v>1288</v>
      </c>
    </row>
    <row r="462" spans="1:27" s="102" customFormat="1" ht="165.75" x14ac:dyDescent="0.2">
      <c r="A462" s="100" t="s">
        <v>867</v>
      </c>
      <c r="B462" s="100" t="s">
        <v>384</v>
      </c>
      <c r="C462" s="89" t="str">
        <f t="shared" si="8"/>
        <v>A.13.1.1 462</v>
      </c>
      <c r="D462" s="101" t="s">
        <v>603</v>
      </c>
      <c r="E462" s="100" t="s">
        <v>0</v>
      </c>
      <c r="F462" s="112" t="s">
        <v>1765</v>
      </c>
      <c r="G462" s="112" t="s">
        <v>1766</v>
      </c>
      <c r="H462" s="100" t="s">
        <v>825</v>
      </c>
      <c r="I462" s="100" t="s">
        <v>364</v>
      </c>
      <c r="J462" s="100"/>
      <c r="K462" s="100" t="s">
        <v>17</v>
      </c>
      <c r="L462" s="100" t="s">
        <v>17</v>
      </c>
      <c r="M462" s="100" t="s">
        <v>17</v>
      </c>
      <c r="N462" s="100" t="s">
        <v>17</v>
      </c>
      <c r="O462" s="100" t="s">
        <v>305</v>
      </c>
      <c r="P462" s="100" t="s">
        <v>305</v>
      </c>
      <c r="Q462" s="100"/>
      <c r="R462" s="100"/>
      <c r="S462" s="100" t="s">
        <v>305</v>
      </c>
      <c r="T462" s="100"/>
      <c r="U462" s="100" t="s">
        <v>17</v>
      </c>
      <c r="V462" s="100" t="s">
        <v>17</v>
      </c>
      <c r="W462" s="100" t="s">
        <v>305</v>
      </c>
      <c r="X462" s="100"/>
      <c r="Y462" s="100" t="s">
        <v>1289</v>
      </c>
      <c r="Z462" s="100" t="s">
        <v>1290</v>
      </c>
      <c r="AA462" s="100" t="s">
        <v>1291</v>
      </c>
    </row>
    <row r="463" spans="1:27" s="102" customFormat="1" ht="102" x14ac:dyDescent="0.2">
      <c r="A463" s="100" t="s">
        <v>867</v>
      </c>
      <c r="B463" s="100" t="s">
        <v>384</v>
      </c>
      <c r="C463" s="89" t="str">
        <f t="shared" si="8"/>
        <v>A.13.1.1 463</v>
      </c>
      <c r="D463" s="101" t="s">
        <v>604</v>
      </c>
      <c r="E463" s="100" t="s">
        <v>0</v>
      </c>
      <c r="F463" s="83" t="s">
        <v>1660</v>
      </c>
      <c r="G463" s="83" t="s">
        <v>1661</v>
      </c>
      <c r="H463" s="100" t="s">
        <v>826</v>
      </c>
      <c r="I463" s="100" t="s">
        <v>827</v>
      </c>
      <c r="J463" s="100"/>
      <c r="K463" s="100" t="s">
        <v>17</v>
      </c>
      <c r="L463" s="100" t="s">
        <v>17</v>
      </c>
      <c r="M463" s="100" t="s">
        <v>17</v>
      </c>
      <c r="N463" s="100" t="s">
        <v>17</v>
      </c>
      <c r="O463" s="100" t="s">
        <v>305</v>
      </c>
      <c r="P463" s="100" t="s">
        <v>305</v>
      </c>
      <c r="Q463" s="100"/>
      <c r="R463" s="100"/>
      <c r="S463" s="100" t="s">
        <v>305</v>
      </c>
      <c r="T463" s="100"/>
      <c r="U463" s="100" t="s">
        <v>17</v>
      </c>
      <c r="V463" s="100" t="s">
        <v>17</v>
      </c>
      <c r="W463" s="100" t="s">
        <v>305</v>
      </c>
      <c r="X463" s="100"/>
      <c r="Y463" s="100" t="s">
        <v>1292</v>
      </c>
      <c r="Z463" s="100" t="s">
        <v>1293</v>
      </c>
      <c r="AA463" s="100" t="s">
        <v>1294</v>
      </c>
    </row>
    <row r="464" spans="1:27" s="102" customFormat="1" ht="165.75" x14ac:dyDescent="0.2">
      <c r="A464" s="100" t="s">
        <v>867</v>
      </c>
      <c r="B464" s="100" t="s">
        <v>384</v>
      </c>
      <c r="C464" s="89" t="str">
        <f t="shared" si="8"/>
        <v>A.13.1.1 464</v>
      </c>
      <c r="D464" s="101" t="s">
        <v>605</v>
      </c>
      <c r="E464" s="100" t="s">
        <v>0</v>
      </c>
      <c r="F464" s="112" t="s">
        <v>1767</v>
      </c>
      <c r="G464" s="112" t="s">
        <v>1768</v>
      </c>
      <c r="H464" s="100" t="s">
        <v>828</v>
      </c>
      <c r="I464" s="100" t="s">
        <v>829</v>
      </c>
      <c r="J464" s="100"/>
      <c r="K464" s="100" t="s">
        <v>17</v>
      </c>
      <c r="L464" s="100" t="s">
        <v>17</v>
      </c>
      <c r="M464" s="100" t="s">
        <v>17</v>
      </c>
      <c r="N464" s="100" t="s">
        <v>17</v>
      </c>
      <c r="O464" s="100" t="s">
        <v>305</v>
      </c>
      <c r="P464" s="100" t="s">
        <v>305</v>
      </c>
      <c r="Q464" s="100"/>
      <c r="R464" s="100"/>
      <c r="S464" s="100" t="s">
        <v>305</v>
      </c>
      <c r="T464" s="100"/>
      <c r="U464" s="100" t="s">
        <v>17</v>
      </c>
      <c r="V464" s="100" t="s">
        <v>17</v>
      </c>
      <c r="W464" s="100" t="s">
        <v>305</v>
      </c>
      <c r="X464" s="100"/>
      <c r="Y464" s="100" t="s">
        <v>1295</v>
      </c>
      <c r="Z464" s="100" t="s">
        <v>1296</v>
      </c>
      <c r="AA464" s="100" t="s">
        <v>1297</v>
      </c>
    </row>
    <row r="465" spans="1:27" s="102" customFormat="1" ht="191.25" x14ac:dyDescent="0.2">
      <c r="A465" s="100" t="s">
        <v>867</v>
      </c>
      <c r="B465" s="100" t="s">
        <v>384</v>
      </c>
      <c r="C465" s="89" t="str">
        <f t="shared" si="8"/>
        <v>A.13.1.1 465</v>
      </c>
      <c r="D465" s="101" t="s">
        <v>606</v>
      </c>
      <c r="E465" s="100" t="s">
        <v>0</v>
      </c>
      <c r="F465" s="83" t="s">
        <v>1662</v>
      </c>
      <c r="G465" s="83" t="s">
        <v>1663</v>
      </c>
      <c r="H465" s="100" t="s">
        <v>1298</v>
      </c>
      <c r="I465" s="100" t="s">
        <v>1299</v>
      </c>
      <c r="J465" s="100"/>
      <c r="K465" s="100" t="s">
        <v>17</v>
      </c>
      <c r="L465" s="100" t="s">
        <v>17</v>
      </c>
      <c r="M465" s="100" t="s">
        <v>17</v>
      </c>
      <c r="N465" s="100" t="s">
        <v>17</v>
      </c>
      <c r="O465" s="100" t="s">
        <v>305</v>
      </c>
      <c r="P465" s="100" t="s">
        <v>305</v>
      </c>
      <c r="Q465" s="100"/>
      <c r="R465" s="100"/>
      <c r="S465" s="100" t="s">
        <v>305</v>
      </c>
      <c r="T465" s="100"/>
      <c r="U465" s="100" t="s">
        <v>17</v>
      </c>
      <c r="V465" s="100" t="s">
        <v>17</v>
      </c>
      <c r="W465" s="100" t="s">
        <v>305</v>
      </c>
      <c r="X465" s="100"/>
      <c r="Y465" s="100" t="s">
        <v>1300</v>
      </c>
      <c r="Z465" s="100" t="s">
        <v>1301</v>
      </c>
      <c r="AA465" s="100" t="s">
        <v>1302</v>
      </c>
    </row>
    <row r="466" spans="1:27" s="102" customFormat="1" ht="38.25" x14ac:dyDescent="0.2">
      <c r="A466" s="100" t="s">
        <v>867</v>
      </c>
      <c r="B466" s="100" t="s">
        <v>384</v>
      </c>
      <c r="C466" s="89" t="str">
        <f t="shared" si="8"/>
        <v>A.13.1.1 466</v>
      </c>
      <c r="D466" s="101" t="s">
        <v>612</v>
      </c>
      <c r="E466" s="100" t="s">
        <v>330</v>
      </c>
      <c r="F466" s="100" t="s">
        <v>222</v>
      </c>
      <c r="G466" s="100" t="s">
        <v>414</v>
      </c>
      <c r="H466" s="100"/>
      <c r="I466" s="100"/>
      <c r="J466" s="100"/>
      <c r="K466" s="100" t="s">
        <v>17</v>
      </c>
      <c r="L466" s="100" t="s">
        <v>17</v>
      </c>
      <c r="M466" s="100" t="s">
        <v>17</v>
      </c>
      <c r="N466" s="100" t="s">
        <v>17</v>
      </c>
      <c r="O466" s="100" t="s">
        <v>305</v>
      </c>
      <c r="P466" s="100" t="s">
        <v>305</v>
      </c>
      <c r="Q466" s="100" t="s">
        <v>17</v>
      </c>
      <c r="R466" s="100" t="s">
        <v>17</v>
      </c>
      <c r="S466" s="100" t="s">
        <v>17</v>
      </c>
      <c r="T466" s="100" t="s">
        <v>17</v>
      </c>
      <c r="U466" s="100" t="s">
        <v>17</v>
      </c>
      <c r="V466" s="100" t="s">
        <v>17</v>
      </c>
      <c r="W466" s="100" t="s">
        <v>305</v>
      </c>
      <c r="X466" s="100" t="s">
        <v>17</v>
      </c>
      <c r="Y466" s="100" t="s">
        <v>1303</v>
      </c>
      <c r="Z466" s="100" t="s">
        <v>1304</v>
      </c>
      <c r="AA466" s="100" t="s">
        <v>1305</v>
      </c>
    </row>
    <row r="467" spans="1:27" s="102" customFormat="1" ht="369.75" x14ac:dyDescent="0.2">
      <c r="A467" s="100" t="s">
        <v>867</v>
      </c>
      <c r="B467" s="100" t="s">
        <v>384</v>
      </c>
      <c r="C467" s="89" t="str">
        <f t="shared" si="8"/>
        <v>A.13.1.1 467</v>
      </c>
      <c r="D467" s="101" t="s">
        <v>601</v>
      </c>
      <c r="E467" s="100" t="s">
        <v>0</v>
      </c>
      <c r="F467" s="112" t="s">
        <v>1769</v>
      </c>
      <c r="G467" s="112" t="s">
        <v>1770</v>
      </c>
      <c r="H467" s="100" t="s">
        <v>830</v>
      </c>
      <c r="I467" s="100" t="s">
        <v>365</v>
      </c>
      <c r="J467" s="100"/>
      <c r="K467" s="100" t="s">
        <v>17</v>
      </c>
      <c r="L467" s="100" t="s">
        <v>17</v>
      </c>
      <c r="M467" s="100" t="s">
        <v>17</v>
      </c>
      <c r="N467" s="100" t="s">
        <v>17</v>
      </c>
      <c r="O467" s="100" t="s">
        <v>305</v>
      </c>
      <c r="P467" s="100" t="s">
        <v>305</v>
      </c>
      <c r="Q467" s="100"/>
      <c r="R467" s="100"/>
      <c r="S467" s="100" t="s">
        <v>305</v>
      </c>
      <c r="T467" s="100"/>
      <c r="U467" s="100" t="s">
        <v>17</v>
      </c>
      <c r="V467" s="100" t="s">
        <v>17</v>
      </c>
      <c r="W467" s="100" t="s">
        <v>305</v>
      </c>
      <c r="X467" s="100"/>
      <c r="Y467" s="100" t="s">
        <v>1306</v>
      </c>
      <c r="Z467" s="100" t="s">
        <v>1307</v>
      </c>
      <c r="AA467" s="100" t="s">
        <v>1308</v>
      </c>
    </row>
    <row r="468" spans="1:27" s="102" customFormat="1" ht="140.25" x14ac:dyDescent="0.2">
      <c r="A468" s="100" t="s">
        <v>867</v>
      </c>
      <c r="B468" s="100" t="s">
        <v>384</v>
      </c>
      <c r="C468" s="89" t="str">
        <f t="shared" si="8"/>
        <v>A.13.1.1 468</v>
      </c>
      <c r="D468" s="101" t="s">
        <v>602</v>
      </c>
      <c r="E468" s="100" t="s">
        <v>0</v>
      </c>
      <c r="F468" s="83" t="s">
        <v>1664</v>
      </c>
      <c r="G468" s="83" t="s">
        <v>1665</v>
      </c>
      <c r="H468" s="100" t="s">
        <v>831</v>
      </c>
      <c r="I468" s="100" t="s">
        <v>366</v>
      </c>
      <c r="J468" s="100"/>
      <c r="K468" s="100" t="s">
        <v>17</v>
      </c>
      <c r="L468" s="100" t="s">
        <v>17</v>
      </c>
      <c r="M468" s="100" t="s">
        <v>17</v>
      </c>
      <c r="N468" s="100" t="s">
        <v>17</v>
      </c>
      <c r="O468" s="100" t="s">
        <v>305</v>
      </c>
      <c r="P468" s="100" t="s">
        <v>305</v>
      </c>
      <c r="Q468" s="100"/>
      <c r="R468" s="100"/>
      <c r="S468" s="100" t="s">
        <v>305</v>
      </c>
      <c r="T468" s="100"/>
      <c r="U468" s="100" t="s">
        <v>17</v>
      </c>
      <c r="V468" s="100" t="s">
        <v>17</v>
      </c>
      <c r="W468" s="100" t="s">
        <v>305</v>
      </c>
      <c r="X468" s="100"/>
      <c r="Y468" s="100" t="s">
        <v>1309</v>
      </c>
      <c r="Z468" s="100" t="s">
        <v>1310</v>
      </c>
      <c r="AA468" s="100" t="s">
        <v>1311</v>
      </c>
    </row>
    <row r="469" spans="1:27" s="102" customFormat="1" ht="242.25" x14ac:dyDescent="0.2">
      <c r="A469" s="100" t="s">
        <v>867</v>
      </c>
      <c r="B469" s="100" t="s">
        <v>384</v>
      </c>
      <c r="C469" s="89" t="str">
        <f t="shared" si="8"/>
        <v>A.13.1.1 469</v>
      </c>
      <c r="D469" s="101" t="s">
        <v>603</v>
      </c>
      <c r="E469" s="100" t="s">
        <v>0</v>
      </c>
      <c r="F469" s="83" t="s">
        <v>1666</v>
      </c>
      <c r="G469" s="83" t="s">
        <v>1667</v>
      </c>
      <c r="H469" s="100" t="s">
        <v>1312</v>
      </c>
      <c r="I469" s="100" t="s">
        <v>1313</v>
      </c>
      <c r="J469" s="100"/>
      <c r="K469" s="100" t="s">
        <v>17</v>
      </c>
      <c r="L469" s="100" t="s">
        <v>17</v>
      </c>
      <c r="M469" s="100" t="s">
        <v>17</v>
      </c>
      <c r="N469" s="100" t="s">
        <v>17</v>
      </c>
      <c r="O469" s="100" t="s">
        <v>305</v>
      </c>
      <c r="P469" s="100" t="s">
        <v>305</v>
      </c>
      <c r="Q469" s="100"/>
      <c r="R469" s="100"/>
      <c r="S469" s="100" t="s">
        <v>305</v>
      </c>
      <c r="T469" s="100"/>
      <c r="U469" s="100" t="s">
        <v>17</v>
      </c>
      <c r="V469" s="100" t="s">
        <v>17</v>
      </c>
      <c r="W469" s="100" t="s">
        <v>305</v>
      </c>
      <c r="X469" s="100"/>
      <c r="Y469" s="100" t="s">
        <v>1314</v>
      </c>
      <c r="Z469" s="100" t="s">
        <v>1315</v>
      </c>
      <c r="AA469" s="100" t="s">
        <v>1316</v>
      </c>
    </row>
    <row r="470" spans="1:27" s="102" customFormat="1" ht="153" x14ac:dyDescent="0.2">
      <c r="A470" s="100" t="s">
        <v>867</v>
      </c>
      <c r="B470" s="100" t="s">
        <v>384</v>
      </c>
      <c r="C470" s="89" t="str">
        <f t="shared" si="8"/>
        <v>A.13.1.1 470</v>
      </c>
      <c r="D470" s="101" t="s">
        <v>604</v>
      </c>
      <c r="E470" s="100" t="s">
        <v>0</v>
      </c>
      <c r="F470" s="83" t="s">
        <v>1668</v>
      </c>
      <c r="G470" s="83" t="s">
        <v>1669</v>
      </c>
      <c r="H470" s="100" t="s">
        <v>832</v>
      </c>
      <c r="I470" s="100" t="s">
        <v>367</v>
      </c>
      <c r="J470" s="100"/>
      <c r="K470" s="100" t="s">
        <v>17</v>
      </c>
      <c r="L470" s="100" t="s">
        <v>17</v>
      </c>
      <c r="M470" s="100" t="s">
        <v>17</v>
      </c>
      <c r="N470" s="100" t="s">
        <v>17</v>
      </c>
      <c r="O470" s="100" t="s">
        <v>305</v>
      </c>
      <c r="P470" s="100" t="s">
        <v>305</v>
      </c>
      <c r="Q470" s="100"/>
      <c r="R470" s="100"/>
      <c r="S470" s="100" t="s">
        <v>305</v>
      </c>
      <c r="T470" s="100"/>
      <c r="U470" s="100" t="s">
        <v>17</v>
      </c>
      <c r="V470" s="100" t="s">
        <v>17</v>
      </c>
      <c r="W470" s="100" t="s">
        <v>305</v>
      </c>
      <c r="X470" s="100"/>
      <c r="Y470" s="100" t="s">
        <v>1317</v>
      </c>
      <c r="Z470" s="100" t="s">
        <v>1318</v>
      </c>
      <c r="AA470" s="100" t="s">
        <v>1319</v>
      </c>
    </row>
    <row r="471" spans="1:27" s="102" customFormat="1" ht="331.5" x14ac:dyDescent="0.2">
      <c r="A471" s="100" t="s">
        <v>867</v>
      </c>
      <c r="B471" s="100" t="s">
        <v>384</v>
      </c>
      <c r="C471" s="89" t="str">
        <f t="shared" si="8"/>
        <v>A.13.1.1 471</v>
      </c>
      <c r="D471" s="101" t="s">
        <v>606</v>
      </c>
      <c r="E471" s="100" t="s">
        <v>0</v>
      </c>
      <c r="F471" s="83" t="s">
        <v>1670</v>
      </c>
      <c r="G471" s="83" t="s">
        <v>1671</v>
      </c>
      <c r="H471" s="100" t="s">
        <v>1477</v>
      </c>
      <c r="I471" s="100" t="s">
        <v>1320</v>
      </c>
      <c r="J471" s="100"/>
      <c r="K471" s="100" t="s">
        <v>17</v>
      </c>
      <c r="L471" s="100" t="s">
        <v>17</v>
      </c>
      <c r="M471" s="100" t="s">
        <v>17</v>
      </c>
      <c r="N471" s="100" t="s">
        <v>17</v>
      </c>
      <c r="O471" s="100" t="s">
        <v>305</v>
      </c>
      <c r="P471" s="100" t="s">
        <v>305</v>
      </c>
      <c r="Q471" s="100"/>
      <c r="R471" s="100" t="s">
        <v>17</v>
      </c>
      <c r="S471" s="100" t="s">
        <v>17</v>
      </c>
      <c r="T471" s="100"/>
      <c r="U471" s="100" t="s">
        <v>17</v>
      </c>
      <c r="V471" s="100" t="s">
        <v>17</v>
      </c>
      <c r="W471" s="100" t="s">
        <v>305</v>
      </c>
      <c r="X471" s="100" t="s">
        <v>17</v>
      </c>
      <c r="Y471" s="100" t="s">
        <v>1321</v>
      </c>
      <c r="Z471" s="100" t="s">
        <v>1322</v>
      </c>
      <c r="AA471" s="100" t="s">
        <v>1323</v>
      </c>
    </row>
    <row r="472" spans="1:27" s="102" customFormat="1" ht="229.5" x14ac:dyDescent="0.2">
      <c r="A472" s="100" t="s">
        <v>867</v>
      </c>
      <c r="B472" s="100" t="s">
        <v>384</v>
      </c>
      <c r="C472" s="89" t="str">
        <f t="shared" si="8"/>
        <v>A.13.1.1 472</v>
      </c>
      <c r="D472" s="101" t="s">
        <v>608</v>
      </c>
      <c r="E472" s="100" t="s">
        <v>0</v>
      </c>
      <c r="F472" s="83" t="s">
        <v>1672</v>
      </c>
      <c r="G472" s="83" t="s">
        <v>1673</v>
      </c>
      <c r="H472" s="100" t="s">
        <v>833</v>
      </c>
      <c r="I472" s="100" t="s">
        <v>368</v>
      </c>
      <c r="J472" s="100"/>
      <c r="K472" s="100" t="s">
        <v>17</v>
      </c>
      <c r="L472" s="100" t="s">
        <v>17</v>
      </c>
      <c r="M472" s="100" t="s">
        <v>17</v>
      </c>
      <c r="N472" s="100" t="s">
        <v>17</v>
      </c>
      <c r="O472" s="100" t="s">
        <v>305</v>
      </c>
      <c r="P472" s="100" t="s">
        <v>305</v>
      </c>
      <c r="Q472" s="100" t="s">
        <v>17</v>
      </c>
      <c r="R472" s="100" t="s">
        <v>17</v>
      </c>
      <c r="S472" s="100" t="s">
        <v>17</v>
      </c>
      <c r="T472" s="100" t="s">
        <v>17</v>
      </c>
      <c r="U472" s="100" t="s">
        <v>17</v>
      </c>
      <c r="V472" s="100" t="s">
        <v>17</v>
      </c>
      <c r="W472" s="100" t="s">
        <v>305</v>
      </c>
      <c r="X472" s="100" t="s">
        <v>17</v>
      </c>
      <c r="Y472" s="100" t="s">
        <v>1324</v>
      </c>
      <c r="Z472" s="100" t="s">
        <v>1325</v>
      </c>
      <c r="AA472" s="100" t="s">
        <v>1326</v>
      </c>
    </row>
    <row r="473" spans="1:27" s="102" customFormat="1" ht="127.5" x14ac:dyDescent="0.2">
      <c r="A473" s="100" t="s">
        <v>867</v>
      </c>
      <c r="B473" s="100" t="s">
        <v>384</v>
      </c>
      <c r="C473" s="89" t="str">
        <f t="shared" si="8"/>
        <v>A.13.1.1 473</v>
      </c>
      <c r="D473" s="101" t="s">
        <v>609</v>
      </c>
      <c r="E473" s="100" t="s">
        <v>0</v>
      </c>
      <c r="F473" s="83" t="s">
        <v>1674</v>
      </c>
      <c r="G473" s="83" t="s">
        <v>1675</v>
      </c>
      <c r="H473" s="100" t="s">
        <v>834</v>
      </c>
      <c r="I473" s="100" t="s">
        <v>835</v>
      </c>
      <c r="J473" s="100"/>
      <c r="K473" s="100" t="s">
        <v>17</v>
      </c>
      <c r="L473" s="100" t="s">
        <v>17</v>
      </c>
      <c r="M473" s="100" t="s">
        <v>17</v>
      </c>
      <c r="N473" s="100" t="s">
        <v>17</v>
      </c>
      <c r="O473" s="100" t="s">
        <v>305</v>
      </c>
      <c r="P473" s="100" t="s">
        <v>305</v>
      </c>
      <c r="Q473" s="100" t="s">
        <v>17</v>
      </c>
      <c r="R473" s="100" t="s">
        <v>17</v>
      </c>
      <c r="S473" s="100" t="s">
        <v>17</v>
      </c>
      <c r="T473" s="100" t="s">
        <v>17</v>
      </c>
      <c r="U473" s="100" t="s">
        <v>17</v>
      </c>
      <c r="V473" s="100" t="s">
        <v>17</v>
      </c>
      <c r="W473" s="100" t="s">
        <v>305</v>
      </c>
      <c r="X473" s="100" t="s">
        <v>17</v>
      </c>
      <c r="Y473" s="100" t="s">
        <v>1327</v>
      </c>
      <c r="Z473" s="100" t="s">
        <v>1328</v>
      </c>
      <c r="AA473" s="100" t="s">
        <v>1329</v>
      </c>
    </row>
    <row r="474" spans="1:27" s="102" customFormat="1" ht="409.5" x14ac:dyDescent="0.2">
      <c r="A474" s="100" t="s">
        <v>867</v>
      </c>
      <c r="B474" s="100" t="s">
        <v>384</v>
      </c>
      <c r="C474" s="89" t="str">
        <f t="shared" si="8"/>
        <v>A.13.1.1 474</v>
      </c>
      <c r="D474" s="101" t="s">
        <v>610</v>
      </c>
      <c r="E474" s="100" t="s">
        <v>0</v>
      </c>
      <c r="F474" s="112" t="s">
        <v>1771</v>
      </c>
      <c r="G474" s="112" t="s">
        <v>1772</v>
      </c>
      <c r="H474" s="100" t="s">
        <v>836</v>
      </c>
      <c r="I474" s="100" t="s">
        <v>837</v>
      </c>
      <c r="J474" s="100"/>
      <c r="K474" s="100" t="s">
        <v>17</v>
      </c>
      <c r="L474" s="100" t="s">
        <v>17</v>
      </c>
      <c r="M474" s="100" t="s">
        <v>17</v>
      </c>
      <c r="N474" s="100" t="s">
        <v>17</v>
      </c>
      <c r="O474" s="100" t="s">
        <v>305</v>
      </c>
      <c r="P474" s="100" t="s">
        <v>305</v>
      </c>
      <c r="Q474" s="100"/>
      <c r="R474" s="100"/>
      <c r="S474" s="100" t="s">
        <v>305</v>
      </c>
      <c r="T474" s="100"/>
      <c r="U474" s="100" t="s">
        <v>17</v>
      </c>
      <c r="V474" s="100" t="s">
        <v>17</v>
      </c>
      <c r="W474" s="100" t="s">
        <v>305</v>
      </c>
      <c r="X474" s="100"/>
      <c r="Y474" s="100" t="s">
        <v>1330</v>
      </c>
      <c r="Z474" s="100" t="s">
        <v>1331</v>
      </c>
      <c r="AA474" s="100" t="s">
        <v>1332</v>
      </c>
    </row>
    <row r="475" spans="1:27" s="102" customFormat="1" ht="165.75" x14ac:dyDescent="0.2">
      <c r="A475" s="100" t="s">
        <v>867</v>
      </c>
      <c r="B475" s="100" t="s">
        <v>384</v>
      </c>
      <c r="C475" s="89" t="str">
        <f t="shared" si="8"/>
        <v>A.13.1.1 475</v>
      </c>
      <c r="D475" s="101" t="s">
        <v>607</v>
      </c>
      <c r="E475" s="100" t="s">
        <v>0</v>
      </c>
      <c r="F475" s="83" t="s">
        <v>1676</v>
      </c>
      <c r="G475" s="83" t="s">
        <v>1677</v>
      </c>
      <c r="H475" s="100" t="s">
        <v>1333</v>
      </c>
      <c r="I475" s="100" t="s">
        <v>1334</v>
      </c>
      <c r="J475" s="100"/>
      <c r="K475" s="100" t="s">
        <v>17</v>
      </c>
      <c r="L475" s="100" t="s">
        <v>17</v>
      </c>
      <c r="M475" s="100" t="s">
        <v>17</v>
      </c>
      <c r="N475" s="100" t="s">
        <v>17</v>
      </c>
      <c r="O475" s="100" t="s">
        <v>305</v>
      </c>
      <c r="P475" s="100" t="s">
        <v>305</v>
      </c>
      <c r="Q475" s="100"/>
      <c r="R475" s="100"/>
      <c r="S475" s="100" t="s">
        <v>305</v>
      </c>
      <c r="T475" s="100"/>
      <c r="U475" s="100" t="s">
        <v>17</v>
      </c>
      <c r="V475" s="100" t="s">
        <v>17</v>
      </c>
      <c r="W475" s="100" t="s">
        <v>305</v>
      </c>
      <c r="X475" s="100"/>
      <c r="Y475" s="100" t="s">
        <v>1335</v>
      </c>
      <c r="Z475" s="100" t="s">
        <v>1336</v>
      </c>
      <c r="AA475" s="100" t="s">
        <v>1337</v>
      </c>
    </row>
    <row r="476" spans="1:27" s="102" customFormat="1" ht="25.5" x14ac:dyDescent="0.2">
      <c r="A476" s="100" t="s">
        <v>867</v>
      </c>
      <c r="B476" s="100" t="s">
        <v>385</v>
      </c>
      <c r="C476" s="89" t="str">
        <f t="shared" si="8"/>
        <v>A.13.1 476</v>
      </c>
      <c r="D476" s="101" t="s">
        <v>612</v>
      </c>
      <c r="E476" s="100" t="s">
        <v>330</v>
      </c>
      <c r="F476" s="100" t="s">
        <v>415</v>
      </c>
      <c r="G476" s="100" t="s">
        <v>369</v>
      </c>
      <c r="H476" s="100"/>
      <c r="I476" s="100"/>
      <c r="J476" s="100"/>
      <c r="K476" s="100" t="s">
        <v>17</v>
      </c>
      <c r="L476" s="100" t="s">
        <v>17</v>
      </c>
      <c r="M476" s="100" t="s">
        <v>17</v>
      </c>
      <c r="N476" s="100" t="s">
        <v>17</v>
      </c>
      <c r="O476" s="100" t="s">
        <v>305</v>
      </c>
      <c r="P476" s="100" t="s">
        <v>305</v>
      </c>
      <c r="Q476" s="100" t="s">
        <v>17</v>
      </c>
      <c r="R476" s="100"/>
      <c r="S476" s="100" t="s">
        <v>17</v>
      </c>
      <c r="T476" s="100"/>
      <c r="U476" s="100"/>
      <c r="V476" s="100" t="s">
        <v>17</v>
      </c>
      <c r="W476" s="100" t="s">
        <v>305</v>
      </c>
      <c r="X476" s="100"/>
      <c r="Y476" s="100" t="s">
        <v>1338</v>
      </c>
      <c r="Z476" s="100" t="s">
        <v>1339</v>
      </c>
      <c r="AA476" s="100" t="s">
        <v>1339</v>
      </c>
    </row>
    <row r="477" spans="1:27" s="102" customFormat="1" ht="204" x14ac:dyDescent="0.2">
      <c r="A477" s="100" t="s">
        <v>867</v>
      </c>
      <c r="B477" s="100" t="s">
        <v>385</v>
      </c>
      <c r="C477" s="89" t="str">
        <f t="shared" si="8"/>
        <v>A.13.1 477</v>
      </c>
      <c r="D477" s="101" t="s">
        <v>601</v>
      </c>
      <c r="E477" s="100" t="s">
        <v>0</v>
      </c>
      <c r="F477" s="83" t="s">
        <v>1678</v>
      </c>
      <c r="G477" s="83" t="s">
        <v>1679</v>
      </c>
      <c r="H477" s="100" t="s">
        <v>838</v>
      </c>
      <c r="I477" s="100" t="s">
        <v>839</v>
      </c>
      <c r="J477" s="100"/>
      <c r="K477" s="100" t="s">
        <v>17</v>
      </c>
      <c r="L477" s="100" t="s">
        <v>17</v>
      </c>
      <c r="M477" s="100" t="s">
        <v>17</v>
      </c>
      <c r="N477" s="100" t="s">
        <v>17</v>
      </c>
      <c r="O477" s="100" t="s">
        <v>305</v>
      </c>
      <c r="P477" s="100" t="s">
        <v>305</v>
      </c>
      <c r="Q477" s="100" t="s">
        <v>17</v>
      </c>
      <c r="R477" s="100"/>
      <c r="S477" s="100" t="s">
        <v>17</v>
      </c>
      <c r="T477" s="100"/>
      <c r="U477" s="100"/>
      <c r="V477" s="100" t="s">
        <v>17</v>
      </c>
      <c r="W477" s="100" t="s">
        <v>305</v>
      </c>
      <c r="X477" s="100"/>
      <c r="Y477" s="100" t="s">
        <v>1340</v>
      </c>
      <c r="Z477" s="100" t="s">
        <v>1341</v>
      </c>
      <c r="AA477" s="100" t="s">
        <v>1342</v>
      </c>
    </row>
    <row r="478" spans="1:27" s="102" customFormat="1" ht="51" x14ac:dyDescent="0.2">
      <c r="A478" s="100" t="s">
        <v>867</v>
      </c>
      <c r="B478" s="100" t="s">
        <v>209</v>
      </c>
      <c r="C478" s="89" t="str">
        <f t="shared" si="8"/>
        <v>A.13.1.2 478</v>
      </c>
      <c r="D478" s="101" t="s">
        <v>612</v>
      </c>
      <c r="E478" s="100" t="s">
        <v>330</v>
      </c>
      <c r="F478" s="100" t="s">
        <v>416</v>
      </c>
      <c r="G478" s="100" t="s">
        <v>370</v>
      </c>
      <c r="H478" s="100"/>
      <c r="I478" s="100"/>
      <c r="J478" s="100"/>
      <c r="K478" s="100" t="s">
        <v>17</v>
      </c>
      <c r="L478" s="100" t="s">
        <v>17</v>
      </c>
      <c r="M478" s="100" t="s">
        <v>17</v>
      </c>
      <c r="N478" s="100" t="s">
        <v>17</v>
      </c>
      <c r="O478" s="100" t="s">
        <v>305</v>
      </c>
      <c r="P478" s="100" t="s">
        <v>305</v>
      </c>
      <c r="Q478" s="100"/>
      <c r="R478" s="100"/>
      <c r="S478" s="100" t="s">
        <v>305</v>
      </c>
      <c r="T478" s="100"/>
      <c r="U478" s="100" t="s">
        <v>17</v>
      </c>
      <c r="V478" s="100" t="s">
        <v>17</v>
      </c>
      <c r="W478" s="100" t="s">
        <v>305</v>
      </c>
      <c r="X478" s="100"/>
      <c r="Y478" s="100" t="s">
        <v>1343</v>
      </c>
      <c r="Z478" s="100" t="s">
        <v>1344</v>
      </c>
      <c r="AA478" s="100" t="s">
        <v>1345</v>
      </c>
    </row>
    <row r="479" spans="1:27" s="102" customFormat="1" ht="191.25" x14ac:dyDescent="0.2">
      <c r="A479" s="100" t="s">
        <v>867</v>
      </c>
      <c r="B479" s="100" t="s">
        <v>209</v>
      </c>
      <c r="C479" s="89" t="str">
        <f t="shared" si="8"/>
        <v>A.13.1.2 479</v>
      </c>
      <c r="D479" s="101" t="s">
        <v>601</v>
      </c>
      <c r="E479" s="100" t="s">
        <v>0</v>
      </c>
      <c r="F479" s="83" t="s">
        <v>1680</v>
      </c>
      <c r="G479" s="83" t="s">
        <v>1681</v>
      </c>
      <c r="H479" s="100" t="s">
        <v>840</v>
      </c>
      <c r="I479" s="100" t="s">
        <v>371</v>
      </c>
      <c r="J479" s="100"/>
      <c r="K479" s="100" t="s">
        <v>17</v>
      </c>
      <c r="L479" s="100" t="s">
        <v>17</v>
      </c>
      <c r="M479" s="100" t="s">
        <v>17</v>
      </c>
      <c r="N479" s="100" t="s">
        <v>17</v>
      </c>
      <c r="O479" s="100" t="s">
        <v>305</v>
      </c>
      <c r="P479" s="100" t="s">
        <v>305</v>
      </c>
      <c r="Q479" s="100"/>
      <c r="R479" s="100"/>
      <c r="S479" s="100" t="s">
        <v>305</v>
      </c>
      <c r="T479" s="100"/>
      <c r="U479" s="100" t="s">
        <v>17</v>
      </c>
      <c r="V479" s="100" t="s">
        <v>17</v>
      </c>
      <c r="W479" s="100" t="s">
        <v>305</v>
      </c>
      <c r="X479" s="100"/>
      <c r="Y479" s="100" t="s">
        <v>1346</v>
      </c>
      <c r="Z479" s="100" t="s">
        <v>1347</v>
      </c>
      <c r="AA479" s="100" t="s">
        <v>1348</v>
      </c>
    </row>
    <row r="480" spans="1:27" s="102" customFormat="1" ht="216.75" x14ac:dyDescent="0.2">
      <c r="A480" s="100" t="s">
        <v>867</v>
      </c>
      <c r="B480" s="100" t="s">
        <v>209</v>
      </c>
      <c r="C480" s="89" t="str">
        <f t="shared" si="8"/>
        <v>A.13.1.2 480</v>
      </c>
      <c r="D480" s="101" t="s">
        <v>602</v>
      </c>
      <c r="E480" s="100" t="s">
        <v>0</v>
      </c>
      <c r="F480" s="83" t="s">
        <v>1682</v>
      </c>
      <c r="G480" s="83" t="s">
        <v>1683</v>
      </c>
      <c r="H480" s="100" t="s">
        <v>841</v>
      </c>
      <c r="I480" s="100" t="s">
        <v>842</v>
      </c>
      <c r="J480" s="100"/>
      <c r="K480" s="100" t="s">
        <v>17</v>
      </c>
      <c r="L480" s="100" t="s">
        <v>17</v>
      </c>
      <c r="M480" s="100" t="s">
        <v>17</v>
      </c>
      <c r="N480" s="100" t="s">
        <v>17</v>
      </c>
      <c r="O480" s="100" t="s">
        <v>305</v>
      </c>
      <c r="P480" s="100" t="s">
        <v>305</v>
      </c>
      <c r="Q480" s="100"/>
      <c r="R480" s="100"/>
      <c r="S480" s="100" t="s">
        <v>305</v>
      </c>
      <c r="T480" s="100"/>
      <c r="U480" s="100" t="s">
        <v>17</v>
      </c>
      <c r="V480" s="100" t="s">
        <v>17</v>
      </c>
      <c r="W480" s="100" t="s">
        <v>305</v>
      </c>
      <c r="X480" s="100"/>
      <c r="Y480" s="100" t="s">
        <v>1349</v>
      </c>
      <c r="Z480" s="100" t="s">
        <v>1350</v>
      </c>
      <c r="AA480" s="100" t="s">
        <v>1351</v>
      </c>
    </row>
    <row r="481" spans="1:27" s="102" customFormat="1" ht="153" x14ac:dyDescent="0.2">
      <c r="A481" s="100" t="s">
        <v>867</v>
      </c>
      <c r="B481" s="100" t="s">
        <v>209</v>
      </c>
      <c r="C481" s="89" t="str">
        <f t="shared" si="8"/>
        <v>A.13.1.2 481</v>
      </c>
      <c r="D481" s="101" t="s">
        <v>603</v>
      </c>
      <c r="E481" s="100" t="s">
        <v>0</v>
      </c>
      <c r="F481" s="83" t="s">
        <v>1684</v>
      </c>
      <c r="G481" s="83" t="s">
        <v>1685</v>
      </c>
      <c r="H481" s="100" t="s">
        <v>843</v>
      </c>
      <c r="I481" s="100" t="s">
        <v>372</v>
      </c>
      <c r="J481" s="100"/>
      <c r="K481" s="100" t="s">
        <v>17</v>
      </c>
      <c r="L481" s="100" t="s">
        <v>17</v>
      </c>
      <c r="M481" s="100" t="s">
        <v>17</v>
      </c>
      <c r="N481" s="100" t="s">
        <v>17</v>
      </c>
      <c r="O481" s="100" t="s">
        <v>305</v>
      </c>
      <c r="P481" s="100" t="s">
        <v>305</v>
      </c>
      <c r="Q481" s="100"/>
      <c r="R481" s="100"/>
      <c r="S481" s="100" t="s">
        <v>305</v>
      </c>
      <c r="T481" s="100"/>
      <c r="U481" s="100" t="s">
        <v>17</v>
      </c>
      <c r="V481" s="100" t="s">
        <v>17</v>
      </c>
      <c r="W481" s="100" t="s">
        <v>305</v>
      </c>
      <c r="X481" s="100"/>
      <c r="Y481" s="100" t="s">
        <v>1352</v>
      </c>
      <c r="Z481" s="100" t="s">
        <v>1353</v>
      </c>
      <c r="AA481" s="100" t="s">
        <v>1354</v>
      </c>
    </row>
    <row r="482" spans="1:27" s="102" customFormat="1" ht="165.75" x14ac:dyDescent="0.2">
      <c r="A482" s="100" t="s">
        <v>867</v>
      </c>
      <c r="B482" s="100" t="s">
        <v>209</v>
      </c>
      <c r="C482" s="89" t="str">
        <f t="shared" si="8"/>
        <v>A.13.1.2 482</v>
      </c>
      <c r="D482" s="101" t="s">
        <v>604</v>
      </c>
      <c r="E482" s="100" t="s">
        <v>0</v>
      </c>
      <c r="F482" s="83" t="s">
        <v>1686</v>
      </c>
      <c r="G482" s="83" t="s">
        <v>1687</v>
      </c>
      <c r="H482" s="100" t="s">
        <v>844</v>
      </c>
      <c r="I482" s="100" t="s">
        <v>373</v>
      </c>
      <c r="J482" s="100"/>
      <c r="K482" s="100" t="s">
        <v>17</v>
      </c>
      <c r="L482" s="100" t="s">
        <v>17</v>
      </c>
      <c r="M482" s="100" t="s">
        <v>17</v>
      </c>
      <c r="N482" s="100" t="s">
        <v>17</v>
      </c>
      <c r="O482" s="100" t="s">
        <v>305</v>
      </c>
      <c r="P482" s="100" t="s">
        <v>305</v>
      </c>
      <c r="Q482" s="100"/>
      <c r="R482" s="100"/>
      <c r="S482" s="100" t="s">
        <v>305</v>
      </c>
      <c r="T482" s="100"/>
      <c r="U482" s="100" t="s">
        <v>17</v>
      </c>
      <c r="V482" s="100" t="s">
        <v>17</v>
      </c>
      <c r="W482" s="100" t="s">
        <v>305</v>
      </c>
      <c r="X482" s="100"/>
      <c r="Y482" s="100" t="s">
        <v>1355</v>
      </c>
      <c r="Z482" s="100" t="s">
        <v>1356</v>
      </c>
      <c r="AA482" s="100" t="s">
        <v>1357</v>
      </c>
    </row>
    <row r="483" spans="1:27" s="102" customFormat="1" ht="153" x14ac:dyDescent="0.2">
      <c r="A483" s="100" t="s">
        <v>867</v>
      </c>
      <c r="B483" s="100" t="s">
        <v>209</v>
      </c>
      <c r="C483" s="89" t="str">
        <f t="shared" si="8"/>
        <v>A.13.1.2 483</v>
      </c>
      <c r="D483" s="101" t="s">
        <v>605</v>
      </c>
      <c r="E483" s="100" t="s">
        <v>0</v>
      </c>
      <c r="F483" s="83" t="s">
        <v>1688</v>
      </c>
      <c r="G483" s="83" t="s">
        <v>1689</v>
      </c>
      <c r="H483" s="100" t="s">
        <v>845</v>
      </c>
      <c r="I483" s="100" t="s">
        <v>374</v>
      </c>
      <c r="J483" s="100"/>
      <c r="K483" s="100" t="s">
        <v>17</v>
      </c>
      <c r="L483" s="100" t="s">
        <v>17</v>
      </c>
      <c r="M483" s="100" t="s">
        <v>17</v>
      </c>
      <c r="N483" s="100" t="s">
        <v>17</v>
      </c>
      <c r="O483" s="100" t="s">
        <v>305</v>
      </c>
      <c r="P483" s="100" t="s">
        <v>305</v>
      </c>
      <c r="Q483" s="100"/>
      <c r="R483" s="100"/>
      <c r="S483" s="100" t="s">
        <v>305</v>
      </c>
      <c r="T483" s="100"/>
      <c r="U483" s="100" t="s">
        <v>17</v>
      </c>
      <c r="V483" s="100" t="s">
        <v>17</v>
      </c>
      <c r="W483" s="100" t="s">
        <v>305</v>
      </c>
      <c r="X483" s="100"/>
      <c r="Y483" s="100" t="s">
        <v>1358</v>
      </c>
      <c r="Z483" s="100" t="s">
        <v>1359</v>
      </c>
      <c r="AA483" s="100" t="s">
        <v>1360</v>
      </c>
    </row>
    <row r="484" spans="1:27" s="102" customFormat="1" ht="255" x14ac:dyDescent="0.2">
      <c r="A484" s="100" t="s">
        <v>867</v>
      </c>
      <c r="B484" s="100" t="s">
        <v>209</v>
      </c>
      <c r="C484" s="89" t="str">
        <f t="shared" si="8"/>
        <v>A.13.1.2 484</v>
      </c>
      <c r="D484" s="101" t="s">
        <v>606</v>
      </c>
      <c r="E484" s="100" t="s">
        <v>0</v>
      </c>
      <c r="F484" s="83" t="s">
        <v>1690</v>
      </c>
      <c r="G484" s="83" t="s">
        <v>1691</v>
      </c>
      <c r="H484" s="100" t="s">
        <v>846</v>
      </c>
      <c r="I484" s="100" t="s">
        <v>375</v>
      </c>
      <c r="J484" s="100"/>
      <c r="K484" s="100" t="s">
        <v>17</v>
      </c>
      <c r="L484" s="100" t="s">
        <v>17</v>
      </c>
      <c r="M484" s="100" t="s">
        <v>17</v>
      </c>
      <c r="N484" s="100" t="s">
        <v>17</v>
      </c>
      <c r="O484" s="100" t="s">
        <v>305</v>
      </c>
      <c r="P484" s="100" t="s">
        <v>305</v>
      </c>
      <c r="Q484" s="100"/>
      <c r="R484" s="100"/>
      <c r="S484" s="100" t="s">
        <v>305</v>
      </c>
      <c r="T484" s="100"/>
      <c r="U484" s="100" t="s">
        <v>17</v>
      </c>
      <c r="V484" s="100" t="s">
        <v>17</v>
      </c>
      <c r="W484" s="100" t="s">
        <v>305</v>
      </c>
      <c r="X484" s="100"/>
      <c r="Y484" s="100" t="s">
        <v>1361</v>
      </c>
      <c r="Z484" s="100" t="s">
        <v>1362</v>
      </c>
      <c r="AA484" s="100" t="s">
        <v>1363</v>
      </c>
    </row>
    <row r="485" spans="1:27" s="102" customFormat="1" ht="63.75" x14ac:dyDescent="0.2">
      <c r="A485" s="100" t="s">
        <v>867</v>
      </c>
      <c r="B485" s="100" t="s">
        <v>209</v>
      </c>
      <c r="C485" s="89" t="str">
        <f t="shared" si="8"/>
        <v>A.13.1.2 485</v>
      </c>
      <c r="D485" s="101" t="s">
        <v>612</v>
      </c>
      <c r="E485" s="100" t="s">
        <v>330</v>
      </c>
      <c r="F485" s="100" t="s">
        <v>417</v>
      </c>
      <c r="G485" s="100" t="s">
        <v>376</v>
      </c>
      <c r="H485" s="100"/>
      <c r="I485" s="100"/>
      <c r="J485" s="100"/>
      <c r="K485" s="100" t="s">
        <v>17</v>
      </c>
      <c r="L485" s="100" t="s">
        <v>17</v>
      </c>
      <c r="M485" s="100" t="s">
        <v>17</v>
      </c>
      <c r="N485" s="100" t="s">
        <v>305</v>
      </c>
      <c r="O485" s="100" t="s">
        <v>305</v>
      </c>
      <c r="P485" s="100" t="s">
        <v>17</v>
      </c>
      <c r="Q485" s="100"/>
      <c r="R485" s="100"/>
      <c r="S485" s="100" t="s">
        <v>305</v>
      </c>
      <c r="T485" s="100"/>
      <c r="U485" s="100" t="s">
        <v>17</v>
      </c>
      <c r="V485" s="100" t="s">
        <v>17</v>
      </c>
      <c r="W485" s="100" t="s">
        <v>305</v>
      </c>
      <c r="X485" s="100"/>
      <c r="Y485" s="100" t="s">
        <v>1364</v>
      </c>
      <c r="Z485" s="100" t="s">
        <v>1365</v>
      </c>
      <c r="AA485" s="100" t="s">
        <v>1366</v>
      </c>
    </row>
    <row r="486" spans="1:27" s="102" customFormat="1" ht="127.5" x14ac:dyDescent="0.2">
      <c r="A486" s="100" t="s">
        <v>867</v>
      </c>
      <c r="B486" s="100" t="s">
        <v>209</v>
      </c>
      <c r="C486" s="89" t="str">
        <f t="shared" si="8"/>
        <v>A.13.1.2 486</v>
      </c>
      <c r="D486" s="101" t="s">
        <v>601</v>
      </c>
      <c r="E486" s="100" t="s">
        <v>0</v>
      </c>
      <c r="F486" s="83" t="s">
        <v>1692</v>
      </c>
      <c r="G486" s="83" t="s">
        <v>1693</v>
      </c>
      <c r="H486" s="100" t="s">
        <v>847</v>
      </c>
      <c r="I486" s="100" t="s">
        <v>848</v>
      </c>
      <c r="J486" s="100"/>
      <c r="K486" s="100" t="s">
        <v>17</v>
      </c>
      <c r="L486" s="100" t="s">
        <v>17</v>
      </c>
      <c r="M486" s="100" t="s">
        <v>17</v>
      </c>
      <c r="N486" s="100" t="s">
        <v>305</v>
      </c>
      <c r="O486" s="100" t="s">
        <v>305</v>
      </c>
      <c r="P486" s="100" t="s">
        <v>17</v>
      </c>
      <c r="Q486" s="100"/>
      <c r="R486" s="100"/>
      <c r="S486" s="100" t="s">
        <v>305</v>
      </c>
      <c r="T486" s="100"/>
      <c r="U486" s="100" t="s">
        <v>17</v>
      </c>
      <c r="V486" s="100" t="s">
        <v>17</v>
      </c>
      <c r="W486" s="100" t="s">
        <v>305</v>
      </c>
      <c r="X486" s="100"/>
      <c r="Y486" s="100" t="s">
        <v>1367</v>
      </c>
      <c r="Z486" s="100" t="s">
        <v>1365</v>
      </c>
      <c r="AA486" s="100" t="s">
        <v>1366</v>
      </c>
    </row>
    <row r="487" spans="1:27" s="102" customFormat="1" ht="38.25" x14ac:dyDescent="0.2">
      <c r="A487" s="100" t="s">
        <v>867</v>
      </c>
      <c r="B487" s="100" t="s">
        <v>1368</v>
      </c>
      <c r="C487" s="89" t="str">
        <f t="shared" si="8"/>
        <v>A.13.2.1 487</v>
      </c>
      <c r="D487" s="101" t="s">
        <v>612</v>
      </c>
      <c r="E487" s="100" t="s">
        <v>330</v>
      </c>
      <c r="F487" s="100" t="s">
        <v>1369</v>
      </c>
      <c r="G487" s="100" t="s">
        <v>1370</v>
      </c>
      <c r="H487" s="100"/>
      <c r="I487" s="100"/>
      <c r="J487" s="100"/>
      <c r="K487" s="100" t="s">
        <v>17</v>
      </c>
      <c r="L487" s="100" t="s">
        <v>17</v>
      </c>
      <c r="M487" s="100" t="s">
        <v>17</v>
      </c>
      <c r="N487" s="100" t="s">
        <v>17</v>
      </c>
      <c r="O487" s="100" t="s">
        <v>305</v>
      </c>
      <c r="P487" s="100" t="s">
        <v>305</v>
      </c>
      <c r="Q487" s="100"/>
      <c r="R487" s="100"/>
      <c r="S487" s="100" t="s">
        <v>17</v>
      </c>
      <c r="T487" s="100"/>
      <c r="U487" s="100"/>
      <c r="V487" s="100" t="s">
        <v>17</v>
      </c>
      <c r="W487" s="100" t="s">
        <v>305</v>
      </c>
      <c r="X487" s="100" t="s">
        <v>17</v>
      </c>
      <c r="Y487" s="100" t="s">
        <v>1371</v>
      </c>
      <c r="Z487" s="100" t="s">
        <v>1372</v>
      </c>
      <c r="AA487" s="100" t="s">
        <v>1373</v>
      </c>
    </row>
    <row r="488" spans="1:27" s="102" customFormat="1" ht="395.25" x14ac:dyDescent="0.2">
      <c r="A488" s="100" t="s">
        <v>867</v>
      </c>
      <c r="B488" s="100" t="s">
        <v>1368</v>
      </c>
      <c r="C488" s="89" t="str">
        <f t="shared" si="8"/>
        <v>A.13.2.1 488</v>
      </c>
      <c r="D488" s="101" t="s">
        <v>601</v>
      </c>
      <c r="E488" s="100" t="s">
        <v>0</v>
      </c>
      <c r="F488" s="83" t="s">
        <v>1694</v>
      </c>
      <c r="G488" s="83" t="s">
        <v>1695</v>
      </c>
      <c r="H488" s="100" t="s">
        <v>1374</v>
      </c>
      <c r="I488" s="100" t="s">
        <v>1375</v>
      </c>
      <c r="J488" s="100"/>
      <c r="K488" s="100" t="s">
        <v>17</v>
      </c>
      <c r="L488" s="100" t="s">
        <v>17</v>
      </c>
      <c r="M488" s="100" t="s">
        <v>17</v>
      </c>
      <c r="N488" s="100" t="s">
        <v>17</v>
      </c>
      <c r="O488" s="100" t="s">
        <v>305</v>
      </c>
      <c r="P488" s="100" t="s">
        <v>305</v>
      </c>
      <c r="Q488" s="100"/>
      <c r="R488" s="100"/>
      <c r="S488" s="100" t="s">
        <v>17</v>
      </c>
      <c r="T488" s="100"/>
      <c r="U488" s="100"/>
      <c r="V488" s="100" t="s">
        <v>17</v>
      </c>
      <c r="W488" s="100" t="s">
        <v>305</v>
      </c>
      <c r="X488" s="100" t="s">
        <v>17</v>
      </c>
      <c r="Y488" s="100" t="s">
        <v>1376</v>
      </c>
      <c r="Z488" s="100" t="s">
        <v>1377</v>
      </c>
      <c r="AA488" s="100" t="s">
        <v>1378</v>
      </c>
    </row>
    <row r="489" spans="1:27" s="102" customFormat="1" ht="178.5" x14ac:dyDescent="0.2">
      <c r="A489" s="100" t="s">
        <v>867</v>
      </c>
      <c r="B489" s="100" t="s">
        <v>1368</v>
      </c>
      <c r="C489" s="89" t="str">
        <f t="shared" si="8"/>
        <v>A.13.2.1 489</v>
      </c>
      <c r="D489" s="101" t="s">
        <v>602</v>
      </c>
      <c r="E489" s="100" t="s">
        <v>0</v>
      </c>
      <c r="F489" s="83" t="s">
        <v>1696</v>
      </c>
      <c r="G489" s="83" t="s">
        <v>1697</v>
      </c>
      <c r="H489" s="100" t="s">
        <v>1379</v>
      </c>
      <c r="I489" s="100" t="s">
        <v>1380</v>
      </c>
      <c r="J489" s="100"/>
      <c r="K489" s="100" t="s">
        <v>17</v>
      </c>
      <c r="L489" s="100" t="s">
        <v>17</v>
      </c>
      <c r="M489" s="100" t="s">
        <v>17</v>
      </c>
      <c r="N489" s="100" t="s">
        <v>17</v>
      </c>
      <c r="O489" s="100" t="s">
        <v>305</v>
      </c>
      <c r="P489" s="100" t="s">
        <v>305</v>
      </c>
      <c r="Q489" s="100"/>
      <c r="R489" s="100"/>
      <c r="S489" s="100" t="s">
        <v>17</v>
      </c>
      <c r="T489" s="100"/>
      <c r="U489" s="100"/>
      <c r="V489" s="100" t="s">
        <v>17</v>
      </c>
      <c r="W489" s="100" t="s">
        <v>305</v>
      </c>
      <c r="X489" s="100" t="s">
        <v>17</v>
      </c>
      <c r="Y489" s="100" t="s">
        <v>1381</v>
      </c>
      <c r="Z489" s="100" t="s">
        <v>1382</v>
      </c>
      <c r="AA489" s="100" t="s">
        <v>1383</v>
      </c>
    </row>
    <row r="490" spans="1:27" s="102" customFormat="1" ht="409.5" x14ac:dyDescent="0.2">
      <c r="A490" s="100" t="s">
        <v>867</v>
      </c>
      <c r="B490" s="100" t="s">
        <v>1368</v>
      </c>
      <c r="C490" s="89" t="str">
        <f t="shared" si="8"/>
        <v>A.13.2.1 490</v>
      </c>
      <c r="D490" s="101" t="s">
        <v>603</v>
      </c>
      <c r="E490" s="100" t="s">
        <v>0</v>
      </c>
      <c r="F490" s="83" t="s">
        <v>1698</v>
      </c>
      <c r="G490" s="83" t="s">
        <v>1699</v>
      </c>
      <c r="H490" s="100" t="s">
        <v>1384</v>
      </c>
      <c r="I490" s="100" t="s">
        <v>1385</v>
      </c>
      <c r="J490" s="100"/>
      <c r="K490" s="100" t="s">
        <v>17</v>
      </c>
      <c r="L490" s="100" t="s">
        <v>17</v>
      </c>
      <c r="M490" s="100" t="s">
        <v>17</v>
      </c>
      <c r="N490" s="100" t="s">
        <v>17</v>
      </c>
      <c r="O490" s="100" t="s">
        <v>305</v>
      </c>
      <c r="P490" s="100" t="s">
        <v>305</v>
      </c>
      <c r="Q490" s="100"/>
      <c r="R490" s="100"/>
      <c r="S490" s="100" t="s">
        <v>17</v>
      </c>
      <c r="T490" s="100"/>
      <c r="U490" s="100"/>
      <c r="V490" s="100" t="s">
        <v>17</v>
      </c>
      <c r="W490" s="100" t="s">
        <v>305</v>
      </c>
      <c r="X490" s="100" t="s">
        <v>17</v>
      </c>
      <c r="Y490" s="100" t="s">
        <v>1386</v>
      </c>
      <c r="Z490" s="100" t="s">
        <v>1387</v>
      </c>
      <c r="AA490" s="100" t="s">
        <v>1388</v>
      </c>
    </row>
    <row r="491" spans="1:27" s="102" customFormat="1" ht="38.25" x14ac:dyDescent="0.2">
      <c r="A491" s="100" t="s">
        <v>867</v>
      </c>
      <c r="B491" s="100" t="s">
        <v>386</v>
      </c>
      <c r="C491" s="89" t="str">
        <f t="shared" si="8"/>
        <v>A.16.1.4 491</v>
      </c>
      <c r="D491" s="101" t="s">
        <v>612</v>
      </c>
      <c r="E491" s="100" t="s">
        <v>330</v>
      </c>
      <c r="F491" s="100" t="s">
        <v>1480</v>
      </c>
      <c r="G491" s="100" t="s">
        <v>1481</v>
      </c>
      <c r="H491" s="100"/>
      <c r="I491" s="100"/>
      <c r="J491" s="100"/>
      <c r="K491" s="100" t="s">
        <v>17</v>
      </c>
      <c r="L491" s="100" t="s">
        <v>17</v>
      </c>
      <c r="M491" s="100" t="s">
        <v>17</v>
      </c>
      <c r="N491" s="100" t="s">
        <v>17</v>
      </c>
      <c r="O491" s="100" t="s">
        <v>305</v>
      </c>
      <c r="P491" s="100" t="s">
        <v>305</v>
      </c>
      <c r="Q491" s="100" t="s">
        <v>17</v>
      </c>
      <c r="R491" s="100" t="s">
        <v>17</v>
      </c>
      <c r="S491" s="100" t="s">
        <v>17</v>
      </c>
      <c r="T491" s="100" t="s">
        <v>17</v>
      </c>
      <c r="U491" s="100"/>
      <c r="V491" s="100" t="s">
        <v>305</v>
      </c>
      <c r="W491" s="100" t="s">
        <v>305</v>
      </c>
      <c r="X491" s="100" t="s">
        <v>17</v>
      </c>
      <c r="Y491" s="100" t="s">
        <v>1389</v>
      </c>
      <c r="Z491" s="100" t="s">
        <v>1390</v>
      </c>
      <c r="AA491" s="100" t="s">
        <v>1391</v>
      </c>
    </row>
    <row r="492" spans="1:27" s="102" customFormat="1" ht="191.25" x14ac:dyDescent="0.2">
      <c r="A492" s="100" t="s">
        <v>867</v>
      </c>
      <c r="B492" s="100" t="s">
        <v>386</v>
      </c>
      <c r="C492" s="89" t="str">
        <f t="shared" si="8"/>
        <v>A.16.1.4 492</v>
      </c>
      <c r="D492" s="101" t="s">
        <v>601</v>
      </c>
      <c r="E492" s="100" t="s">
        <v>0</v>
      </c>
      <c r="F492" s="112" t="s">
        <v>1773</v>
      </c>
      <c r="G492" s="112" t="s">
        <v>1774</v>
      </c>
      <c r="H492" s="100" t="s">
        <v>1392</v>
      </c>
      <c r="I492" s="100" t="s">
        <v>1393</v>
      </c>
      <c r="J492" s="100"/>
      <c r="K492" s="100" t="s">
        <v>17</v>
      </c>
      <c r="L492" s="100" t="s">
        <v>17</v>
      </c>
      <c r="M492" s="100" t="s">
        <v>17</v>
      </c>
      <c r="N492" s="100" t="s">
        <v>17</v>
      </c>
      <c r="O492" s="100" t="s">
        <v>305</v>
      </c>
      <c r="P492" s="100" t="s">
        <v>305</v>
      </c>
      <c r="Q492" s="100" t="s">
        <v>17</v>
      </c>
      <c r="R492" s="100" t="s">
        <v>17</v>
      </c>
      <c r="S492" s="100" t="s">
        <v>17</v>
      </c>
      <c r="T492" s="100" t="s">
        <v>17</v>
      </c>
      <c r="U492" s="100"/>
      <c r="V492" s="100" t="s">
        <v>17</v>
      </c>
      <c r="W492" s="100" t="s">
        <v>305</v>
      </c>
      <c r="X492" s="100" t="s">
        <v>17</v>
      </c>
      <c r="Y492" s="100" t="s">
        <v>1394</v>
      </c>
      <c r="Z492" s="100" t="s">
        <v>1395</v>
      </c>
      <c r="AA492" s="100" t="s">
        <v>1396</v>
      </c>
    </row>
    <row r="493" spans="1:27" s="102" customFormat="1" ht="229.5" x14ac:dyDescent="0.2">
      <c r="A493" s="100" t="s">
        <v>867</v>
      </c>
      <c r="B493" s="100" t="s">
        <v>386</v>
      </c>
      <c r="C493" s="89" t="str">
        <f t="shared" si="8"/>
        <v>A.16.1.4 493</v>
      </c>
      <c r="D493" s="101" t="s">
        <v>602</v>
      </c>
      <c r="E493" s="100" t="s">
        <v>0</v>
      </c>
      <c r="F493" s="83" t="s">
        <v>1700</v>
      </c>
      <c r="G493" s="83" t="s">
        <v>1701</v>
      </c>
      <c r="H493" s="100" t="s">
        <v>849</v>
      </c>
      <c r="I493" s="100" t="s">
        <v>850</v>
      </c>
      <c r="J493" s="100"/>
      <c r="K493" s="100" t="s">
        <v>17</v>
      </c>
      <c r="L493" s="100" t="s">
        <v>17</v>
      </c>
      <c r="M493" s="100" t="s">
        <v>17</v>
      </c>
      <c r="N493" s="100" t="s">
        <v>17</v>
      </c>
      <c r="O493" s="100" t="s">
        <v>305</v>
      </c>
      <c r="P493" s="100" t="s">
        <v>305</v>
      </c>
      <c r="Q493" s="100" t="s">
        <v>17</v>
      </c>
      <c r="R493" s="100" t="s">
        <v>17</v>
      </c>
      <c r="S493" s="100" t="s">
        <v>17</v>
      </c>
      <c r="T493" s="100" t="s">
        <v>17</v>
      </c>
      <c r="U493" s="100"/>
      <c r="V493" s="100" t="s">
        <v>17</v>
      </c>
      <c r="W493" s="100" t="s">
        <v>305</v>
      </c>
      <c r="X493" s="100" t="s">
        <v>17</v>
      </c>
      <c r="Y493" s="100" t="s">
        <v>1397</v>
      </c>
      <c r="Z493" s="100" t="s">
        <v>1398</v>
      </c>
      <c r="AA493" s="100" t="s">
        <v>1399</v>
      </c>
    </row>
    <row r="494" spans="1:27" s="102" customFormat="1" ht="242.25" x14ac:dyDescent="0.2">
      <c r="A494" s="100" t="s">
        <v>867</v>
      </c>
      <c r="B494" s="100" t="s">
        <v>386</v>
      </c>
      <c r="C494" s="89" t="str">
        <f t="shared" si="8"/>
        <v>A.16.1.4 494</v>
      </c>
      <c r="D494" s="101" t="s">
        <v>603</v>
      </c>
      <c r="E494" s="100" t="s">
        <v>0</v>
      </c>
      <c r="F494" s="83" t="s">
        <v>1702</v>
      </c>
      <c r="G494" s="83" t="s">
        <v>1703</v>
      </c>
      <c r="H494" s="100" t="s">
        <v>851</v>
      </c>
      <c r="I494" s="100" t="s">
        <v>852</v>
      </c>
      <c r="J494" s="100"/>
      <c r="K494" s="100" t="s">
        <v>17</v>
      </c>
      <c r="L494" s="100" t="s">
        <v>17</v>
      </c>
      <c r="M494" s="100" t="s">
        <v>17</v>
      </c>
      <c r="N494" s="100" t="s">
        <v>17</v>
      </c>
      <c r="O494" s="100" t="s">
        <v>305</v>
      </c>
      <c r="P494" s="100" t="s">
        <v>305</v>
      </c>
      <c r="Q494" s="100" t="s">
        <v>17</v>
      </c>
      <c r="R494" s="100" t="s">
        <v>17</v>
      </c>
      <c r="S494" s="100" t="s">
        <v>17</v>
      </c>
      <c r="T494" s="100" t="s">
        <v>17</v>
      </c>
      <c r="U494" s="100"/>
      <c r="V494" s="100" t="s">
        <v>17</v>
      </c>
      <c r="W494" s="100" t="s">
        <v>305</v>
      </c>
      <c r="X494" s="100" t="s">
        <v>17</v>
      </c>
      <c r="Y494" s="100" t="s">
        <v>1400</v>
      </c>
      <c r="Z494" s="100" t="s">
        <v>1401</v>
      </c>
      <c r="AA494" s="100" t="s">
        <v>1402</v>
      </c>
    </row>
    <row r="495" spans="1:27" s="102" customFormat="1" ht="25.5" x14ac:dyDescent="0.2">
      <c r="A495" s="100" t="s">
        <v>867</v>
      </c>
      <c r="B495" s="100" t="s">
        <v>292</v>
      </c>
      <c r="C495" s="89" t="str">
        <f t="shared" si="8"/>
        <v>A.16.1.3 495</v>
      </c>
      <c r="D495" s="101" t="s">
        <v>612</v>
      </c>
      <c r="E495" s="100" t="s">
        <v>330</v>
      </c>
      <c r="F495" s="100" t="s">
        <v>295</v>
      </c>
      <c r="G495" s="100" t="s">
        <v>653</v>
      </c>
      <c r="H495" s="100"/>
      <c r="I495" s="100"/>
      <c r="J495" s="100"/>
      <c r="K495" s="100" t="s">
        <v>17</v>
      </c>
      <c r="L495" s="100" t="s">
        <v>17</v>
      </c>
      <c r="M495" s="100" t="s">
        <v>17</v>
      </c>
      <c r="N495" s="100" t="s">
        <v>17</v>
      </c>
      <c r="O495" s="100" t="s">
        <v>305</v>
      </c>
      <c r="P495" s="100" t="s">
        <v>305</v>
      </c>
      <c r="Q495" s="100" t="s">
        <v>17</v>
      </c>
      <c r="R495" s="100" t="s">
        <v>17</v>
      </c>
      <c r="S495" s="100" t="s">
        <v>17</v>
      </c>
      <c r="T495" s="100" t="s">
        <v>17</v>
      </c>
      <c r="U495" s="100"/>
      <c r="V495" s="100" t="s">
        <v>305</v>
      </c>
      <c r="W495" s="100" t="s">
        <v>305</v>
      </c>
      <c r="X495" s="100" t="s">
        <v>17</v>
      </c>
      <c r="Y495" s="100" t="s">
        <v>1403</v>
      </c>
      <c r="Z495" s="100" t="s">
        <v>1404</v>
      </c>
      <c r="AA495" s="100" t="s">
        <v>1405</v>
      </c>
    </row>
    <row r="496" spans="1:27" s="102" customFormat="1" ht="165.75" x14ac:dyDescent="0.2">
      <c r="A496" s="100" t="s">
        <v>867</v>
      </c>
      <c r="B496" s="100" t="s">
        <v>292</v>
      </c>
      <c r="C496" s="89" t="str">
        <f t="shared" si="8"/>
        <v>A.16.1.3 496</v>
      </c>
      <c r="D496" s="101" t="s">
        <v>601</v>
      </c>
      <c r="E496" s="100" t="s">
        <v>0</v>
      </c>
      <c r="F496" s="112" t="s">
        <v>1775</v>
      </c>
      <c r="G496" s="112" t="s">
        <v>1776</v>
      </c>
      <c r="H496" s="100" t="s">
        <v>853</v>
      </c>
      <c r="I496" s="100" t="s">
        <v>854</v>
      </c>
      <c r="J496" s="100"/>
      <c r="K496" s="100" t="s">
        <v>17</v>
      </c>
      <c r="L496" s="100" t="s">
        <v>17</v>
      </c>
      <c r="M496" s="100" t="s">
        <v>17</v>
      </c>
      <c r="N496" s="100" t="s">
        <v>17</v>
      </c>
      <c r="O496" s="100" t="s">
        <v>305</v>
      </c>
      <c r="P496" s="100" t="s">
        <v>305</v>
      </c>
      <c r="Q496" s="100" t="s">
        <v>17</v>
      </c>
      <c r="R496" s="100" t="s">
        <v>17</v>
      </c>
      <c r="S496" s="100" t="s">
        <v>17</v>
      </c>
      <c r="T496" s="100" t="s">
        <v>17</v>
      </c>
      <c r="U496" s="100"/>
      <c r="V496" s="100" t="s">
        <v>17</v>
      </c>
      <c r="W496" s="100" t="s">
        <v>305</v>
      </c>
      <c r="X496" s="100" t="s">
        <v>17</v>
      </c>
      <c r="Y496" s="100" t="s">
        <v>1406</v>
      </c>
      <c r="Z496" s="100" t="s">
        <v>1404</v>
      </c>
      <c r="AA496" s="100" t="s">
        <v>1405</v>
      </c>
    </row>
    <row r="497" spans="1:35" s="102" customFormat="1" ht="153" x14ac:dyDescent="0.2">
      <c r="A497" s="100" t="s">
        <v>867</v>
      </c>
      <c r="B497" s="100" t="s">
        <v>292</v>
      </c>
      <c r="C497" s="89" t="str">
        <f t="shared" si="8"/>
        <v>A.16.1.3 497</v>
      </c>
      <c r="D497" s="101" t="s">
        <v>602</v>
      </c>
      <c r="E497" s="100" t="s">
        <v>0</v>
      </c>
      <c r="F497" s="83" t="s">
        <v>1704</v>
      </c>
      <c r="G497" s="83" t="s">
        <v>1705</v>
      </c>
      <c r="H497" s="100" t="s">
        <v>855</v>
      </c>
      <c r="I497" s="100" t="s">
        <v>856</v>
      </c>
      <c r="J497" s="100"/>
      <c r="K497" s="100" t="s">
        <v>17</v>
      </c>
      <c r="L497" s="100" t="s">
        <v>17</v>
      </c>
      <c r="M497" s="100" t="s">
        <v>17</v>
      </c>
      <c r="N497" s="100" t="s">
        <v>17</v>
      </c>
      <c r="O497" s="100" t="s">
        <v>305</v>
      </c>
      <c r="P497" s="100" t="s">
        <v>305</v>
      </c>
      <c r="Q497" s="100" t="s">
        <v>17</v>
      </c>
      <c r="R497" s="100" t="s">
        <v>17</v>
      </c>
      <c r="S497" s="100" t="s">
        <v>17</v>
      </c>
      <c r="T497" s="100" t="s">
        <v>17</v>
      </c>
      <c r="U497" s="100"/>
      <c r="V497" s="100" t="s">
        <v>17</v>
      </c>
      <c r="W497" s="100" t="s">
        <v>305</v>
      </c>
      <c r="X497" s="100" t="s">
        <v>17</v>
      </c>
      <c r="Y497" s="100" t="s">
        <v>1407</v>
      </c>
      <c r="Z497" s="100" t="s">
        <v>1408</v>
      </c>
      <c r="AA497" s="100" t="s">
        <v>1409</v>
      </c>
    </row>
    <row r="498" spans="1:35" s="102" customFormat="1" ht="38.25" x14ac:dyDescent="0.2">
      <c r="A498" s="100" t="s">
        <v>867</v>
      </c>
      <c r="B498" s="100" t="s">
        <v>288</v>
      </c>
      <c r="C498" s="89" t="str">
        <f t="shared" si="8"/>
        <v>A.16.1.2 498</v>
      </c>
      <c r="D498" s="101" t="s">
        <v>612</v>
      </c>
      <c r="E498" s="100" t="s">
        <v>330</v>
      </c>
      <c r="F498" s="100" t="s">
        <v>1483</v>
      </c>
      <c r="G498" s="100" t="s">
        <v>1482</v>
      </c>
      <c r="H498" s="100"/>
      <c r="I498" s="100"/>
      <c r="J498" s="100"/>
      <c r="K498" s="100" t="s">
        <v>17</v>
      </c>
      <c r="L498" s="100" t="s">
        <v>17</v>
      </c>
      <c r="M498" s="100" t="s">
        <v>17</v>
      </c>
      <c r="N498" s="100" t="s">
        <v>17</v>
      </c>
      <c r="O498" s="100" t="s">
        <v>305</v>
      </c>
      <c r="P498" s="100" t="s">
        <v>305</v>
      </c>
      <c r="Q498" s="100" t="s">
        <v>17</v>
      </c>
      <c r="R498" s="100" t="s">
        <v>17</v>
      </c>
      <c r="S498" s="100" t="s">
        <v>17</v>
      </c>
      <c r="T498" s="100" t="s">
        <v>17</v>
      </c>
      <c r="U498" s="100"/>
      <c r="V498" s="100" t="s">
        <v>305</v>
      </c>
      <c r="W498" s="100" t="s">
        <v>305</v>
      </c>
      <c r="X498" s="100" t="s">
        <v>17</v>
      </c>
      <c r="Y498" s="100" t="s">
        <v>1410</v>
      </c>
      <c r="Z498" s="100" t="s">
        <v>1254</v>
      </c>
      <c r="AA498" s="100" t="s">
        <v>1255</v>
      </c>
    </row>
    <row r="499" spans="1:35" s="102" customFormat="1" ht="216.75" x14ac:dyDescent="0.2">
      <c r="A499" s="100" t="s">
        <v>867</v>
      </c>
      <c r="B499" s="100" t="s">
        <v>288</v>
      </c>
      <c r="C499" s="89" t="str">
        <f t="shared" si="8"/>
        <v>A.16.1.2 499</v>
      </c>
      <c r="D499" s="101" t="s">
        <v>601</v>
      </c>
      <c r="E499" s="100" t="s">
        <v>0</v>
      </c>
      <c r="F499" s="112" t="s">
        <v>1777</v>
      </c>
      <c r="G499" s="112" t="s">
        <v>1778</v>
      </c>
      <c r="H499" s="100" t="s">
        <v>857</v>
      </c>
      <c r="I499" s="100" t="s">
        <v>1411</v>
      </c>
      <c r="J499" s="100"/>
      <c r="K499" s="100" t="s">
        <v>17</v>
      </c>
      <c r="L499" s="100" t="s">
        <v>17</v>
      </c>
      <c r="M499" s="100" t="s">
        <v>17</v>
      </c>
      <c r="N499" s="100" t="s">
        <v>17</v>
      </c>
      <c r="O499" s="100" t="s">
        <v>305</v>
      </c>
      <c r="P499" s="100" t="s">
        <v>305</v>
      </c>
      <c r="Q499" s="100" t="s">
        <v>17</v>
      </c>
      <c r="R499" s="100" t="s">
        <v>17</v>
      </c>
      <c r="S499" s="100" t="s">
        <v>17</v>
      </c>
      <c r="T499" s="100" t="s">
        <v>17</v>
      </c>
      <c r="U499" s="100"/>
      <c r="V499" s="100" t="s">
        <v>17</v>
      </c>
      <c r="W499" s="100" t="s">
        <v>305</v>
      </c>
      <c r="X499" s="100" t="s">
        <v>17</v>
      </c>
      <c r="Y499" s="100" t="s">
        <v>1412</v>
      </c>
      <c r="Z499" s="100" t="s">
        <v>1413</v>
      </c>
      <c r="AA499" s="100" t="s">
        <v>1414</v>
      </c>
    </row>
    <row r="500" spans="1:35" s="102" customFormat="1" ht="267.75" x14ac:dyDescent="0.2">
      <c r="A500" s="100" t="s">
        <v>867</v>
      </c>
      <c r="B500" s="100" t="s">
        <v>288</v>
      </c>
      <c r="C500" s="89" t="str">
        <f t="shared" si="8"/>
        <v>A.16.1.2 500</v>
      </c>
      <c r="D500" s="101" t="s">
        <v>602</v>
      </c>
      <c r="E500" s="100" t="s">
        <v>0</v>
      </c>
      <c r="F500" s="83" t="s">
        <v>1706</v>
      </c>
      <c r="G500" s="83" t="s">
        <v>1707</v>
      </c>
      <c r="H500" s="100" t="s">
        <v>1415</v>
      </c>
      <c r="I500" s="100" t="s">
        <v>1416</v>
      </c>
      <c r="J500" s="100"/>
      <c r="K500" s="100" t="s">
        <v>17</v>
      </c>
      <c r="L500" s="100" t="s">
        <v>17</v>
      </c>
      <c r="M500" s="100" t="s">
        <v>17</v>
      </c>
      <c r="N500" s="100" t="s">
        <v>17</v>
      </c>
      <c r="O500" s="100" t="s">
        <v>305</v>
      </c>
      <c r="P500" s="100" t="s">
        <v>305</v>
      </c>
      <c r="Q500" s="100" t="s">
        <v>17</v>
      </c>
      <c r="R500" s="100" t="s">
        <v>17</v>
      </c>
      <c r="S500" s="100" t="s">
        <v>17</v>
      </c>
      <c r="T500" s="100" t="s">
        <v>17</v>
      </c>
      <c r="U500" s="100"/>
      <c r="V500" s="100" t="s">
        <v>17</v>
      </c>
      <c r="W500" s="100" t="s">
        <v>305</v>
      </c>
      <c r="X500" s="100" t="s">
        <v>17</v>
      </c>
      <c r="Y500" s="100" t="s">
        <v>1417</v>
      </c>
      <c r="Z500" s="100" t="s">
        <v>1418</v>
      </c>
      <c r="AA500" s="100" t="s">
        <v>1419</v>
      </c>
    </row>
    <row r="501" spans="1:35" s="102" customFormat="1" ht="89.25" x14ac:dyDescent="0.2">
      <c r="A501" s="100" t="s">
        <v>867</v>
      </c>
      <c r="B501" s="100" t="s">
        <v>288</v>
      </c>
      <c r="C501" s="89" t="str">
        <f t="shared" si="8"/>
        <v>A.16.1.2 501</v>
      </c>
      <c r="D501" s="101" t="s">
        <v>612</v>
      </c>
      <c r="E501" s="100" t="s">
        <v>330</v>
      </c>
      <c r="F501" s="100" t="s">
        <v>1484</v>
      </c>
      <c r="G501" s="100" t="s">
        <v>1482</v>
      </c>
      <c r="H501" s="100"/>
      <c r="I501" s="100"/>
      <c r="J501" s="100"/>
      <c r="K501" s="100" t="s">
        <v>17</v>
      </c>
      <c r="L501" s="100" t="s">
        <v>17</v>
      </c>
      <c r="M501" s="100" t="s">
        <v>17</v>
      </c>
      <c r="N501" s="100" t="s">
        <v>17</v>
      </c>
      <c r="O501" s="100" t="s">
        <v>305</v>
      </c>
      <c r="P501" s="100" t="s">
        <v>305</v>
      </c>
      <c r="Q501" s="100" t="s">
        <v>17</v>
      </c>
      <c r="R501" s="100" t="s">
        <v>17</v>
      </c>
      <c r="S501" s="100" t="s">
        <v>17</v>
      </c>
      <c r="T501" s="100" t="s">
        <v>17</v>
      </c>
      <c r="U501" s="100"/>
      <c r="V501" s="100" t="s">
        <v>305</v>
      </c>
      <c r="W501" s="100" t="s">
        <v>305</v>
      </c>
      <c r="X501" s="100" t="s">
        <v>17</v>
      </c>
      <c r="Y501" s="100" t="s">
        <v>1420</v>
      </c>
      <c r="Z501" s="100" t="s">
        <v>1421</v>
      </c>
      <c r="AA501" s="100" t="s">
        <v>1422</v>
      </c>
    </row>
    <row r="502" spans="1:35" s="102" customFormat="1" ht="178.5" x14ac:dyDescent="0.2">
      <c r="A502" s="100" t="s">
        <v>867</v>
      </c>
      <c r="B502" s="100" t="s">
        <v>288</v>
      </c>
      <c r="C502" s="89" t="str">
        <f t="shared" si="8"/>
        <v>A.16.1.2 502</v>
      </c>
      <c r="D502" s="101" t="s">
        <v>601</v>
      </c>
      <c r="E502" s="100" t="s">
        <v>0</v>
      </c>
      <c r="F502" s="83" t="s">
        <v>1708</v>
      </c>
      <c r="G502" s="83" t="s">
        <v>1709</v>
      </c>
      <c r="H502" s="100" t="s">
        <v>858</v>
      </c>
      <c r="I502" s="100" t="s">
        <v>859</v>
      </c>
      <c r="J502" s="100"/>
      <c r="K502" s="100" t="s">
        <v>17</v>
      </c>
      <c r="L502" s="100" t="s">
        <v>17</v>
      </c>
      <c r="M502" s="100" t="s">
        <v>17</v>
      </c>
      <c r="N502" s="100" t="s">
        <v>17</v>
      </c>
      <c r="O502" s="100" t="s">
        <v>305</v>
      </c>
      <c r="P502" s="100" t="s">
        <v>305</v>
      </c>
      <c r="Q502" s="100" t="s">
        <v>17</v>
      </c>
      <c r="R502" s="100" t="s">
        <v>17</v>
      </c>
      <c r="S502" s="100" t="s">
        <v>17</v>
      </c>
      <c r="T502" s="100" t="s">
        <v>17</v>
      </c>
      <c r="U502" s="100"/>
      <c r="V502" s="100" t="s">
        <v>17</v>
      </c>
      <c r="W502" s="100" t="s">
        <v>305</v>
      </c>
      <c r="X502" s="100" t="s">
        <v>17</v>
      </c>
      <c r="Y502" s="100" t="s">
        <v>1423</v>
      </c>
      <c r="Z502" s="100" t="s">
        <v>1424</v>
      </c>
      <c r="AA502" s="100" t="s">
        <v>1425</v>
      </c>
    </row>
    <row r="503" spans="1:35" s="102" customFormat="1" ht="38.25" x14ac:dyDescent="0.2">
      <c r="A503" s="100" t="s">
        <v>867</v>
      </c>
      <c r="B503" s="100" t="s">
        <v>387</v>
      </c>
      <c r="C503" s="89" t="str">
        <f t="shared" si="8"/>
        <v>A.18.2 503</v>
      </c>
      <c r="D503" s="101" t="s">
        <v>612</v>
      </c>
      <c r="E503" s="100" t="s">
        <v>330</v>
      </c>
      <c r="F503" s="100" t="s">
        <v>420</v>
      </c>
      <c r="G503" s="100" t="s">
        <v>377</v>
      </c>
      <c r="H503" s="100"/>
      <c r="I503" s="100"/>
      <c r="J503" s="100"/>
      <c r="K503" s="100" t="s">
        <v>17</v>
      </c>
      <c r="L503" s="100" t="s">
        <v>17</v>
      </c>
      <c r="M503" s="100" t="s">
        <v>17</v>
      </c>
      <c r="N503" s="100" t="s">
        <v>305</v>
      </c>
      <c r="O503" s="100" t="s">
        <v>305</v>
      </c>
      <c r="P503" s="100" t="s">
        <v>17</v>
      </c>
      <c r="Q503" s="100"/>
      <c r="R503" s="100" t="s">
        <v>17</v>
      </c>
      <c r="S503" s="100" t="s">
        <v>17</v>
      </c>
      <c r="T503" s="100"/>
      <c r="U503" s="100"/>
      <c r="V503" s="100" t="s">
        <v>17</v>
      </c>
      <c r="W503" s="100" t="s">
        <v>305</v>
      </c>
      <c r="X503" s="100" t="s">
        <v>17</v>
      </c>
      <c r="Y503" s="100" t="s">
        <v>1426</v>
      </c>
      <c r="Z503" s="100" t="s">
        <v>1427</v>
      </c>
      <c r="AA503" s="100" t="s">
        <v>1428</v>
      </c>
    </row>
    <row r="504" spans="1:35" s="102" customFormat="1" ht="178.5" x14ac:dyDescent="0.2">
      <c r="A504" s="100" t="s">
        <v>867</v>
      </c>
      <c r="B504" s="100" t="s">
        <v>387</v>
      </c>
      <c r="C504" s="89" t="str">
        <f t="shared" si="8"/>
        <v>A.18.2 504</v>
      </c>
      <c r="D504" s="101" t="s">
        <v>601</v>
      </c>
      <c r="E504" s="100" t="s">
        <v>0</v>
      </c>
      <c r="F504" s="83" t="s">
        <v>1710</v>
      </c>
      <c r="G504" s="83" t="s">
        <v>1711</v>
      </c>
      <c r="H504" s="100" t="s">
        <v>860</v>
      </c>
      <c r="I504" s="100" t="s">
        <v>378</v>
      </c>
      <c r="J504" s="100"/>
      <c r="K504" s="100" t="s">
        <v>17</v>
      </c>
      <c r="L504" s="100" t="s">
        <v>17</v>
      </c>
      <c r="M504" s="100" t="s">
        <v>17</v>
      </c>
      <c r="N504" s="100" t="s">
        <v>305</v>
      </c>
      <c r="O504" s="100" t="s">
        <v>305</v>
      </c>
      <c r="P504" s="100" t="s">
        <v>17</v>
      </c>
      <c r="Q504" s="100"/>
      <c r="R504" s="100" t="s">
        <v>17</v>
      </c>
      <c r="S504" s="100" t="s">
        <v>17</v>
      </c>
      <c r="T504" s="100"/>
      <c r="U504" s="100"/>
      <c r="V504" s="100" t="s">
        <v>17</v>
      </c>
      <c r="W504" s="100" t="s">
        <v>305</v>
      </c>
      <c r="X504" s="100" t="s">
        <v>17</v>
      </c>
      <c r="Y504" s="100" t="s">
        <v>1429</v>
      </c>
      <c r="Z504" s="100" t="s">
        <v>1430</v>
      </c>
      <c r="AA504" s="100" t="s">
        <v>1431</v>
      </c>
    </row>
    <row r="505" spans="1:35" s="102" customFormat="1" ht="153" x14ac:dyDescent="0.2">
      <c r="A505" s="100" t="s">
        <v>867</v>
      </c>
      <c r="B505" s="100" t="s">
        <v>387</v>
      </c>
      <c r="C505" s="89" t="str">
        <f t="shared" si="8"/>
        <v>A.18.2 505</v>
      </c>
      <c r="D505" s="101" t="s">
        <v>602</v>
      </c>
      <c r="E505" s="100" t="s">
        <v>0</v>
      </c>
      <c r="F505" s="83" t="s">
        <v>1712</v>
      </c>
      <c r="G505" s="83" t="s">
        <v>1713</v>
      </c>
      <c r="H505" s="100" t="s">
        <v>861</v>
      </c>
      <c r="I505" s="100" t="s">
        <v>862</v>
      </c>
      <c r="J505" s="100"/>
      <c r="K505" s="100" t="s">
        <v>17</v>
      </c>
      <c r="L505" s="100" t="s">
        <v>17</v>
      </c>
      <c r="M505" s="100" t="s">
        <v>17</v>
      </c>
      <c r="N505" s="100" t="s">
        <v>305</v>
      </c>
      <c r="O505" s="100" t="s">
        <v>305</v>
      </c>
      <c r="P505" s="100" t="s">
        <v>17</v>
      </c>
      <c r="Q505" s="100"/>
      <c r="R505" s="100" t="s">
        <v>17</v>
      </c>
      <c r="S505" s="100" t="s">
        <v>17</v>
      </c>
      <c r="T505" s="100"/>
      <c r="U505" s="100"/>
      <c r="V505" s="100" t="s">
        <v>17</v>
      </c>
      <c r="W505" s="100" t="s">
        <v>305</v>
      </c>
      <c r="X505" s="100" t="s">
        <v>17</v>
      </c>
      <c r="Y505" s="100" t="s">
        <v>1432</v>
      </c>
      <c r="Z505" s="100" t="s">
        <v>1433</v>
      </c>
      <c r="AA505" s="100" t="s">
        <v>1434</v>
      </c>
    </row>
    <row r="506" spans="1:35" s="102" customFormat="1" ht="127.5" x14ac:dyDescent="0.2">
      <c r="A506" s="100" t="s">
        <v>867</v>
      </c>
      <c r="B506" s="100" t="s">
        <v>387</v>
      </c>
      <c r="C506" s="89" t="str">
        <f t="shared" si="8"/>
        <v>A.18.2 506</v>
      </c>
      <c r="D506" s="101" t="s">
        <v>603</v>
      </c>
      <c r="E506" s="100" t="s">
        <v>0</v>
      </c>
      <c r="F506" s="112" t="s">
        <v>1779</v>
      </c>
      <c r="G506" s="112" t="s">
        <v>1780</v>
      </c>
      <c r="H506" s="100" t="s">
        <v>863</v>
      </c>
      <c r="I506" s="100" t="s">
        <v>379</v>
      </c>
      <c r="J506" s="100"/>
      <c r="K506" s="100" t="s">
        <v>17</v>
      </c>
      <c r="L506" s="100" t="s">
        <v>17</v>
      </c>
      <c r="M506" s="100" t="s">
        <v>17</v>
      </c>
      <c r="N506" s="100" t="s">
        <v>305</v>
      </c>
      <c r="O506" s="100" t="s">
        <v>305</v>
      </c>
      <c r="P506" s="100" t="s">
        <v>17</v>
      </c>
      <c r="Q506" s="100"/>
      <c r="R506" s="100" t="s">
        <v>17</v>
      </c>
      <c r="S506" s="100" t="s">
        <v>17</v>
      </c>
      <c r="T506" s="100"/>
      <c r="U506" s="100"/>
      <c r="V506" s="100" t="s">
        <v>17</v>
      </c>
      <c r="W506" s="100" t="s">
        <v>305</v>
      </c>
      <c r="X506" s="100" t="s">
        <v>17</v>
      </c>
      <c r="Y506" s="100" t="s">
        <v>1435</v>
      </c>
      <c r="Z506" s="100" t="s">
        <v>1436</v>
      </c>
      <c r="AA506" s="100" t="s">
        <v>1437</v>
      </c>
    </row>
    <row r="507" spans="1:35" s="102" customFormat="1" ht="255" x14ac:dyDescent="0.2">
      <c r="A507" s="100" t="s">
        <v>867</v>
      </c>
      <c r="B507" s="100" t="s">
        <v>387</v>
      </c>
      <c r="C507" s="89" t="str">
        <f t="shared" si="8"/>
        <v>A.18.2 507</v>
      </c>
      <c r="D507" s="101" t="s">
        <v>604</v>
      </c>
      <c r="E507" s="100" t="s">
        <v>0</v>
      </c>
      <c r="F507" s="112" t="s">
        <v>1781</v>
      </c>
      <c r="G507" s="112" t="s">
        <v>1782</v>
      </c>
      <c r="H507" s="100" t="s">
        <v>864</v>
      </c>
      <c r="I507" s="100" t="s">
        <v>865</v>
      </c>
      <c r="J507" s="100"/>
      <c r="K507" s="100" t="s">
        <v>17</v>
      </c>
      <c r="L507" s="100" t="s">
        <v>17</v>
      </c>
      <c r="M507" s="100" t="s">
        <v>17</v>
      </c>
      <c r="N507" s="100" t="s">
        <v>305</v>
      </c>
      <c r="O507" s="100" t="s">
        <v>305</v>
      </c>
      <c r="P507" s="100" t="s">
        <v>17</v>
      </c>
      <c r="Q507" s="100"/>
      <c r="R507" s="100" t="s">
        <v>17</v>
      </c>
      <c r="S507" s="100" t="s">
        <v>17</v>
      </c>
      <c r="T507" s="100"/>
      <c r="U507" s="100"/>
      <c r="V507" s="100" t="s">
        <v>17</v>
      </c>
      <c r="W507" s="100" t="s">
        <v>305</v>
      </c>
      <c r="X507" s="100" t="s">
        <v>17</v>
      </c>
      <c r="Y507" s="100" t="s">
        <v>1438</v>
      </c>
      <c r="Z507" s="100" t="s">
        <v>1439</v>
      </c>
      <c r="AA507" s="100" t="s">
        <v>1440</v>
      </c>
    </row>
    <row r="508" spans="1:35" s="102" customFormat="1" ht="293.25" x14ac:dyDescent="0.2">
      <c r="A508" s="100" t="s">
        <v>867</v>
      </c>
      <c r="B508" s="100" t="s">
        <v>387</v>
      </c>
      <c r="C508" s="89" t="str">
        <f t="shared" si="8"/>
        <v>A.18.2 508</v>
      </c>
      <c r="D508" s="101" t="s">
        <v>605</v>
      </c>
      <c r="E508" s="100" t="s">
        <v>0</v>
      </c>
      <c r="F508" s="83" t="s">
        <v>1714</v>
      </c>
      <c r="G508" s="83" t="s">
        <v>1715</v>
      </c>
      <c r="H508" s="100" t="s">
        <v>866</v>
      </c>
      <c r="I508" s="100" t="s">
        <v>380</v>
      </c>
      <c r="J508" s="100"/>
      <c r="K508" s="100" t="s">
        <v>17</v>
      </c>
      <c r="L508" s="100" t="s">
        <v>17</v>
      </c>
      <c r="M508" s="100" t="s">
        <v>17</v>
      </c>
      <c r="N508" s="100" t="s">
        <v>305</v>
      </c>
      <c r="O508" s="100" t="s">
        <v>305</v>
      </c>
      <c r="P508" s="100" t="s">
        <v>17</v>
      </c>
      <c r="Q508" s="100"/>
      <c r="R508" s="100" t="s">
        <v>17</v>
      </c>
      <c r="S508" s="100" t="s">
        <v>17</v>
      </c>
      <c r="T508" s="100"/>
      <c r="U508" s="100"/>
      <c r="V508" s="100" t="s">
        <v>17</v>
      </c>
      <c r="W508" s="100" t="s">
        <v>305</v>
      </c>
      <c r="X508" s="100" t="s">
        <v>17</v>
      </c>
      <c r="Y508" s="100" t="s">
        <v>1441</v>
      </c>
      <c r="Z508" s="100" t="s">
        <v>1442</v>
      </c>
      <c r="AA508" s="100" t="s">
        <v>1443</v>
      </c>
    </row>
    <row r="509" spans="1:35" s="102" customFormat="1" ht="51" x14ac:dyDescent="0.2">
      <c r="A509" s="100" t="s">
        <v>867</v>
      </c>
      <c r="B509" s="100" t="s">
        <v>298</v>
      </c>
      <c r="C509" s="89" t="str">
        <f t="shared" si="8"/>
        <v>A.18.2.3 509</v>
      </c>
      <c r="D509" s="101" t="s">
        <v>612</v>
      </c>
      <c r="E509" s="100" t="s">
        <v>330</v>
      </c>
      <c r="F509" s="100" t="s">
        <v>1457</v>
      </c>
      <c r="G509" s="100" t="s">
        <v>664</v>
      </c>
      <c r="H509" s="100"/>
      <c r="I509" s="100"/>
      <c r="J509" s="100"/>
      <c r="K509" s="100" t="s">
        <v>17</v>
      </c>
      <c r="L509" s="100" t="s">
        <v>17</v>
      </c>
      <c r="M509" s="100" t="s">
        <v>17</v>
      </c>
      <c r="N509" s="100" t="s">
        <v>17</v>
      </c>
      <c r="O509" s="100" t="s">
        <v>305</v>
      </c>
      <c r="P509" s="100" t="s">
        <v>305</v>
      </c>
      <c r="Q509" s="100" t="s">
        <v>17</v>
      </c>
      <c r="R509" s="100" t="s">
        <v>17</v>
      </c>
      <c r="S509" s="100" t="s">
        <v>17</v>
      </c>
      <c r="T509" s="100" t="s">
        <v>17</v>
      </c>
      <c r="U509" s="100" t="s">
        <v>17</v>
      </c>
      <c r="V509" s="100" t="s">
        <v>305</v>
      </c>
      <c r="W509" s="100" t="s">
        <v>305</v>
      </c>
      <c r="X509" s="100" t="s">
        <v>17</v>
      </c>
      <c r="Y509" s="100" t="s">
        <v>1444</v>
      </c>
      <c r="Z509" s="100" t="s">
        <v>1445</v>
      </c>
      <c r="AA509" s="100" t="s">
        <v>1446</v>
      </c>
    </row>
    <row r="510" spans="1:35" s="102" customFormat="1" ht="102" x14ac:dyDescent="0.2">
      <c r="A510" s="100" t="s">
        <v>867</v>
      </c>
      <c r="B510" s="100" t="s">
        <v>298</v>
      </c>
      <c r="C510" s="89" t="str">
        <f t="shared" si="8"/>
        <v>A.18.2.3 510</v>
      </c>
      <c r="D510" s="101" t="s">
        <v>601</v>
      </c>
      <c r="E510" s="100" t="s">
        <v>0</v>
      </c>
      <c r="F510" s="112" t="s">
        <v>1783</v>
      </c>
      <c r="G510" s="112" t="s">
        <v>1784</v>
      </c>
      <c r="H510" s="100" t="s">
        <v>421</v>
      </c>
      <c r="I510" s="100" t="s">
        <v>381</v>
      </c>
      <c r="J510" s="100"/>
      <c r="K510" s="100" t="s">
        <v>17</v>
      </c>
      <c r="L510" s="100" t="s">
        <v>17</v>
      </c>
      <c r="M510" s="100" t="s">
        <v>17</v>
      </c>
      <c r="N510" s="100" t="s">
        <v>17</v>
      </c>
      <c r="O510" s="100" t="s">
        <v>305</v>
      </c>
      <c r="P510" s="100" t="s">
        <v>305</v>
      </c>
      <c r="Q510" s="100" t="s">
        <v>17</v>
      </c>
      <c r="R510" s="100" t="s">
        <v>17</v>
      </c>
      <c r="S510" s="100" t="s">
        <v>17</v>
      </c>
      <c r="T510" s="100" t="s">
        <v>17</v>
      </c>
      <c r="U510" s="100" t="s">
        <v>17</v>
      </c>
      <c r="V510" s="100" t="s">
        <v>17</v>
      </c>
      <c r="W510" s="100" t="s">
        <v>305</v>
      </c>
      <c r="X510" s="100" t="s">
        <v>17</v>
      </c>
      <c r="Y510" s="100" t="s">
        <v>1447</v>
      </c>
      <c r="Z510" s="100" t="s">
        <v>1448</v>
      </c>
      <c r="AA510" s="100" t="s">
        <v>1449</v>
      </c>
    </row>
    <row r="511" spans="1:35" ht="114.75" x14ac:dyDescent="0.25">
      <c r="A511" s="89" t="s">
        <v>868</v>
      </c>
      <c r="B511" s="89" t="s">
        <v>103</v>
      </c>
      <c r="C511" s="89" t="str">
        <f>CONCATENATE(B511," ",TEXT(ROW(B511),"000"))</f>
        <v>A.09.3.1 511</v>
      </c>
      <c r="D511" s="90" t="s">
        <v>607</v>
      </c>
      <c r="E511" s="89" t="s">
        <v>8</v>
      </c>
      <c r="F511" s="91" t="s">
        <v>474</v>
      </c>
      <c r="G511" s="91" t="s">
        <v>473</v>
      </c>
      <c r="H511" s="91"/>
      <c r="I511" s="91"/>
      <c r="K511" s="89" t="s">
        <v>17</v>
      </c>
      <c r="L511" s="89" t="s">
        <v>17</v>
      </c>
      <c r="M511" s="89" t="s">
        <v>17</v>
      </c>
      <c r="N511" s="89" t="s">
        <v>305</v>
      </c>
      <c r="O511" s="89" t="s">
        <v>17</v>
      </c>
      <c r="P511" s="89" t="s">
        <v>17</v>
      </c>
      <c r="Q511" s="89" t="s">
        <v>10</v>
      </c>
      <c r="R511" s="89" t="s">
        <v>17</v>
      </c>
      <c r="S511" s="89" t="s">
        <v>17</v>
      </c>
      <c r="T511" s="89" t="s">
        <v>17</v>
      </c>
      <c r="V511" s="89" t="s">
        <v>17</v>
      </c>
      <c r="W511" s="89" t="s">
        <v>17</v>
      </c>
      <c r="X511" s="89" t="s">
        <v>17</v>
      </c>
      <c r="Y511" s="95"/>
      <c r="AH511" s="89" t="str">
        <f>IFERROR(VLOOKUP($Y511,#REF!,AH$1,FALSE),"")</f>
        <v/>
      </c>
      <c r="AI511" s="89" t="str">
        <f>IFERROR(VLOOKUP($Y511,#REF!,AI$1,FALSE),"")</f>
        <v/>
      </c>
    </row>
    <row r="512" spans="1:35" ht="38.25" x14ac:dyDescent="0.25">
      <c r="A512" s="89" t="s">
        <v>868</v>
      </c>
      <c r="B512" s="89" t="s">
        <v>185</v>
      </c>
      <c r="C512" s="89" t="str">
        <f>CONCATENATE(B512," ",TEXT(ROW(B512),"000"))</f>
        <v>A.12.4.1 512</v>
      </c>
      <c r="D512" s="90" t="s">
        <v>601</v>
      </c>
      <c r="E512" s="89" t="s">
        <v>8</v>
      </c>
      <c r="F512" s="91" t="s">
        <v>543</v>
      </c>
      <c r="G512" s="91" t="s">
        <v>542</v>
      </c>
      <c r="H512" s="91"/>
      <c r="I512" s="91"/>
      <c r="K512" s="89" t="s">
        <v>17</v>
      </c>
      <c r="L512" s="89" t="s">
        <v>17</v>
      </c>
      <c r="M512" s="89" t="s">
        <v>17</v>
      </c>
      <c r="N512" s="89" t="s">
        <v>305</v>
      </c>
      <c r="O512" s="89" t="s">
        <v>17</v>
      </c>
      <c r="P512" s="89" t="s">
        <v>17</v>
      </c>
      <c r="R512" s="89" t="s">
        <v>17</v>
      </c>
      <c r="T512" s="89" t="s">
        <v>17</v>
      </c>
      <c r="V512" s="89" t="s">
        <v>17</v>
      </c>
      <c r="W512" s="89" t="s">
        <v>305</v>
      </c>
      <c r="X512" s="89" t="s">
        <v>17</v>
      </c>
      <c r="Y512" s="95"/>
      <c r="AH512" s="89" t="str">
        <f>IFERROR(VLOOKUP($Y512,#REF!,AH$1,FALSE),"")</f>
        <v/>
      </c>
      <c r="AI512" s="89" t="str">
        <f>IFERROR(VLOOKUP($Y512,#REF!,AI$1,FALSE),"")</f>
        <v/>
      </c>
    </row>
    <row r="513" spans="2:16" x14ac:dyDescent="0.25">
      <c r="B513" s="97"/>
      <c r="N513" s="97"/>
      <c r="O513" s="97"/>
      <c r="P513" s="97"/>
    </row>
    <row r="514" spans="2:16" x14ac:dyDescent="0.25">
      <c r="B514" s="97"/>
      <c r="N514" s="97"/>
      <c r="O514" s="97"/>
      <c r="P514" s="97"/>
    </row>
    <row r="515" spans="2:16" x14ac:dyDescent="0.25">
      <c r="B515" s="97"/>
      <c r="N515" s="97"/>
      <c r="O515" s="97"/>
      <c r="P515" s="97"/>
    </row>
    <row r="516" spans="2:16" x14ac:dyDescent="0.25">
      <c r="B516" s="97"/>
      <c r="N516" s="97"/>
      <c r="O516" s="97"/>
      <c r="P516" s="97"/>
    </row>
    <row r="517" spans="2:16" x14ac:dyDescent="0.25">
      <c r="B517" s="97"/>
      <c r="N517" s="97"/>
      <c r="O517" s="97"/>
      <c r="P517" s="97"/>
    </row>
    <row r="518" spans="2:16" x14ac:dyDescent="0.25">
      <c r="B518" s="97"/>
      <c r="N518" s="97"/>
      <c r="O518" s="97"/>
      <c r="P518" s="97"/>
    </row>
    <row r="519" spans="2:16" x14ac:dyDescent="0.25">
      <c r="B519" s="97"/>
      <c r="N519" s="97"/>
      <c r="O519" s="97"/>
      <c r="P519" s="97"/>
    </row>
    <row r="520" spans="2:16" x14ac:dyDescent="0.25">
      <c r="B520" s="97"/>
      <c r="N520" s="97"/>
      <c r="O520" s="97"/>
      <c r="P520" s="97"/>
    </row>
    <row r="521" spans="2:16" x14ac:dyDescent="0.25">
      <c r="B521" s="97"/>
      <c r="N521" s="97"/>
      <c r="O521" s="97"/>
      <c r="P521" s="97"/>
    </row>
    <row r="522" spans="2:16" x14ac:dyDescent="0.25">
      <c r="B522" s="97"/>
      <c r="N522" s="97"/>
      <c r="O522" s="97"/>
      <c r="P522" s="97"/>
    </row>
    <row r="523" spans="2:16" x14ac:dyDescent="0.25">
      <c r="B523" s="97"/>
      <c r="N523" s="97"/>
      <c r="O523" s="97"/>
      <c r="P523" s="97"/>
    </row>
    <row r="524" spans="2:16" x14ac:dyDescent="0.25">
      <c r="B524" s="97"/>
      <c r="N524" s="97"/>
      <c r="O524" s="97"/>
      <c r="P524" s="97"/>
    </row>
    <row r="525" spans="2:16" x14ac:dyDescent="0.25">
      <c r="B525" s="97"/>
      <c r="N525" s="97"/>
      <c r="O525" s="97"/>
      <c r="P525" s="97"/>
    </row>
    <row r="526" spans="2:16" x14ac:dyDescent="0.25">
      <c r="B526" s="97"/>
      <c r="N526" s="97"/>
      <c r="O526" s="97"/>
      <c r="P526" s="97"/>
    </row>
    <row r="527" spans="2:16" x14ac:dyDescent="0.25">
      <c r="B527" s="97"/>
      <c r="N527" s="97"/>
      <c r="O527" s="97"/>
      <c r="P527" s="97"/>
    </row>
    <row r="528" spans="2:16" x14ac:dyDescent="0.25">
      <c r="B528" s="97"/>
      <c r="N528" s="97"/>
      <c r="O528" s="97"/>
      <c r="P528" s="97"/>
    </row>
    <row r="529" spans="2:16" x14ac:dyDescent="0.25">
      <c r="B529" s="97"/>
      <c r="N529" s="97"/>
      <c r="O529" s="97"/>
      <c r="P529" s="97"/>
    </row>
    <row r="530" spans="2:16" x14ac:dyDescent="0.25">
      <c r="B530" s="97"/>
      <c r="N530" s="97"/>
      <c r="O530" s="97"/>
      <c r="P530" s="97"/>
    </row>
    <row r="531" spans="2:16" x14ac:dyDescent="0.25">
      <c r="B531" s="97"/>
      <c r="N531" s="97"/>
      <c r="O531" s="97"/>
      <c r="P531" s="97"/>
    </row>
    <row r="532" spans="2:16" x14ac:dyDescent="0.25">
      <c r="B532" s="97"/>
      <c r="N532" s="97"/>
      <c r="O532" s="97"/>
      <c r="P532" s="97"/>
    </row>
    <row r="533" spans="2:16" x14ac:dyDescent="0.25">
      <c r="B533" s="97"/>
      <c r="N533" s="97"/>
      <c r="O533" s="97"/>
      <c r="P533" s="97"/>
    </row>
    <row r="534" spans="2:16" x14ac:dyDescent="0.25">
      <c r="B534" s="97"/>
      <c r="N534" s="97"/>
      <c r="O534" s="97"/>
      <c r="P534" s="97"/>
    </row>
    <row r="535" spans="2:16" x14ac:dyDescent="0.25">
      <c r="B535" s="97"/>
      <c r="N535" s="97"/>
      <c r="O535" s="97"/>
      <c r="P535" s="97"/>
    </row>
    <row r="536" spans="2:16" x14ac:dyDescent="0.25">
      <c r="B536" s="97"/>
      <c r="N536" s="97"/>
      <c r="O536" s="97"/>
      <c r="P536" s="97"/>
    </row>
    <row r="537" spans="2:16" x14ac:dyDescent="0.25">
      <c r="B537" s="97"/>
      <c r="N537" s="97"/>
      <c r="O537" s="97"/>
      <c r="P537" s="97"/>
    </row>
    <row r="538" spans="2:16" x14ac:dyDescent="0.25">
      <c r="B538" s="97"/>
      <c r="N538" s="97"/>
      <c r="O538" s="97"/>
      <c r="P538" s="97"/>
    </row>
    <row r="539" spans="2:16" x14ac:dyDescent="0.25">
      <c r="B539" s="97"/>
      <c r="N539" s="97"/>
      <c r="O539" s="97"/>
      <c r="P539" s="97"/>
    </row>
    <row r="540" spans="2:16" x14ac:dyDescent="0.25">
      <c r="B540" s="97"/>
      <c r="N540" s="97"/>
      <c r="O540" s="97"/>
      <c r="P540" s="97"/>
    </row>
    <row r="541" spans="2:16" x14ac:dyDescent="0.25">
      <c r="N541" s="97"/>
      <c r="O541" s="97"/>
      <c r="P541" s="97"/>
    </row>
    <row r="542" spans="2:16" x14ac:dyDescent="0.25">
      <c r="N542" s="97"/>
      <c r="O542" s="97"/>
      <c r="P542" s="97"/>
    </row>
    <row r="543" spans="2:16" x14ac:dyDescent="0.25">
      <c r="N543" s="97"/>
      <c r="O543" s="97"/>
      <c r="P543" s="97"/>
    </row>
    <row r="544" spans="2:16" x14ac:dyDescent="0.25">
      <c r="N544" s="97"/>
      <c r="O544" s="97"/>
      <c r="P544" s="97"/>
    </row>
    <row r="545" spans="14:16" x14ac:dyDescent="0.25">
      <c r="N545" s="97"/>
      <c r="O545" s="97"/>
      <c r="P545" s="97"/>
    </row>
    <row r="546" spans="14:16" x14ac:dyDescent="0.25">
      <c r="N546" s="97"/>
      <c r="O546" s="97"/>
      <c r="P546" s="97"/>
    </row>
    <row r="547" spans="14:16" x14ac:dyDescent="0.25">
      <c r="N547" s="97"/>
      <c r="O547" s="97"/>
      <c r="P547" s="97"/>
    </row>
    <row r="548" spans="14:16" x14ac:dyDescent="0.25">
      <c r="N548" s="97"/>
      <c r="O548" s="97"/>
      <c r="P548" s="97"/>
    </row>
    <row r="549" spans="14:16" x14ac:dyDescent="0.25">
      <c r="N549" s="97"/>
      <c r="O549" s="97"/>
      <c r="P549" s="97"/>
    </row>
    <row r="550" spans="14:16" x14ac:dyDescent="0.25">
      <c r="N550" s="97"/>
      <c r="O550" s="97"/>
      <c r="P550" s="97"/>
    </row>
    <row r="551" spans="14:16" x14ac:dyDescent="0.25">
      <c r="N551" s="97"/>
      <c r="O551" s="97"/>
      <c r="P551" s="97"/>
    </row>
    <row r="552" spans="14:16" x14ac:dyDescent="0.25">
      <c r="N552" s="97"/>
      <c r="O552" s="97"/>
      <c r="P552" s="97"/>
    </row>
    <row r="553" spans="14:16" x14ac:dyDescent="0.25">
      <c r="N553" s="97"/>
      <c r="O553" s="97"/>
      <c r="P553" s="97"/>
    </row>
    <row r="554" spans="14:16" x14ac:dyDescent="0.25">
      <c r="N554" s="97"/>
      <c r="O554" s="97"/>
      <c r="P554" s="97"/>
    </row>
    <row r="555" spans="14:16" x14ac:dyDescent="0.25">
      <c r="N555" s="97"/>
      <c r="O555" s="97"/>
      <c r="P555" s="97"/>
    </row>
    <row r="556" spans="14:16" x14ac:dyDescent="0.25">
      <c r="N556" s="97"/>
      <c r="O556" s="97"/>
      <c r="P556" s="97"/>
    </row>
    <row r="557" spans="14:16" x14ac:dyDescent="0.25">
      <c r="N557" s="97"/>
      <c r="O557" s="97"/>
      <c r="P557" s="97"/>
    </row>
    <row r="558" spans="14:16" x14ac:dyDescent="0.25">
      <c r="N558" s="97"/>
      <c r="O558" s="97"/>
      <c r="P558" s="97"/>
    </row>
    <row r="559" spans="14:16" x14ac:dyDescent="0.25">
      <c r="N559" s="97"/>
      <c r="O559" s="97"/>
      <c r="P559" s="97"/>
    </row>
    <row r="560" spans="14:16" x14ac:dyDescent="0.25">
      <c r="N560" s="97"/>
      <c r="O560" s="97"/>
      <c r="P560" s="97"/>
    </row>
    <row r="561" spans="7:16" x14ac:dyDescent="0.25">
      <c r="G561" s="97"/>
      <c r="H561" s="97"/>
      <c r="I561" s="97"/>
      <c r="N561" s="97"/>
      <c r="O561" s="97"/>
      <c r="P561" s="97"/>
    </row>
    <row r="562" spans="7:16" x14ac:dyDescent="0.25">
      <c r="G562" s="97"/>
      <c r="H562" s="97"/>
      <c r="I562" s="97"/>
      <c r="N562" s="97"/>
      <c r="O562" s="97"/>
      <c r="P562" s="97"/>
    </row>
    <row r="563" spans="7:16" x14ac:dyDescent="0.25">
      <c r="G563" s="97"/>
      <c r="H563" s="97"/>
      <c r="I563" s="97"/>
      <c r="N563" s="97"/>
      <c r="O563" s="97"/>
      <c r="P563" s="97"/>
    </row>
    <row r="564" spans="7:16" x14ac:dyDescent="0.25">
      <c r="G564" s="97"/>
      <c r="H564" s="97"/>
      <c r="I564" s="97"/>
      <c r="N564" s="97"/>
      <c r="O564" s="97"/>
      <c r="P564" s="97"/>
    </row>
    <row r="565" spans="7:16" x14ac:dyDescent="0.25">
      <c r="G565" s="97"/>
      <c r="H565" s="97"/>
      <c r="I565" s="97"/>
      <c r="N565" s="97"/>
      <c r="O565" s="97"/>
      <c r="P565" s="97"/>
    </row>
    <row r="566" spans="7:16" x14ac:dyDescent="0.25">
      <c r="G566" s="97"/>
      <c r="H566" s="97"/>
      <c r="I566" s="97"/>
      <c r="N566" s="97"/>
      <c r="O566" s="97"/>
      <c r="P566" s="97"/>
    </row>
    <row r="567" spans="7:16" x14ac:dyDescent="0.25">
      <c r="G567" s="97"/>
      <c r="H567" s="97"/>
      <c r="I567" s="97"/>
      <c r="N567" s="97"/>
      <c r="O567" s="97"/>
      <c r="P567" s="97"/>
    </row>
    <row r="568" spans="7:16" x14ac:dyDescent="0.25">
      <c r="G568" s="97"/>
      <c r="H568" s="97"/>
      <c r="I568" s="97"/>
      <c r="N568" s="97"/>
      <c r="O568" s="97"/>
      <c r="P568" s="97"/>
    </row>
    <row r="569" spans="7:16" x14ac:dyDescent="0.25">
      <c r="G569" s="97"/>
      <c r="H569" s="97"/>
      <c r="I569" s="97"/>
      <c r="N569" s="97"/>
      <c r="O569" s="97"/>
      <c r="P569" s="97"/>
    </row>
    <row r="570" spans="7:16" x14ac:dyDescent="0.25">
      <c r="G570" s="97"/>
      <c r="H570" s="97"/>
      <c r="I570" s="97"/>
      <c r="N570" s="97"/>
      <c r="O570" s="97"/>
      <c r="P570" s="97"/>
    </row>
    <row r="571" spans="7:16" x14ac:dyDescent="0.25">
      <c r="G571" s="97"/>
      <c r="H571" s="97"/>
      <c r="I571" s="97"/>
      <c r="N571" s="97"/>
      <c r="O571" s="97"/>
      <c r="P571" s="97"/>
    </row>
    <row r="572" spans="7:16" x14ac:dyDescent="0.25">
      <c r="G572" s="97"/>
      <c r="H572" s="97"/>
      <c r="I572" s="97"/>
      <c r="N572" s="97"/>
      <c r="O572" s="97"/>
      <c r="P572" s="97"/>
    </row>
    <row r="573" spans="7:16" x14ac:dyDescent="0.25">
      <c r="G573" s="97"/>
      <c r="H573" s="97"/>
      <c r="I573" s="97"/>
      <c r="N573" s="97"/>
      <c r="O573" s="97"/>
      <c r="P573" s="97"/>
    </row>
    <row r="574" spans="7:16" x14ac:dyDescent="0.25">
      <c r="G574" s="97"/>
      <c r="H574" s="97"/>
      <c r="I574" s="97"/>
      <c r="N574" s="97"/>
      <c r="O574" s="97"/>
      <c r="P574" s="97"/>
    </row>
    <row r="575" spans="7:16" x14ac:dyDescent="0.25">
      <c r="G575" s="97"/>
      <c r="H575" s="97"/>
      <c r="I575" s="97"/>
      <c r="N575" s="97"/>
      <c r="O575" s="97"/>
      <c r="P575" s="97"/>
    </row>
    <row r="576" spans="7:16" x14ac:dyDescent="0.25">
      <c r="G576" s="97"/>
      <c r="H576" s="97"/>
      <c r="I576" s="97"/>
      <c r="N576" s="97"/>
      <c r="O576" s="97"/>
      <c r="P576" s="97"/>
    </row>
    <row r="577" spans="7:16" x14ac:dyDescent="0.25">
      <c r="G577" s="97"/>
      <c r="H577" s="97"/>
      <c r="I577" s="97"/>
      <c r="N577" s="97"/>
      <c r="O577" s="97"/>
      <c r="P577" s="97"/>
    </row>
    <row r="578" spans="7:16" x14ac:dyDescent="0.25">
      <c r="G578" s="97"/>
      <c r="H578" s="97"/>
      <c r="I578" s="97"/>
      <c r="N578" s="97"/>
      <c r="O578" s="97"/>
      <c r="P578" s="97"/>
    </row>
    <row r="579" spans="7:16" x14ac:dyDescent="0.25">
      <c r="G579" s="97"/>
      <c r="H579" s="97"/>
      <c r="I579" s="97"/>
      <c r="N579" s="97"/>
      <c r="O579" s="97"/>
      <c r="P579" s="97"/>
    </row>
    <row r="580" spans="7:16" x14ac:dyDescent="0.25">
      <c r="G580" s="97"/>
      <c r="H580" s="97"/>
      <c r="I580" s="97"/>
      <c r="N580" s="97"/>
      <c r="O580" s="97"/>
      <c r="P580" s="97"/>
    </row>
    <row r="581" spans="7:16" x14ac:dyDescent="0.25">
      <c r="G581" s="97"/>
      <c r="H581" s="97"/>
      <c r="I581" s="97"/>
      <c r="N581" s="97"/>
      <c r="O581" s="97"/>
      <c r="P581" s="97"/>
    </row>
    <row r="582" spans="7:16" x14ac:dyDescent="0.25">
      <c r="G582" s="97"/>
      <c r="H582" s="97"/>
      <c r="I582" s="97"/>
      <c r="N582" s="97"/>
      <c r="O582" s="97"/>
      <c r="P582" s="97"/>
    </row>
    <row r="583" spans="7:16" x14ac:dyDescent="0.25">
      <c r="G583" s="97"/>
      <c r="H583" s="97"/>
      <c r="I583" s="97"/>
      <c r="N583" s="97"/>
      <c r="O583" s="97"/>
      <c r="P583" s="97"/>
    </row>
    <row r="584" spans="7:16" x14ac:dyDescent="0.25">
      <c r="G584" s="97"/>
      <c r="H584" s="97"/>
      <c r="I584" s="97"/>
      <c r="N584" s="97"/>
      <c r="O584" s="97"/>
      <c r="P584" s="97"/>
    </row>
    <row r="585" spans="7:16" x14ac:dyDescent="0.25">
      <c r="G585" s="97"/>
      <c r="H585" s="97"/>
      <c r="I585" s="97"/>
      <c r="N585" s="97"/>
      <c r="O585" s="97"/>
      <c r="P585" s="97"/>
    </row>
    <row r="586" spans="7:16" x14ac:dyDescent="0.25">
      <c r="G586" s="97"/>
      <c r="H586" s="97"/>
      <c r="I586" s="97"/>
      <c r="N586" s="97"/>
      <c r="O586" s="97"/>
      <c r="P586" s="97"/>
    </row>
    <row r="587" spans="7:16" x14ac:dyDescent="0.25">
      <c r="G587" s="97"/>
      <c r="H587" s="97"/>
      <c r="I587" s="97"/>
      <c r="N587" s="97"/>
      <c r="O587" s="97"/>
      <c r="P587" s="97"/>
    </row>
    <row r="588" spans="7:16" x14ac:dyDescent="0.25">
      <c r="G588" s="97"/>
      <c r="H588" s="97"/>
      <c r="I588" s="97"/>
      <c r="N588" s="97"/>
      <c r="O588" s="97"/>
      <c r="P588" s="97"/>
    </row>
    <row r="589" spans="7:16" x14ac:dyDescent="0.25">
      <c r="G589" s="97"/>
      <c r="H589" s="97"/>
      <c r="I589" s="97"/>
      <c r="N589" s="97"/>
      <c r="O589" s="97"/>
      <c r="P589" s="97"/>
    </row>
    <row r="590" spans="7:16" x14ac:dyDescent="0.25">
      <c r="G590" s="97"/>
      <c r="H590" s="97"/>
      <c r="I590" s="97"/>
      <c r="N590" s="97"/>
      <c r="O590" s="97"/>
      <c r="P590" s="97"/>
    </row>
    <row r="591" spans="7:16" x14ac:dyDescent="0.25">
      <c r="G591" s="97"/>
      <c r="H591" s="97"/>
      <c r="I591" s="97"/>
      <c r="N591" s="97"/>
      <c r="O591" s="97"/>
      <c r="P591" s="97"/>
    </row>
    <row r="592" spans="7:16" x14ac:dyDescent="0.25">
      <c r="G592" s="97"/>
      <c r="H592" s="97"/>
      <c r="I592" s="97"/>
      <c r="N592" s="97"/>
      <c r="O592" s="97"/>
      <c r="P592" s="97"/>
    </row>
    <row r="593" spans="7:16" x14ac:dyDescent="0.25">
      <c r="G593" s="97"/>
      <c r="H593" s="97"/>
      <c r="I593" s="97"/>
      <c r="N593" s="97"/>
      <c r="O593" s="97"/>
      <c r="P593" s="97"/>
    </row>
    <row r="594" spans="7:16" x14ac:dyDescent="0.25">
      <c r="G594" s="97"/>
      <c r="H594" s="97"/>
      <c r="I594" s="97"/>
      <c r="N594" s="97"/>
      <c r="O594" s="97"/>
      <c r="P594" s="97"/>
    </row>
    <row r="595" spans="7:16" x14ac:dyDescent="0.25">
      <c r="G595" s="97"/>
      <c r="H595" s="97"/>
      <c r="I595" s="97"/>
      <c r="N595" s="97"/>
      <c r="O595" s="97"/>
      <c r="P595" s="97"/>
    </row>
    <row r="596" spans="7:16" x14ac:dyDescent="0.25">
      <c r="G596" s="97"/>
      <c r="H596" s="97"/>
      <c r="I596" s="97"/>
      <c r="N596" s="97"/>
      <c r="O596" s="97"/>
      <c r="P596" s="97"/>
    </row>
    <row r="597" spans="7:16" x14ac:dyDescent="0.25">
      <c r="G597" s="97"/>
      <c r="H597" s="97"/>
      <c r="I597" s="97"/>
      <c r="N597" s="97"/>
      <c r="O597" s="97"/>
      <c r="P597" s="97"/>
    </row>
    <row r="598" spans="7:16" x14ac:dyDescent="0.25">
      <c r="G598" s="97"/>
      <c r="H598" s="97"/>
      <c r="I598" s="97"/>
      <c r="N598" s="97"/>
      <c r="O598" s="97"/>
      <c r="P598" s="97"/>
    </row>
    <row r="599" spans="7:16" x14ac:dyDescent="0.25">
      <c r="G599" s="97"/>
      <c r="H599" s="97"/>
      <c r="I599" s="97"/>
      <c r="N599" s="97"/>
      <c r="O599" s="97"/>
      <c r="P599" s="97"/>
    </row>
    <row r="600" spans="7:16" x14ac:dyDescent="0.25">
      <c r="G600" s="97"/>
      <c r="H600" s="97"/>
      <c r="I600" s="97"/>
      <c r="N600" s="97"/>
      <c r="O600" s="97"/>
      <c r="P600" s="97"/>
    </row>
    <row r="601" spans="7:16" x14ac:dyDescent="0.25">
      <c r="G601" s="97"/>
      <c r="H601" s="97"/>
      <c r="I601" s="97"/>
      <c r="N601" s="97"/>
      <c r="O601" s="97"/>
      <c r="P601" s="97"/>
    </row>
    <row r="602" spans="7:16" x14ac:dyDescent="0.25">
      <c r="G602" s="97"/>
      <c r="H602" s="97"/>
      <c r="I602" s="97"/>
      <c r="N602" s="97"/>
      <c r="O602" s="97"/>
      <c r="P602" s="97"/>
    </row>
    <row r="603" spans="7:16" x14ac:dyDescent="0.25">
      <c r="G603" s="97"/>
      <c r="H603" s="97"/>
      <c r="I603" s="97"/>
      <c r="N603" s="97"/>
      <c r="O603" s="97"/>
      <c r="P603" s="97"/>
    </row>
    <row r="604" spans="7:16" x14ac:dyDescent="0.25">
      <c r="G604" s="97"/>
      <c r="H604" s="97"/>
      <c r="I604" s="97"/>
      <c r="N604" s="97"/>
      <c r="O604" s="97"/>
      <c r="P604" s="97"/>
    </row>
    <row r="605" spans="7:16" x14ac:dyDescent="0.25">
      <c r="G605" s="97"/>
      <c r="H605" s="97"/>
      <c r="I605" s="97"/>
      <c r="N605" s="97"/>
      <c r="O605" s="97"/>
      <c r="P605" s="97"/>
    </row>
    <row r="606" spans="7:16" x14ac:dyDescent="0.25">
      <c r="G606" s="97"/>
      <c r="H606" s="97"/>
      <c r="I606" s="97"/>
      <c r="N606" s="97"/>
      <c r="O606" s="97"/>
      <c r="P606" s="97"/>
    </row>
    <row r="607" spans="7:16" x14ac:dyDescent="0.25">
      <c r="G607" s="97"/>
      <c r="H607" s="97"/>
      <c r="I607" s="97"/>
      <c r="N607" s="97"/>
      <c r="O607" s="97"/>
      <c r="P607" s="97"/>
    </row>
    <row r="608" spans="7:16" x14ac:dyDescent="0.25">
      <c r="G608" s="97"/>
      <c r="H608" s="97"/>
      <c r="I608" s="97"/>
      <c r="N608" s="97"/>
      <c r="O608" s="97"/>
      <c r="P608" s="97"/>
    </row>
    <row r="609" spans="7:16" x14ac:dyDescent="0.25">
      <c r="G609" s="97"/>
      <c r="H609" s="97"/>
      <c r="I609" s="97"/>
      <c r="N609" s="97"/>
      <c r="O609" s="97"/>
      <c r="P609" s="97"/>
    </row>
    <row r="610" spans="7:16" x14ac:dyDescent="0.25">
      <c r="G610" s="97"/>
      <c r="H610" s="97"/>
      <c r="I610" s="97"/>
      <c r="N610" s="97"/>
      <c r="O610" s="97"/>
      <c r="P610" s="97"/>
    </row>
    <row r="611" spans="7:16" x14ac:dyDescent="0.25">
      <c r="G611" s="97"/>
      <c r="H611" s="97"/>
      <c r="I611" s="97"/>
      <c r="N611" s="97"/>
      <c r="O611" s="97"/>
      <c r="P611" s="97"/>
    </row>
    <row r="612" spans="7:16" x14ac:dyDescent="0.25">
      <c r="G612" s="97"/>
      <c r="H612" s="97"/>
      <c r="I612" s="97"/>
      <c r="N612" s="97"/>
      <c r="O612" s="97"/>
      <c r="P612" s="97"/>
    </row>
    <row r="613" spans="7:16" x14ac:dyDescent="0.25">
      <c r="G613" s="97"/>
      <c r="H613" s="97"/>
      <c r="I613" s="97"/>
      <c r="N613" s="97"/>
      <c r="O613" s="97"/>
      <c r="P613" s="97"/>
    </row>
    <row r="614" spans="7:16" x14ac:dyDescent="0.25">
      <c r="G614" s="97"/>
      <c r="H614" s="97"/>
      <c r="I614" s="97"/>
      <c r="N614" s="97"/>
      <c r="O614" s="97"/>
      <c r="P614" s="97"/>
    </row>
    <row r="615" spans="7:16" x14ac:dyDescent="0.25">
      <c r="G615" s="97"/>
      <c r="H615" s="97"/>
      <c r="I615" s="97"/>
      <c r="N615" s="97"/>
      <c r="O615" s="97"/>
      <c r="P615" s="97"/>
    </row>
    <row r="616" spans="7:16" x14ac:dyDescent="0.25">
      <c r="G616" s="97"/>
      <c r="H616" s="97"/>
      <c r="I616" s="97"/>
      <c r="N616" s="97"/>
      <c r="O616" s="97"/>
      <c r="P616" s="97"/>
    </row>
    <row r="617" spans="7:16" x14ac:dyDescent="0.25">
      <c r="G617" s="97"/>
      <c r="H617" s="97"/>
      <c r="I617" s="97"/>
      <c r="N617" s="97"/>
      <c r="O617" s="97"/>
      <c r="P617" s="97"/>
    </row>
    <row r="618" spans="7:16" x14ac:dyDescent="0.25">
      <c r="G618" s="97"/>
      <c r="H618" s="97"/>
      <c r="I618" s="97"/>
      <c r="N618" s="97"/>
      <c r="O618" s="97"/>
      <c r="P618" s="97"/>
    </row>
    <row r="619" spans="7:16" x14ac:dyDescent="0.25">
      <c r="G619" s="97"/>
      <c r="H619" s="97"/>
      <c r="I619" s="97"/>
      <c r="N619" s="97"/>
      <c r="O619" s="97"/>
      <c r="P619" s="97"/>
    </row>
    <row r="620" spans="7:16" x14ac:dyDescent="0.25">
      <c r="G620" s="97"/>
      <c r="H620" s="97"/>
      <c r="I620" s="97"/>
      <c r="N620" s="97"/>
      <c r="O620" s="97"/>
      <c r="P620" s="97"/>
    </row>
    <row r="621" spans="7:16" x14ac:dyDescent="0.25">
      <c r="G621" s="97"/>
      <c r="H621" s="97"/>
      <c r="I621" s="97"/>
      <c r="N621" s="97"/>
      <c r="O621" s="97"/>
      <c r="P621" s="97"/>
    </row>
    <row r="622" spans="7:16" x14ac:dyDescent="0.25">
      <c r="G622" s="97"/>
      <c r="H622" s="97"/>
      <c r="I622" s="97"/>
      <c r="N622" s="97"/>
      <c r="O622" s="97"/>
      <c r="P622" s="97"/>
    </row>
    <row r="623" spans="7:16" x14ac:dyDescent="0.25">
      <c r="G623" s="97"/>
      <c r="H623" s="97"/>
      <c r="I623" s="97"/>
      <c r="N623" s="97"/>
      <c r="O623" s="97"/>
      <c r="P623" s="97"/>
    </row>
    <row r="624" spans="7:16" x14ac:dyDescent="0.25">
      <c r="G624" s="97"/>
      <c r="H624" s="97"/>
      <c r="I624" s="97"/>
      <c r="N624" s="97"/>
      <c r="O624" s="97"/>
      <c r="P624" s="97"/>
    </row>
    <row r="625" spans="7:16" x14ac:dyDescent="0.25">
      <c r="G625" s="97"/>
      <c r="H625" s="97"/>
      <c r="I625" s="97"/>
      <c r="N625" s="97"/>
      <c r="O625" s="97"/>
      <c r="P625" s="97"/>
    </row>
    <row r="626" spans="7:16" x14ac:dyDescent="0.25">
      <c r="G626" s="97"/>
      <c r="H626" s="97"/>
      <c r="I626" s="97"/>
      <c r="N626" s="97"/>
      <c r="O626" s="97"/>
      <c r="P626" s="97"/>
    </row>
    <row r="627" spans="7:16" x14ac:dyDescent="0.25">
      <c r="G627" s="97"/>
      <c r="H627" s="97"/>
      <c r="I627" s="97"/>
      <c r="N627" s="97"/>
      <c r="O627" s="97"/>
      <c r="P627" s="97"/>
    </row>
    <row r="628" spans="7:16" x14ac:dyDescent="0.25">
      <c r="G628" s="97"/>
      <c r="H628" s="97"/>
      <c r="I628" s="97"/>
      <c r="N628" s="97"/>
      <c r="O628" s="97"/>
      <c r="P628" s="97"/>
    </row>
    <row r="629" spans="7:16" x14ac:dyDescent="0.25">
      <c r="G629" s="97"/>
      <c r="H629" s="97"/>
      <c r="I629" s="97"/>
      <c r="N629" s="97"/>
      <c r="O629" s="97"/>
      <c r="P629" s="97"/>
    </row>
    <row r="630" spans="7:16" x14ac:dyDescent="0.25">
      <c r="G630" s="97"/>
      <c r="H630" s="97"/>
      <c r="I630" s="97"/>
      <c r="N630" s="97"/>
      <c r="O630" s="97"/>
      <c r="P630" s="97"/>
    </row>
    <row r="631" spans="7:16" x14ac:dyDescent="0.25">
      <c r="G631" s="97"/>
      <c r="H631" s="97"/>
      <c r="I631" s="97"/>
      <c r="N631" s="97"/>
      <c r="O631" s="97"/>
      <c r="P631" s="97"/>
    </row>
    <row r="632" spans="7:16" x14ac:dyDescent="0.25">
      <c r="G632" s="97"/>
      <c r="H632" s="97"/>
      <c r="I632" s="97"/>
      <c r="N632" s="97"/>
      <c r="O632" s="97"/>
      <c r="P632" s="97"/>
    </row>
    <row r="633" spans="7:16" x14ac:dyDescent="0.25">
      <c r="G633" s="97"/>
      <c r="H633" s="97"/>
      <c r="I633" s="97"/>
      <c r="N633" s="97"/>
      <c r="O633" s="97"/>
      <c r="P633" s="97"/>
    </row>
    <row r="634" spans="7:16" x14ac:dyDescent="0.25">
      <c r="G634" s="97"/>
      <c r="H634" s="97"/>
      <c r="I634" s="97"/>
      <c r="N634" s="97"/>
      <c r="O634" s="97"/>
      <c r="P634" s="97"/>
    </row>
    <row r="635" spans="7:16" x14ac:dyDescent="0.25">
      <c r="G635" s="97"/>
      <c r="H635" s="97"/>
      <c r="I635" s="97"/>
      <c r="N635" s="97"/>
      <c r="O635" s="97"/>
      <c r="P635" s="97"/>
    </row>
    <row r="636" spans="7:16" x14ac:dyDescent="0.25">
      <c r="G636" s="97"/>
      <c r="H636" s="97"/>
      <c r="I636" s="97"/>
      <c r="N636" s="97"/>
      <c r="O636" s="97"/>
      <c r="P636" s="97"/>
    </row>
    <row r="637" spans="7:16" x14ac:dyDescent="0.25">
      <c r="G637" s="97"/>
      <c r="H637" s="97"/>
      <c r="I637" s="97"/>
      <c r="N637" s="97"/>
      <c r="O637" s="97"/>
      <c r="P637" s="97"/>
    </row>
    <row r="638" spans="7:16" x14ac:dyDescent="0.25">
      <c r="G638" s="97"/>
      <c r="H638" s="97"/>
      <c r="I638" s="97"/>
      <c r="N638" s="97"/>
      <c r="O638" s="97"/>
      <c r="P638" s="97"/>
    </row>
    <row r="639" spans="7:16" x14ac:dyDescent="0.25">
      <c r="G639" s="97"/>
      <c r="H639" s="97"/>
      <c r="I639" s="97"/>
      <c r="N639" s="97"/>
      <c r="O639" s="97"/>
      <c r="P639" s="97"/>
    </row>
    <row r="640" spans="7:16" x14ac:dyDescent="0.25">
      <c r="G640" s="97"/>
      <c r="H640" s="97"/>
      <c r="I640" s="97"/>
      <c r="N640" s="97"/>
      <c r="O640" s="97"/>
      <c r="P640" s="97"/>
    </row>
    <row r="641" spans="7:16" x14ac:dyDescent="0.25">
      <c r="G641" s="97"/>
      <c r="H641" s="97"/>
      <c r="I641" s="97"/>
      <c r="N641" s="97"/>
      <c r="O641" s="97"/>
      <c r="P641" s="97"/>
    </row>
    <row r="642" spans="7:16" x14ac:dyDescent="0.25">
      <c r="G642" s="97"/>
      <c r="H642" s="97"/>
      <c r="I642" s="97"/>
      <c r="N642" s="97"/>
      <c r="O642" s="97"/>
      <c r="P642" s="97"/>
    </row>
    <row r="643" spans="7:16" x14ac:dyDescent="0.25">
      <c r="G643" s="97"/>
      <c r="H643" s="97"/>
      <c r="I643" s="97"/>
      <c r="N643" s="97"/>
      <c r="O643" s="97"/>
      <c r="P643" s="97"/>
    </row>
    <row r="644" spans="7:16" x14ac:dyDescent="0.25">
      <c r="G644" s="97"/>
      <c r="H644" s="97"/>
      <c r="I644" s="97"/>
      <c r="N644" s="97"/>
      <c r="O644" s="97"/>
      <c r="P644" s="97"/>
    </row>
    <row r="645" spans="7:16" x14ac:dyDescent="0.25">
      <c r="G645" s="97"/>
      <c r="H645" s="97"/>
      <c r="I645" s="97"/>
      <c r="N645" s="97"/>
      <c r="O645" s="97"/>
      <c r="P645" s="97"/>
    </row>
    <row r="646" spans="7:16" x14ac:dyDescent="0.25">
      <c r="G646" s="97"/>
      <c r="H646" s="97"/>
      <c r="I646" s="97"/>
      <c r="N646" s="97"/>
      <c r="O646" s="97"/>
      <c r="P646" s="97"/>
    </row>
    <row r="647" spans="7:16" x14ac:dyDescent="0.25">
      <c r="G647" s="97"/>
      <c r="H647" s="97"/>
      <c r="I647" s="97"/>
      <c r="N647" s="97"/>
      <c r="O647" s="97"/>
      <c r="P647" s="97"/>
    </row>
    <row r="648" spans="7:16" x14ac:dyDescent="0.25">
      <c r="G648" s="97"/>
      <c r="H648" s="97"/>
      <c r="I648" s="97"/>
      <c r="N648" s="97"/>
      <c r="O648" s="97"/>
      <c r="P648" s="97"/>
    </row>
    <row r="649" spans="7:16" x14ac:dyDescent="0.25">
      <c r="G649" s="97"/>
      <c r="H649" s="97"/>
      <c r="I649" s="97"/>
      <c r="N649" s="97"/>
      <c r="O649" s="97"/>
      <c r="P649" s="97"/>
    </row>
    <row r="650" spans="7:16" x14ac:dyDescent="0.25">
      <c r="G650" s="97"/>
      <c r="H650" s="97"/>
      <c r="I650" s="97"/>
      <c r="N650" s="97"/>
      <c r="O650" s="97"/>
      <c r="P650" s="97"/>
    </row>
    <row r="651" spans="7:16" x14ac:dyDescent="0.25">
      <c r="G651" s="97"/>
      <c r="H651" s="97"/>
      <c r="I651" s="97"/>
      <c r="N651" s="97"/>
      <c r="O651" s="97"/>
      <c r="P651" s="97"/>
    </row>
    <row r="652" spans="7:16" x14ac:dyDescent="0.25">
      <c r="G652" s="97"/>
      <c r="H652" s="97"/>
      <c r="I652" s="97"/>
      <c r="N652" s="97"/>
      <c r="O652" s="97"/>
      <c r="P652" s="97"/>
    </row>
    <row r="653" spans="7:16" x14ac:dyDescent="0.25">
      <c r="G653" s="97"/>
      <c r="H653" s="97"/>
      <c r="I653" s="97"/>
      <c r="N653" s="97"/>
      <c r="O653" s="97"/>
      <c r="P653" s="97"/>
    </row>
    <row r="654" spans="7:16" x14ac:dyDescent="0.25">
      <c r="G654" s="97"/>
      <c r="H654" s="97"/>
      <c r="I654" s="97"/>
      <c r="N654" s="97"/>
      <c r="O654" s="97"/>
      <c r="P654" s="97"/>
    </row>
    <row r="655" spans="7:16" x14ac:dyDescent="0.25">
      <c r="G655" s="97"/>
      <c r="H655" s="97"/>
      <c r="I655" s="97"/>
      <c r="N655" s="97"/>
      <c r="O655" s="97"/>
      <c r="P655" s="97"/>
    </row>
    <row r="656" spans="7:16" x14ac:dyDescent="0.25">
      <c r="G656" s="97"/>
      <c r="H656" s="97"/>
      <c r="I656" s="97"/>
      <c r="N656" s="97"/>
      <c r="O656" s="97"/>
      <c r="P656" s="97"/>
    </row>
    <row r="657" spans="7:16" x14ac:dyDescent="0.25">
      <c r="G657" s="97"/>
      <c r="H657" s="97"/>
      <c r="I657" s="97"/>
      <c r="N657" s="97"/>
      <c r="O657" s="97"/>
      <c r="P657" s="97"/>
    </row>
    <row r="658" spans="7:16" x14ac:dyDescent="0.25">
      <c r="G658" s="97"/>
      <c r="H658" s="97"/>
      <c r="I658" s="97"/>
      <c r="N658" s="97"/>
      <c r="O658" s="97"/>
      <c r="P658" s="97"/>
    </row>
    <row r="659" spans="7:16" x14ac:dyDescent="0.25">
      <c r="G659" s="97"/>
      <c r="H659" s="97"/>
      <c r="I659" s="97"/>
      <c r="N659" s="97"/>
      <c r="O659" s="97"/>
      <c r="P659" s="97"/>
    </row>
    <row r="660" spans="7:16" x14ac:dyDescent="0.25">
      <c r="G660" s="97"/>
      <c r="H660" s="97"/>
      <c r="I660" s="97"/>
      <c r="N660" s="97"/>
      <c r="O660" s="97"/>
      <c r="P660" s="97"/>
    </row>
    <row r="661" spans="7:16" x14ac:dyDescent="0.25">
      <c r="G661" s="97"/>
      <c r="H661" s="97"/>
      <c r="I661" s="97"/>
      <c r="N661" s="97"/>
      <c r="O661" s="97"/>
      <c r="P661" s="97"/>
    </row>
    <row r="662" spans="7:16" x14ac:dyDescent="0.25">
      <c r="G662" s="97"/>
      <c r="H662" s="97"/>
      <c r="I662" s="97"/>
      <c r="N662" s="97"/>
      <c r="O662" s="97"/>
      <c r="P662" s="97"/>
    </row>
    <row r="663" spans="7:16" x14ac:dyDescent="0.25">
      <c r="G663" s="97"/>
      <c r="H663" s="97"/>
      <c r="I663" s="97"/>
      <c r="N663" s="97"/>
      <c r="O663" s="97"/>
      <c r="P663" s="97"/>
    </row>
    <row r="664" spans="7:16" x14ac:dyDescent="0.25">
      <c r="G664" s="97"/>
      <c r="H664" s="97"/>
      <c r="I664" s="97"/>
      <c r="N664" s="97"/>
      <c r="O664" s="97"/>
      <c r="P664" s="97"/>
    </row>
    <row r="665" spans="7:16" x14ac:dyDescent="0.25">
      <c r="G665" s="97"/>
      <c r="H665" s="97"/>
      <c r="I665" s="97"/>
      <c r="N665" s="97"/>
      <c r="O665" s="97"/>
      <c r="P665" s="97"/>
    </row>
    <row r="666" spans="7:16" x14ac:dyDescent="0.25">
      <c r="G666" s="97"/>
      <c r="H666" s="97"/>
      <c r="I666" s="97"/>
      <c r="N666" s="97"/>
      <c r="O666" s="97"/>
      <c r="P666" s="97"/>
    </row>
    <row r="667" spans="7:16" x14ac:dyDescent="0.25">
      <c r="G667" s="97"/>
      <c r="H667" s="97"/>
      <c r="I667" s="97"/>
      <c r="N667" s="97"/>
      <c r="O667" s="97"/>
      <c r="P667" s="97"/>
    </row>
    <row r="668" spans="7:16" x14ac:dyDescent="0.25">
      <c r="G668" s="97"/>
      <c r="H668" s="97"/>
      <c r="I668" s="97"/>
      <c r="N668" s="97"/>
      <c r="O668" s="97"/>
      <c r="P668" s="97"/>
    </row>
    <row r="669" spans="7:16" x14ac:dyDescent="0.25">
      <c r="N669" s="97"/>
      <c r="O669" s="97"/>
      <c r="P669" s="97"/>
    </row>
    <row r="670" spans="7:16" x14ac:dyDescent="0.25">
      <c r="N670" s="97"/>
      <c r="O670" s="97"/>
      <c r="P670" s="97"/>
    </row>
    <row r="671" spans="7:16" x14ac:dyDescent="0.25">
      <c r="N671" s="97"/>
      <c r="O671" s="97"/>
      <c r="P671" s="97"/>
    </row>
    <row r="672" spans="7:16" x14ac:dyDescent="0.25">
      <c r="N672" s="97"/>
      <c r="O672" s="97"/>
      <c r="P672" s="97"/>
    </row>
    <row r="673" spans="14:16" x14ac:dyDescent="0.25">
      <c r="N673" s="97"/>
      <c r="O673" s="97"/>
      <c r="P673" s="97"/>
    </row>
    <row r="674" spans="14:16" x14ac:dyDescent="0.25">
      <c r="N674" s="97"/>
      <c r="O674" s="97"/>
      <c r="P674" s="97"/>
    </row>
    <row r="675" spans="14:16" x14ac:dyDescent="0.25">
      <c r="N675" s="97"/>
      <c r="O675" s="97"/>
      <c r="P675" s="97"/>
    </row>
    <row r="676" spans="14:16" x14ac:dyDescent="0.25">
      <c r="N676" s="97"/>
      <c r="O676" s="97"/>
      <c r="P676" s="97"/>
    </row>
    <row r="677" spans="14:16" x14ac:dyDescent="0.25">
      <c r="N677" s="97"/>
      <c r="O677" s="97"/>
      <c r="P677" s="97"/>
    </row>
    <row r="678" spans="14:16" x14ac:dyDescent="0.25">
      <c r="N678" s="97"/>
      <c r="O678" s="97"/>
      <c r="P678" s="97"/>
    </row>
    <row r="679" spans="14:16" x14ac:dyDescent="0.25">
      <c r="N679" s="97"/>
      <c r="O679" s="97"/>
      <c r="P679" s="97"/>
    </row>
    <row r="680" spans="14:16" x14ac:dyDescent="0.25">
      <c r="N680" s="97"/>
      <c r="O680" s="97"/>
      <c r="P680" s="97"/>
    </row>
    <row r="681" spans="14:16" x14ac:dyDescent="0.25">
      <c r="N681" s="97"/>
      <c r="O681" s="97"/>
      <c r="P681" s="97"/>
    </row>
    <row r="682" spans="14:16" x14ac:dyDescent="0.25">
      <c r="N682" s="97"/>
      <c r="O682" s="97"/>
      <c r="P682" s="97"/>
    </row>
    <row r="683" spans="14:16" x14ac:dyDescent="0.25">
      <c r="N683" s="97"/>
      <c r="O683" s="97"/>
      <c r="P683" s="97"/>
    </row>
    <row r="684" spans="14:16" x14ac:dyDescent="0.25">
      <c r="N684" s="97"/>
      <c r="O684" s="97"/>
      <c r="P684" s="97"/>
    </row>
    <row r="685" spans="14:16" x14ac:dyDescent="0.25">
      <c r="N685" s="97"/>
      <c r="O685" s="97"/>
      <c r="P685" s="97"/>
    </row>
    <row r="686" spans="14:16" x14ac:dyDescent="0.25">
      <c r="N686" s="97"/>
      <c r="O686" s="97"/>
      <c r="P686" s="97"/>
    </row>
    <row r="687" spans="14:16" x14ac:dyDescent="0.25">
      <c r="N687" s="97"/>
      <c r="O687" s="97"/>
      <c r="P687" s="97"/>
    </row>
    <row r="688" spans="14:16" x14ac:dyDescent="0.25">
      <c r="N688" s="97"/>
      <c r="O688" s="97"/>
      <c r="P688" s="97"/>
    </row>
    <row r="689" spans="14:16" x14ac:dyDescent="0.25">
      <c r="N689" s="97"/>
      <c r="O689" s="97"/>
      <c r="P689" s="97"/>
    </row>
    <row r="690" spans="14:16" x14ac:dyDescent="0.25">
      <c r="N690" s="97"/>
      <c r="O690" s="97"/>
      <c r="P690" s="97"/>
    </row>
    <row r="691" spans="14:16" x14ac:dyDescent="0.25">
      <c r="N691" s="97"/>
      <c r="O691" s="97"/>
      <c r="P691" s="97"/>
    </row>
    <row r="692" spans="14:16" x14ac:dyDescent="0.25">
      <c r="N692" s="97"/>
      <c r="O692" s="97"/>
      <c r="P692" s="97"/>
    </row>
    <row r="693" spans="14:16" x14ac:dyDescent="0.25">
      <c r="N693" s="97"/>
      <c r="O693" s="97"/>
      <c r="P693" s="97"/>
    </row>
    <row r="694" spans="14:16" x14ac:dyDescent="0.25">
      <c r="N694" s="97"/>
      <c r="O694" s="97"/>
      <c r="P694" s="97"/>
    </row>
    <row r="695" spans="14:16" x14ac:dyDescent="0.25">
      <c r="N695" s="97"/>
      <c r="O695" s="97"/>
      <c r="P695" s="97"/>
    </row>
    <row r="696" spans="14:16" x14ac:dyDescent="0.25">
      <c r="N696" s="97"/>
      <c r="O696" s="97"/>
      <c r="P696" s="97"/>
    </row>
    <row r="697" spans="14:16" x14ac:dyDescent="0.25">
      <c r="N697" s="97"/>
      <c r="O697" s="97"/>
      <c r="P697" s="97"/>
    </row>
    <row r="698" spans="14:16" x14ac:dyDescent="0.25">
      <c r="N698" s="97"/>
      <c r="O698" s="97"/>
      <c r="P698" s="97"/>
    </row>
    <row r="699" spans="14:16" x14ac:dyDescent="0.25">
      <c r="N699" s="97"/>
      <c r="O699" s="97"/>
      <c r="P699" s="97"/>
    </row>
    <row r="700" spans="14:16" x14ac:dyDescent="0.25">
      <c r="N700" s="97"/>
      <c r="O700" s="97"/>
      <c r="P700" s="97"/>
    </row>
    <row r="701" spans="14:16" x14ac:dyDescent="0.25">
      <c r="N701" s="97"/>
      <c r="O701" s="97"/>
      <c r="P701" s="97"/>
    </row>
    <row r="702" spans="14:16" x14ac:dyDescent="0.25">
      <c r="N702" s="97"/>
      <c r="O702" s="97"/>
      <c r="P702" s="97"/>
    </row>
    <row r="703" spans="14:16" x14ac:dyDescent="0.25">
      <c r="N703" s="97"/>
      <c r="O703" s="97"/>
      <c r="P703" s="97"/>
    </row>
    <row r="704" spans="14:16" x14ac:dyDescent="0.25">
      <c r="N704" s="97"/>
      <c r="O704" s="97"/>
      <c r="P704" s="97"/>
    </row>
    <row r="705" spans="14:16" x14ac:dyDescent="0.25">
      <c r="N705" s="97"/>
      <c r="O705" s="97"/>
      <c r="P705" s="97"/>
    </row>
    <row r="706" spans="14:16" x14ac:dyDescent="0.25">
      <c r="N706" s="97"/>
      <c r="O706" s="97"/>
      <c r="P706" s="97"/>
    </row>
    <row r="707" spans="14:16" x14ac:dyDescent="0.25">
      <c r="N707" s="97"/>
      <c r="O707" s="97"/>
      <c r="P707" s="97"/>
    </row>
    <row r="708" spans="14:16" x14ac:dyDescent="0.25">
      <c r="N708" s="97"/>
      <c r="O708" s="97"/>
      <c r="P708" s="97"/>
    </row>
    <row r="709" spans="14:16" x14ac:dyDescent="0.25">
      <c r="N709" s="97"/>
      <c r="O709" s="97"/>
      <c r="P709" s="97"/>
    </row>
    <row r="710" spans="14:16" x14ac:dyDescent="0.25">
      <c r="N710" s="97"/>
      <c r="O710" s="97"/>
      <c r="P710" s="97"/>
    </row>
    <row r="711" spans="14:16" x14ac:dyDescent="0.25">
      <c r="N711" s="97"/>
      <c r="O711" s="97"/>
      <c r="P711" s="97"/>
    </row>
    <row r="712" spans="14:16" x14ac:dyDescent="0.25">
      <c r="N712" s="97"/>
      <c r="O712" s="97"/>
      <c r="P712" s="97"/>
    </row>
    <row r="713" spans="14:16" x14ac:dyDescent="0.25">
      <c r="N713" s="97"/>
      <c r="O713" s="97"/>
      <c r="P713" s="97"/>
    </row>
    <row r="714" spans="14:16" x14ac:dyDescent="0.25">
      <c r="N714" s="97"/>
      <c r="O714" s="97"/>
      <c r="P714" s="97"/>
    </row>
    <row r="715" spans="14:16" x14ac:dyDescent="0.25">
      <c r="N715" s="97"/>
      <c r="O715" s="97"/>
      <c r="P715" s="97"/>
    </row>
    <row r="716" spans="14:16" x14ac:dyDescent="0.25">
      <c r="N716" s="97"/>
      <c r="O716" s="97"/>
      <c r="P716" s="97"/>
    </row>
    <row r="717" spans="14:16" x14ac:dyDescent="0.25">
      <c r="N717" s="97"/>
      <c r="O717" s="97"/>
      <c r="P717" s="97"/>
    </row>
    <row r="718" spans="14:16" x14ac:dyDescent="0.25">
      <c r="N718" s="97"/>
      <c r="O718" s="97"/>
      <c r="P718" s="97"/>
    </row>
    <row r="719" spans="14:16" x14ac:dyDescent="0.25">
      <c r="N719" s="97"/>
      <c r="O719" s="97"/>
      <c r="P719" s="97"/>
    </row>
    <row r="720" spans="14:16" x14ac:dyDescent="0.25">
      <c r="N720" s="97"/>
      <c r="O720" s="97"/>
      <c r="P720" s="97"/>
    </row>
    <row r="721" spans="14:16" x14ac:dyDescent="0.25">
      <c r="N721" s="97"/>
      <c r="O721" s="97"/>
      <c r="P721" s="97"/>
    </row>
    <row r="722" spans="14:16" x14ac:dyDescent="0.25">
      <c r="N722" s="97"/>
      <c r="O722" s="97"/>
      <c r="P722" s="97"/>
    </row>
    <row r="723" spans="14:16" x14ac:dyDescent="0.25">
      <c r="N723" s="97"/>
      <c r="O723" s="97"/>
      <c r="P723" s="97"/>
    </row>
    <row r="724" spans="14:16" x14ac:dyDescent="0.25">
      <c r="N724" s="97"/>
      <c r="O724" s="97"/>
      <c r="P724" s="97"/>
    </row>
    <row r="725" spans="14:16" x14ac:dyDescent="0.25">
      <c r="N725" s="97"/>
      <c r="O725" s="97"/>
      <c r="P725" s="97"/>
    </row>
    <row r="726" spans="14:16" x14ac:dyDescent="0.25">
      <c r="N726" s="97"/>
      <c r="O726" s="97"/>
      <c r="P726" s="97"/>
    </row>
    <row r="727" spans="14:16" x14ac:dyDescent="0.25">
      <c r="N727" s="97"/>
      <c r="O727" s="97"/>
      <c r="P727" s="97"/>
    </row>
    <row r="728" spans="14:16" x14ac:dyDescent="0.25">
      <c r="N728" s="97"/>
      <c r="O728" s="97"/>
      <c r="P728" s="97"/>
    </row>
    <row r="729" spans="14:16" x14ac:dyDescent="0.25">
      <c r="N729" s="97"/>
      <c r="O729" s="97"/>
      <c r="P729" s="97"/>
    </row>
    <row r="730" spans="14:16" x14ac:dyDescent="0.25">
      <c r="N730" s="97"/>
      <c r="O730" s="97"/>
      <c r="P730" s="97"/>
    </row>
    <row r="731" spans="14:16" x14ac:dyDescent="0.25">
      <c r="N731" s="97"/>
      <c r="O731" s="97"/>
      <c r="P731" s="97"/>
    </row>
    <row r="732" spans="14:16" x14ac:dyDescent="0.25">
      <c r="N732" s="97"/>
      <c r="O732" s="97"/>
      <c r="P732" s="97"/>
    </row>
    <row r="733" spans="14:16" x14ac:dyDescent="0.25">
      <c r="N733" s="97"/>
      <c r="O733" s="97"/>
      <c r="P733" s="97"/>
    </row>
    <row r="734" spans="14:16" x14ac:dyDescent="0.25">
      <c r="N734" s="97"/>
      <c r="O734" s="97"/>
      <c r="P734" s="97"/>
    </row>
    <row r="735" spans="14:16" x14ac:dyDescent="0.25">
      <c r="N735" s="97"/>
      <c r="O735" s="97"/>
      <c r="P735" s="97"/>
    </row>
    <row r="736" spans="14:16" x14ac:dyDescent="0.25">
      <c r="N736" s="97"/>
      <c r="O736" s="97"/>
      <c r="P736" s="97"/>
    </row>
    <row r="737" spans="14:16" x14ac:dyDescent="0.25">
      <c r="N737" s="97"/>
      <c r="O737" s="97"/>
      <c r="P737" s="97"/>
    </row>
    <row r="738" spans="14:16" x14ac:dyDescent="0.25">
      <c r="N738" s="97"/>
      <c r="O738" s="97"/>
      <c r="P738" s="97"/>
    </row>
    <row r="739" spans="14:16" x14ac:dyDescent="0.25">
      <c r="N739" s="97"/>
      <c r="O739" s="97"/>
      <c r="P739" s="97"/>
    </row>
    <row r="740" spans="14:16" x14ac:dyDescent="0.25">
      <c r="N740" s="97"/>
      <c r="O740" s="97"/>
      <c r="P740" s="97"/>
    </row>
    <row r="741" spans="14:16" x14ac:dyDescent="0.25">
      <c r="N741" s="97"/>
      <c r="O741" s="97"/>
      <c r="P741" s="97"/>
    </row>
    <row r="742" spans="14:16" x14ac:dyDescent="0.25">
      <c r="N742" s="97"/>
      <c r="O742" s="97"/>
      <c r="P742" s="97"/>
    </row>
    <row r="743" spans="14:16" x14ac:dyDescent="0.25">
      <c r="N743" s="97"/>
      <c r="O743" s="97"/>
      <c r="P743" s="97"/>
    </row>
    <row r="744" spans="14:16" x14ac:dyDescent="0.25">
      <c r="N744" s="97"/>
      <c r="O744" s="97"/>
      <c r="P744" s="97"/>
    </row>
    <row r="745" spans="14:16" x14ac:dyDescent="0.25">
      <c r="N745" s="97"/>
      <c r="O745" s="97"/>
      <c r="P745" s="97"/>
    </row>
    <row r="746" spans="14:16" x14ac:dyDescent="0.25">
      <c r="N746" s="97"/>
      <c r="O746" s="97"/>
      <c r="P746" s="97"/>
    </row>
    <row r="747" spans="14:16" x14ac:dyDescent="0.25">
      <c r="N747" s="97"/>
      <c r="O747" s="97"/>
      <c r="P747" s="97"/>
    </row>
    <row r="748" spans="14:16" x14ac:dyDescent="0.25">
      <c r="N748" s="97"/>
      <c r="O748" s="97"/>
      <c r="P748" s="97"/>
    </row>
    <row r="749" spans="14:16" x14ac:dyDescent="0.25">
      <c r="N749" s="97"/>
      <c r="O749" s="97"/>
      <c r="P749" s="97"/>
    </row>
    <row r="750" spans="14:16" x14ac:dyDescent="0.25">
      <c r="N750" s="97"/>
      <c r="O750" s="97"/>
      <c r="P750" s="97"/>
    </row>
    <row r="751" spans="14:16" x14ac:dyDescent="0.25">
      <c r="N751" s="97"/>
      <c r="O751" s="97"/>
      <c r="P751" s="97"/>
    </row>
    <row r="752" spans="14:16" x14ac:dyDescent="0.25">
      <c r="N752" s="97"/>
      <c r="O752" s="97"/>
      <c r="P752" s="97"/>
    </row>
    <row r="753" spans="14:16" x14ac:dyDescent="0.25">
      <c r="N753" s="97"/>
      <c r="O753" s="97"/>
      <c r="P753" s="97"/>
    </row>
    <row r="754" spans="14:16" x14ac:dyDescent="0.25">
      <c r="N754" s="97"/>
      <c r="O754" s="97"/>
      <c r="P754" s="97"/>
    </row>
    <row r="755" spans="14:16" x14ac:dyDescent="0.25">
      <c r="N755" s="97"/>
      <c r="O755" s="97"/>
      <c r="P755" s="97"/>
    </row>
    <row r="756" spans="14:16" x14ac:dyDescent="0.25">
      <c r="N756" s="97"/>
      <c r="O756" s="97"/>
      <c r="P756" s="97"/>
    </row>
    <row r="757" spans="14:16" x14ac:dyDescent="0.25">
      <c r="N757" s="97"/>
      <c r="O757" s="97"/>
      <c r="P757" s="97"/>
    </row>
    <row r="758" spans="14:16" x14ac:dyDescent="0.25">
      <c r="N758" s="97"/>
      <c r="O758" s="97"/>
      <c r="P758" s="97"/>
    </row>
    <row r="759" spans="14:16" x14ac:dyDescent="0.25">
      <c r="N759" s="97"/>
      <c r="O759" s="97"/>
      <c r="P759" s="97"/>
    </row>
    <row r="760" spans="14:16" x14ac:dyDescent="0.25">
      <c r="N760" s="97"/>
      <c r="O760" s="97"/>
      <c r="P760" s="97"/>
    </row>
    <row r="761" spans="14:16" x14ac:dyDescent="0.25">
      <c r="N761" s="97"/>
      <c r="O761" s="97"/>
      <c r="P761" s="97"/>
    </row>
    <row r="762" spans="14:16" x14ac:dyDescent="0.25">
      <c r="N762" s="97"/>
      <c r="O762" s="97"/>
      <c r="P762" s="97"/>
    </row>
    <row r="763" spans="14:16" x14ac:dyDescent="0.25">
      <c r="N763" s="97"/>
      <c r="O763" s="97"/>
      <c r="P763" s="97"/>
    </row>
    <row r="764" spans="14:16" x14ac:dyDescent="0.25">
      <c r="N764" s="97"/>
      <c r="O764" s="97"/>
      <c r="P764" s="97"/>
    </row>
    <row r="765" spans="14:16" x14ac:dyDescent="0.25">
      <c r="N765" s="97"/>
      <c r="O765" s="97"/>
      <c r="P765" s="97"/>
    </row>
    <row r="766" spans="14:16" x14ac:dyDescent="0.25">
      <c r="N766" s="97"/>
      <c r="O766" s="97"/>
      <c r="P766" s="97"/>
    </row>
    <row r="767" spans="14:16" x14ac:dyDescent="0.25">
      <c r="N767" s="97"/>
      <c r="O767" s="97"/>
      <c r="P767" s="97"/>
    </row>
    <row r="768" spans="14:16" x14ac:dyDescent="0.25">
      <c r="N768" s="97"/>
      <c r="O768" s="97"/>
      <c r="P768" s="97"/>
    </row>
    <row r="769" spans="14:16" x14ac:dyDescent="0.25">
      <c r="N769" s="97"/>
      <c r="O769" s="97"/>
      <c r="P769" s="97"/>
    </row>
    <row r="770" spans="14:16" x14ac:dyDescent="0.25">
      <c r="N770" s="97"/>
      <c r="O770" s="97"/>
      <c r="P770" s="97"/>
    </row>
    <row r="771" spans="14:16" x14ac:dyDescent="0.25">
      <c r="N771" s="97"/>
      <c r="O771" s="97"/>
      <c r="P771" s="97"/>
    </row>
    <row r="772" spans="14:16" x14ac:dyDescent="0.25">
      <c r="N772" s="97"/>
      <c r="O772" s="97"/>
      <c r="P772" s="97"/>
    </row>
    <row r="773" spans="14:16" x14ac:dyDescent="0.25">
      <c r="N773" s="97"/>
      <c r="O773" s="97"/>
      <c r="P773" s="97"/>
    </row>
    <row r="774" spans="14:16" x14ac:dyDescent="0.25">
      <c r="N774" s="97"/>
      <c r="O774" s="97"/>
      <c r="P774" s="97"/>
    </row>
    <row r="775" spans="14:16" x14ac:dyDescent="0.25">
      <c r="N775" s="97"/>
      <c r="O775" s="97"/>
      <c r="P775" s="97"/>
    </row>
    <row r="776" spans="14:16" x14ac:dyDescent="0.25">
      <c r="N776" s="97"/>
      <c r="O776" s="97"/>
      <c r="P776" s="97"/>
    </row>
    <row r="777" spans="14:16" x14ac:dyDescent="0.25">
      <c r="N777" s="97"/>
      <c r="O777" s="97"/>
      <c r="P777" s="97"/>
    </row>
    <row r="778" spans="14:16" x14ac:dyDescent="0.25">
      <c r="N778" s="97"/>
      <c r="O778" s="97"/>
      <c r="P778" s="97"/>
    </row>
    <row r="779" spans="14:16" x14ac:dyDescent="0.25">
      <c r="N779" s="97"/>
      <c r="O779" s="97"/>
      <c r="P779" s="97"/>
    </row>
    <row r="780" spans="14:16" x14ac:dyDescent="0.25">
      <c r="N780" s="97"/>
      <c r="O780" s="97"/>
      <c r="P780" s="97"/>
    </row>
    <row r="781" spans="14:16" x14ac:dyDescent="0.25">
      <c r="N781" s="97"/>
      <c r="O781" s="97"/>
      <c r="P781" s="97"/>
    </row>
    <row r="782" spans="14:16" x14ac:dyDescent="0.25">
      <c r="N782" s="97"/>
      <c r="O782" s="97"/>
      <c r="P782" s="97"/>
    </row>
    <row r="783" spans="14:16" x14ac:dyDescent="0.25">
      <c r="N783" s="97"/>
      <c r="O783" s="97"/>
      <c r="P783" s="97"/>
    </row>
    <row r="784" spans="14:16" x14ac:dyDescent="0.25">
      <c r="N784" s="97"/>
      <c r="O784" s="97"/>
      <c r="P784" s="97"/>
    </row>
    <row r="785" spans="14:16" x14ac:dyDescent="0.25">
      <c r="N785" s="97"/>
      <c r="O785" s="97"/>
      <c r="P785" s="97"/>
    </row>
    <row r="786" spans="14:16" x14ac:dyDescent="0.25">
      <c r="N786" s="97"/>
      <c r="O786" s="97"/>
      <c r="P786" s="97"/>
    </row>
    <row r="787" spans="14:16" x14ac:dyDescent="0.25">
      <c r="N787" s="97"/>
      <c r="O787" s="97"/>
      <c r="P787" s="97"/>
    </row>
    <row r="788" spans="14:16" x14ac:dyDescent="0.25">
      <c r="N788" s="97"/>
      <c r="O788" s="97"/>
      <c r="P788" s="97"/>
    </row>
    <row r="789" spans="14:16" x14ac:dyDescent="0.25">
      <c r="N789" s="97"/>
      <c r="O789" s="97"/>
      <c r="P789" s="97"/>
    </row>
    <row r="790" spans="14:16" x14ac:dyDescent="0.25">
      <c r="N790" s="97"/>
      <c r="O790" s="97"/>
      <c r="P790" s="97"/>
    </row>
    <row r="791" spans="14:16" x14ac:dyDescent="0.25">
      <c r="N791" s="97"/>
      <c r="O791" s="97"/>
      <c r="P791" s="97"/>
    </row>
    <row r="792" spans="14:16" x14ac:dyDescent="0.25">
      <c r="N792" s="97"/>
      <c r="O792" s="97"/>
      <c r="P792" s="97"/>
    </row>
    <row r="793" spans="14:16" x14ac:dyDescent="0.25">
      <c r="N793" s="97"/>
      <c r="O793" s="97"/>
      <c r="P793" s="97"/>
    </row>
    <row r="794" spans="14:16" x14ac:dyDescent="0.25">
      <c r="N794" s="97"/>
      <c r="O794" s="97"/>
      <c r="P794" s="97"/>
    </row>
    <row r="795" spans="14:16" x14ac:dyDescent="0.25">
      <c r="N795" s="97"/>
      <c r="O795" s="97"/>
      <c r="P795" s="97"/>
    </row>
    <row r="796" spans="14:16" x14ac:dyDescent="0.25">
      <c r="N796" s="97"/>
      <c r="O796" s="97"/>
      <c r="P796" s="97"/>
    </row>
    <row r="797" spans="14:16" x14ac:dyDescent="0.25">
      <c r="N797" s="97"/>
      <c r="O797" s="97"/>
      <c r="P797" s="97"/>
    </row>
    <row r="798" spans="14:16" x14ac:dyDescent="0.25">
      <c r="N798" s="97"/>
      <c r="O798" s="97"/>
      <c r="P798" s="97"/>
    </row>
    <row r="799" spans="14:16" x14ac:dyDescent="0.25">
      <c r="N799" s="97"/>
      <c r="O799" s="97"/>
      <c r="P799" s="97"/>
    </row>
    <row r="800" spans="14:16" x14ac:dyDescent="0.25">
      <c r="N800" s="97"/>
      <c r="O800" s="97"/>
      <c r="P800" s="97"/>
    </row>
    <row r="801" spans="14:16" x14ac:dyDescent="0.25">
      <c r="N801" s="97"/>
      <c r="O801" s="97"/>
      <c r="P801" s="97"/>
    </row>
    <row r="802" spans="14:16" x14ac:dyDescent="0.25">
      <c r="N802" s="97"/>
      <c r="O802" s="97"/>
      <c r="P802" s="97"/>
    </row>
    <row r="803" spans="14:16" x14ac:dyDescent="0.25">
      <c r="N803" s="97"/>
      <c r="O803" s="97"/>
      <c r="P803" s="97"/>
    </row>
    <row r="804" spans="14:16" x14ac:dyDescent="0.25">
      <c r="N804" s="97"/>
      <c r="O804" s="97"/>
      <c r="P804" s="97"/>
    </row>
    <row r="805" spans="14:16" x14ac:dyDescent="0.25">
      <c r="N805" s="97"/>
      <c r="O805" s="97"/>
      <c r="P805" s="97"/>
    </row>
    <row r="806" spans="14:16" x14ac:dyDescent="0.25">
      <c r="N806" s="97"/>
      <c r="O806" s="97"/>
      <c r="P806" s="97"/>
    </row>
    <row r="807" spans="14:16" x14ac:dyDescent="0.25">
      <c r="N807" s="97"/>
      <c r="O807" s="97"/>
      <c r="P807" s="97"/>
    </row>
    <row r="808" spans="14:16" x14ac:dyDescent="0.25">
      <c r="N808" s="97"/>
      <c r="O808" s="97"/>
      <c r="P808" s="97"/>
    </row>
    <row r="809" spans="14:16" x14ac:dyDescent="0.25">
      <c r="N809" s="97"/>
      <c r="O809" s="97"/>
      <c r="P809" s="97"/>
    </row>
    <row r="810" spans="14:16" x14ac:dyDescent="0.25">
      <c r="N810" s="97"/>
      <c r="O810" s="97"/>
      <c r="P810" s="97"/>
    </row>
    <row r="811" spans="14:16" x14ac:dyDescent="0.25">
      <c r="N811" s="97"/>
      <c r="O811" s="97"/>
      <c r="P811" s="97"/>
    </row>
  </sheetData>
  <pageMargins left="0.7" right="0.7" top="0.78740157499999996" bottom="0.78740157499999996" header="0.3" footer="0.3"/>
  <pageSetup paperSize="9" scale="53"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tabColor theme="0"/>
  </sheetPr>
  <dimension ref="A1:AF26"/>
  <sheetViews>
    <sheetView workbookViewId="0">
      <selection activeCell="L2" sqref="L2:M4"/>
    </sheetView>
  </sheetViews>
  <sheetFormatPr baseColWidth="10" defaultColWidth="11.42578125" defaultRowHeight="15" x14ac:dyDescent="0.25"/>
  <cols>
    <col min="11" max="11" width="11.5703125" customWidth="1"/>
    <col min="12" max="12" width="7.5703125" customWidth="1"/>
    <col min="13" max="13" width="7.7109375" customWidth="1"/>
    <col min="22" max="22" width="3.5703125" customWidth="1"/>
    <col min="25" max="25" width="2.5703125" customWidth="1"/>
  </cols>
  <sheetData>
    <row r="1" spans="1:32" ht="25.5" x14ac:dyDescent="0.25">
      <c r="A1" s="10" t="s">
        <v>3</v>
      </c>
      <c r="B1" s="10" t="s">
        <v>4</v>
      </c>
      <c r="C1" s="10" t="s">
        <v>5</v>
      </c>
      <c r="D1" s="11" t="s">
        <v>7</v>
      </c>
      <c r="E1" s="10" t="s">
        <v>6</v>
      </c>
      <c r="F1" s="11" t="s">
        <v>303</v>
      </c>
      <c r="G1" s="36" t="s">
        <v>306</v>
      </c>
      <c r="H1" s="36" t="s">
        <v>329</v>
      </c>
      <c r="I1" s="11" t="s">
        <v>18</v>
      </c>
      <c r="J1" s="11" t="s">
        <v>302</v>
      </c>
      <c r="K1" s="82" t="s">
        <v>877</v>
      </c>
      <c r="L1" s="36"/>
      <c r="S1" s="1"/>
      <c r="T1" s="1" t="s">
        <v>302</v>
      </c>
      <c r="U1" s="1"/>
      <c r="W1" s="4" t="s">
        <v>6</v>
      </c>
      <c r="X1" s="4" t="s">
        <v>308</v>
      </c>
      <c r="Z1" t="s">
        <v>304</v>
      </c>
      <c r="AA1" t="s">
        <v>321</v>
      </c>
      <c r="AC1" t="s">
        <v>616</v>
      </c>
      <c r="AD1" t="s">
        <v>616</v>
      </c>
      <c r="AF1" s="8" t="s">
        <v>1728</v>
      </c>
    </row>
    <row r="2" spans="1:32" ht="16.5" x14ac:dyDescent="0.25">
      <c r="A2" s="2" t="s">
        <v>17</v>
      </c>
      <c r="B2" s="2" t="s">
        <v>305</v>
      </c>
      <c r="C2" s="2" t="s">
        <v>305</v>
      </c>
      <c r="D2" s="2"/>
      <c r="E2" s="2" t="s">
        <v>17</v>
      </c>
      <c r="F2" s="2"/>
      <c r="G2" s="2"/>
      <c r="H2" s="2"/>
      <c r="I2" s="2" t="s">
        <v>17</v>
      </c>
      <c r="J2" s="2"/>
      <c r="S2" s="2" t="str">
        <f>IF(Scoping!$C$4="Manufacturing","Y","")</f>
        <v/>
      </c>
      <c r="T2" s="2" t="str">
        <f>IF(Scoping!$C$7="No","","N")</f>
        <v/>
      </c>
      <c r="U2" s="2" t="s">
        <v>5</v>
      </c>
      <c r="W2" t="s">
        <v>7</v>
      </c>
      <c r="X2" t="s">
        <v>3</v>
      </c>
      <c r="Z2" t="s">
        <v>317</v>
      </c>
      <c r="AA2" t="s">
        <v>1463</v>
      </c>
      <c r="AC2" t="s">
        <v>617</v>
      </c>
      <c r="AD2" t="s">
        <v>672</v>
      </c>
      <c r="AF2" s="8" t="s">
        <v>1727</v>
      </c>
    </row>
    <row r="3" spans="1:32" ht="16.5" x14ac:dyDescent="0.25">
      <c r="A3" s="2" t="s">
        <v>305</v>
      </c>
      <c r="B3" s="2" t="s">
        <v>17</v>
      </c>
      <c r="C3" s="2"/>
      <c r="D3" s="2"/>
      <c r="E3" s="2" t="s">
        <v>17</v>
      </c>
      <c r="F3" s="2"/>
      <c r="G3" s="2"/>
      <c r="H3" s="2"/>
      <c r="I3" s="2" t="s">
        <v>17</v>
      </c>
      <c r="J3" s="2"/>
      <c r="T3" s="2" t="str">
        <f>IF(Scoping!$C$7="No","","N")</f>
        <v/>
      </c>
      <c r="U3" t="s">
        <v>4</v>
      </c>
      <c r="W3" t="s">
        <v>306</v>
      </c>
      <c r="X3" t="s">
        <v>4</v>
      </c>
      <c r="Z3" t="s">
        <v>318</v>
      </c>
      <c r="AA3" t="s">
        <v>322</v>
      </c>
      <c r="AC3" t="s">
        <v>619</v>
      </c>
      <c r="AD3" t="s">
        <v>673</v>
      </c>
      <c r="AF3" s="8" t="s">
        <v>1716</v>
      </c>
    </row>
    <row r="4" spans="1:32" ht="16.5" x14ac:dyDescent="0.25">
      <c r="A4" s="2" t="s">
        <v>305</v>
      </c>
      <c r="B4" s="2" t="s">
        <v>17</v>
      </c>
      <c r="C4" s="2"/>
      <c r="D4" s="2"/>
      <c r="E4" s="2" t="s">
        <v>17</v>
      </c>
      <c r="F4" s="2"/>
      <c r="G4" s="2"/>
      <c r="H4" s="2"/>
      <c r="I4" s="2" t="s">
        <v>17</v>
      </c>
      <c r="J4" s="2"/>
      <c r="T4" s="2" t="str">
        <f>IF(Scoping!$C$7="No","","N")</f>
        <v/>
      </c>
      <c r="U4" t="s">
        <v>3</v>
      </c>
      <c r="W4" t="s">
        <v>329</v>
      </c>
      <c r="X4" t="s">
        <v>5</v>
      </c>
      <c r="AD4" t="s">
        <v>674</v>
      </c>
      <c r="AF4" s="8" t="s">
        <v>1717</v>
      </c>
    </row>
    <row r="5" spans="1:32" ht="16.5" x14ac:dyDescent="0.25">
      <c r="A5" s="2" t="s">
        <v>17</v>
      </c>
      <c r="B5" s="2" t="s">
        <v>305</v>
      </c>
      <c r="C5" s="2" t="s">
        <v>305</v>
      </c>
      <c r="D5" s="2"/>
      <c r="E5" s="2"/>
      <c r="F5" s="2" t="s">
        <v>876</v>
      </c>
      <c r="G5" s="2"/>
      <c r="H5" s="2"/>
      <c r="I5" s="2" t="s">
        <v>17</v>
      </c>
      <c r="J5" s="2"/>
      <c r="AD5" t="s">
        <v>619</v>
      </c>
      <c r="AF5" s="8" t="s">
        <v>1718</v>
      </c>
    </row>
    <row r="6" spans="1:32" ht="16.5" x14ac:dyDescent="0.25">
      <c r="A6" s="2" t="s">
        <v>305</v>
      </c>
      <c r="B6" s="2" t="s">
        <v>17</v>
      </c>
      <c r="C6" s="2"/>
      <c r="D6" s="2"/>
      <c r="E6" s="2"/>
      <c r="F6" s="2" t="s">
        <v>876</v>
      </c>
      <c r="G6" s="2"/>
      <c r="H6" s="2"/>
      <c r="I6" s="2" t="s">
        <v>17</v>
      </c>
      <c r="J6" s="2"/>
      <c r="AF6" s="8" t="s">
        <v>1719</v>
      </c>
    </row>
    <row r="7" spans="1:32" ht="16.5" x14ac:dyDescent="0.25">
      <c r="A7" s="2" t="s">
        <v>305</v>
      </c>
      <c r="B7" s="2" t="s">
        <v>17</v>
      </c>
      <c r="C7" s="2" t="s">
        <v>305</v>
      </c>
      <c r="D7" s="2"/>
      <c r="E7" s="2"/>
      <c r="F7" s="2" t="s">
        <v>876</v>
      </c>
      <c r="G7" s="2"/>
      <c r="H7" s="2"/>
      <c r="I7" s="2" t="s">
        <v>17</v>
      </c>
      <c r="J7" s="2"/>
      <c r="AF7" s="8" t="s">
        <v>1720</v>
      </c>
    </row>
    <row r="8" spans="1:32" ht="16.5" x14ac:dyDescent="0.25">
      <c r="A8" s="3"/>
      <c r="AF8" s="8"/>
    </row>
    <row r="9" spans="1:32" ht="16.5" x14ac:dyDescent="0.25">
      <c r="A9" s="3"/>
      <c r="AF9" s="8" t="s">
        <v>1729</v>
      </c>
    </row>
    <row r="10" spans="1:32" ht="16.5" x14ac:dyDescent="0.25">
      <c r="A10" s="3"/>
      <c r="AF10" s="8" t="s">
        <v>1726</v>
      </c>
    </row>
    <row r="11" spans="1:32" ht="16.5" x14ac:dyDescent="0.25">
      <c r="A11" s="3"/>
      <c r="AF11" s="8" t="s">
        <v>1721</v>
      </c>
    </row>
    <row r="12" spans="1:32" ht="16.5" x14ac:dyDescent="0.25">
      <c r="A12" s="3"/>
      <c r="AF12" s="8" t="s">
        <v>1722</v>
      </c>
    </row>
    <row r="13" spans="1:32" ht="16.5" x14ac:dyDescent="0.25">
      <c r="A13" s="3"/>
      <c r="AF13" s="8" t="s">
        <v>1723</v>
      </c>
    </row>
    <row r="14" spans="1:32" ht="16.5" x14ac:dyDescent="0.25">
      <c r="A14" s="3"/>
      <c r="AF14" s="8" t="s">
        <v>1724</v>
      </c>
    </row>
    <row r="15" spans="1:32" ht="16.5" x14ac:dyDescent="0.25">
      <c r="A15" s="3"/>
      <c r="AF15" s="8" t="s">
        <v>1725</v>
      </c>
    </row>
    <row r="16" spans="1:32" ht="16.5" x14ac:dyDescent="0.25">
      <c r="A16" s="3"/>
    </row>
    <row r="17" spans="1:1" ht="16.5" x14ac:dyDescent="0.25">
      <c r="A17" s="3"/>
    </row>
    <row r="18" spans="1:1" ht="16.5" x14ac:dyDescent="0.25">
      <c r="A18" s="3"/>
    </row>
    <row r="19" spans="1:1" ht="16.5" x14ac:dyDescent="0.25">
      <c r="A19" s="3"/>
    </row>
    <row r="20" spans="1:1" ht="16.5" x14ac:dyDescent="0.25">
      <c r="A20" s="3"/>
    </row>
    <row r="21" spans="1:1" ht="16.5" x14ac:dyDescent="0.25">
      <c r="A21" s="3"/>
    </row>
    <row r="22" spans="1:1" ht="16.5" x14ac:dyDescent="0.25">
      <c r="A22" s="3"/>
    </row>
    <row r="23" spans="1:1" ht="16.5" x14ac:dyDescent="0.25">
      <c r="A23" s="3"/>
    </row>
    <row r="24" spans="1:1" ht="16.5" x14ac:dyDescent="0.25">
      <c r="A24" s="3"/>
    </row>
    <row r="25" spans="1:1" ht="16.5" x14ac:dyDescent="0.25">
      <c r="A25" s="3"/>
    </row>
    <row r="26" spans="1:1" ht="16.5" x14ac:dyDescent="0.25">
      <c r="A26" s="3"/>
    </row>
  </sheetData>
  <pageMargins left="0.7" right="0.7" top="0.78740157499999996" bottom="0.78740157499999996"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
  <dimension ref="B2:D5"/>
  <sheetViews>
    <sheetView workbookViewId="0"/>
  </sheetViews>
  <sheetFormatPr baseColWidth="10" defaultColWidth="9.28515625" defaultRowHeight="15" x14ac:dyDescent="0.25"/>
  <cols>
    <col min="1" max="1" width="9.28515625" style="113"/>
    <col min="2" max="2" width="9.28515625" style="114"/>
    <col min="3" max="3" width="13.7109375" style="115" customWidth="1"/>
    <col min="4" max="4" width="63.28515625" style="113" customWidth="1"/>
    <col min="5" max="16384" width="9.28515625" style="113"/>
  </cols>
  <sheetData>
    <row r="2" spans="2:4" ht="15.75" thickBot="1" x14ac:dyDescent="0.3"/>
    <row r="3" spans="2:4" ht="16.5" thickBot="1" x14ac:dyDescent="0.3">
      <c r="B3" s="116" t="s">
        <v>1785</v>
      </c>
      <c r="C3" s="117" t="s">
        <v>671</v>
      </c>
      <c r="D3" s="118" t="s">
        <v>1786</v>
      </c>
    </row>
    <row r="4" spans="2:4" ht="16.5" thickBot="1" x14ac:dyDescent="0.3">
      <c r="B4" s="122" t="s">
        <v>1787</v>
      </c>
      <c r="C4" s="123">
        <v>43798</v>
      </c>
      <c r="D4" s="124" t="s">
        <v>1789</v>
      </c>
    </row>
    <row r="5" spans="2:4" ht="126.75" thickBot="1" x14ac:dyDescent="0.3">
      <c r="B5" s="119" t="s">
        <v>1788</v>
      </c>
      <c r="C5" s="120">
        <v>44235</v>
      </c>
      <c r="D5" s="121" t="s">
        <v>1790</v>
      </c>
    </row>
  </sheetData>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nversation-Topic xmlns="bca0bc44-19d1-4824-98a4-321de56310bf" xsi:nil="true"/>
    <ArchivingPeriod xmlns="ca04b7ea-c80a-4fc9-903e-757235e511e7">3</ArchivingPeriod>
    <MessageClass xmlns="ca04b7ea-c80a-4fc9-903e-757235e511e7" xsi:nil="true"/>
    <Received xmlns="bca0bc44-19d1-4824-98a4-321de56310bf" xsi:nil="true"/>
    <Importance xmlns="bca0bc44-19d1-4824-98a4-321de56310bf" xsi:nil="true"/>
    <TaxCatchAll xmlns="ca04b7ea-c80a-4fc9-903e-757235e511e7"/>
    <CSC xmlns="ca04b7ea-c80a-4fc9-903e-757235e511e7">1</CSC>
    <Conversation-Index xmlns="bca0bc44-19d1-4824-98a4-321de56310bf" xsi:nil="true"/>
    <ASC xmlns="ca04b7ea-c80a-4fc9-903e-757235e511e7">1</ASC>
    <Bcc xmlns="bca0bc44-19d1-4824-98a4-321de56310bf" xsi:nil="true"/>
    <Sensitivity xmlns="bca0bc44-19d1-4824-98a4-321de56310bf" xsi:nil="true"/>
    <To xmlns="bca0bc44-19d1-4824-98a4-321de56310bf" xsi:nil="true"/>
    <Reply-To xmlns="bca0bc44-19d1-4824-98a4-321de56310bf" xsi:nil="true"/>
    <In-Reply-To xmlns="bca0bc44-19d1-4824-98a4-321de56310bf" xsi:nil="true"/>
    <MailPreviewData xmlns="bca0bc44-19d1-4824-98a4-321de56310bf" xsi:nil="true"/>
    <Safeguarding xmlns="ca04b7ea-c80a-4fc9-903e-757235e511e7">No</Safeguarding>
    <ISC xmlns="ca04b7ea-c80a-4fc9-903e-757235e511e7">1</ISC>
    <Date1 xmlns="bca0bc44-19d1-4824-98a4-321de56310bf" xsi:nil="true"/>
    <Attachment xmlns="bca0bc44-19d1-4824-98a4-321de56310bf">true</Attachment>
    <References xmlns="bca0bc44-19d1-4824-98a4-321de56310bf" xsi:nil="true"/>
    <Cc xmlns="bca0bc44-19d1-4824-98a4-321de56310bf" xsi:nil="true"/>
    <Message-ID xmlns="bca0bc44-19d1-4824-98a4-321de56310bf" xsi:nil="true"/>
    <ddebfc2b5e1c4db690f69ea8557aa1f0 xmlns="ca04b7ea-c80a-4fc9-903e-757235e511e7">
      <Terms xmlns="http://schemas.microsoft.com/office/infopath/2007/PartnerControls"/>
    </ddebfc2b5e1c4db690f69ea8557aa1f0>
    <OriginalSubject xmlns="bca0bc44-19d1-4824-98a4-321de56310bf" xsi:nil="true"/>
    <Historicalrelevance xmlns="ca04b7ea-c80a-4fc9-903e-757235e511e7">No</Historicalrelevance>
    <From1 xmlns="bca0bc44-19d1-4824-98a4-321de56310bf" xsi:nil="true"/>
    <Revisions xmlns="ca04b7ea-c80a-4fc9-903e-757235e511e7">
      <Url xsi:nil="true"/>
      <Description xsi:nil="true"/>
    </Revisions>
    <LockedStatus xmlns="ca04b7ea-c80a-4fc9-903e-757235e511e7">Unlocked</LockedStatus>
    <_dlc_DocId xmlns="ca04b7ea-c80a-4fc9-903e-757235e511e7">P12S134282-373318738-905</_dlc_DocId>
    <_dlc_DocIdUrl xmlns="ca04b7ea-c80a-4fc9-903e-757235e511e7">
      <Url>https://sites.inside-share2.bosch.com/sites/134282/_layouts/15/DocIdRedir.aspx?ID=P12S134282-373318738-905</Url>
      <Description>P12S134282-373318738-905</Description>
    </_dlc_DocIdUrl>
    <ILMItemType xmlns="ca04b7ea-c80a-4fc9-903e-757235e511e7">ConceptualItem</ILMItemType>
    <LockedBy xmlns="ca04b7ea-c80a-4fc9-903e-757235e511e7">
      <UserInfo>
        <DisplayName/>
        <AccountId xsi:nil="true"/>
        <AccountType/>
      </UserInfo>
    </LockedBy>
    <ILMCreationRevision xmlns="ca04b7ea-c80a-4fc9-903e-757235e511e7">false</ILMCreationRevision>
    <IlmBasedOn xmlns="ca04b7ea-c80a-4fc9-903e-757235e511e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ILMBoschDocument" ma:contentTypeID="0x0101001CCF753512E1AB4B95A142EFF7E9BACE01005871AEB0082AE44AADAB5C9C4FB8FCFC" ma:contentTypeVersion="6" ma:contentTypeDescription="Bosch Document Content Type for ILM" ma:contentTypeScope="" ma:versionID="258749f94ce35db2ed9f2f9bc0104247">
  <xsd:schema xmlns:xsd="http://www.w3.org/2001/XMLSchema" xmlns:xs="http://www.w3.org/2001/XMLSchema" xmlns:p="http://schemas.microsoft.com/office/2006/metadata/properties" xmlns:ns2="ca04b7ea-c80a-4fc9-903e-757235e511e7" xmlns:ns3="bca0bc44-19d1-4824-98a4-321de56310bf" targetNamespace="http://schemas.microsoft.com/office/2006/metadata/properties" ma:root="true" ma:fieldsID="a0176870efd55a173b16939bd5dbaa90" ns2:_="" ns3:_="">
    <xsd:import namespace="ca04b7ea-c80a-4fc9-903e-757235e511e7"/>
    <xsd:import namespace="bca0bc44-19d1-4824-98a4-321de56310bf"/>
    <xsd:element name="properties">
      <xsd:complexType>
        <xsd:sequence>
          <xsd:element name="documentManagement">
            <xsd:complexType>
              <xsd:all>
                <xsd:element ref="ns2:_dlc_DocId" minOccurs="0"/>
                <xsd:element ref="ns2:_dlc_DocIdUrl" minOccurs="0"/>
                <xsd:element ref="ns2:_dlc_DocIdPersistId" minOccurs="0"/>
                <xsd:element ref="ns2:ddebfc2b5e1c4db690f69ea8557aa1f0" minOccurs="0"/>
                <xsd:element ref="ns2:TaxCatchAll" minOccurs="0"/>
                <xsd:element ref="ns2:TaxCatchAllLabel" minOccurs="0"/>
                <xsd:element ref="ns2:CSC"/>
                <xsd:element ref="ns2:ASC"/>
                <xsd:element ref="ns2:ISC"/>
                <xsd:element ref="ns2:ArchivingPeriod"/>
                <xsd:element ref="ns2:Safeguarding"/>
                <xsd:element ref="ns2:Historicalrelevance"/>
                <xsd:element ref="ns3:OriginalSubject" minOccurs="0"/>
                <xsd:element ref="ns3:From1" minOccurs="0"/>
                <xsd:element ref="ns3:Cc" minOccurs="0"/>
                <xsd:element ref="ns3:Bcc" minOccurs="0"/>
                <xsd:element ref="ns3:Conversation-Topic" minOccurs="0"/>
                <xsd:element ref="ns3:Date1" minOccurs="0"/>
                <xsd:element ref="ns3:Reply-To" minOccurs="0"/>
                <xsd:element ref="ns3:To" minOccurs="0"/>
                <xsd:element ref="ns3:Received" minOccurs="0"/>
                <xsd:element ref="ns3:Attachment" minOccurs="0"/>
                <xsd:element ref="ns3:Sensitivity" minOccurs="0"/>
                <xsd:element ref="ns3:Importance" minOccurs="0"/>
                <xsd:element ref="ns3:In-Reply-To" minOccurs="0"/>
                <xsd:element ref="ns3:References" minOccurs="0"/>
                <xsd:element ref="ns3:Conversation-Index" minOccurs="0"/>
                <xsd:element ref="ns3:MailPreviewData" minOccurs="0"/>
                <xsd:element ref="ns2:MessageClass" minOccurs="0"/>
                <xsd:element ref="ns3:Message-ID" minOccurs="0"/>
                <xsd:element ref="ns2:IlmBasedOn" minOccurs="0"/>
                <xsd:element ref="ns2:LockedStatus" minOccurs="0"/>
                <xsd:element ref="ns2:LockedBy" minOccurs="0"/>
                <xsd:element ref="ns2:ILMItemType" minOccurs="0"/>
                <xsd:element ref="ns2:ILMCreationRevision" minOccurs="0"/>
                <xsd:element ref="ns2:Revi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04b7ea-c80a-4fc9-903e-757235e511e7"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ddebfc2b5e1c4db690f69ea8557aa1f0" ma:index="11" nillable="true" ma:taxonomy="true" ma:internalName="ddebfc2b5e1c4db690f69ea8557aa1f0" ma:taxonomyFieldName="DMSKeywords" ma:displayName="Keywords" ma:fieldId="{ddebfc2b-5e1c-4db6-90f6-9ea8557aa1f0}" ma:sspId="b81b984e-7d9a-4f77-a40b-67f8485df2c3" ma:termSetId="ec7add91-3dca-4957-b8ea-08c03025d13c"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a99ab95e-964d-4fd7-9a69-32a856d1b993}" ma:internalName="TaxCatchAll" ma:showField="CatchAllData" ma:web="ca04b7ea-c80a-4fc9-903e-757235e511e7">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a99ab95e-964d-4fd7-9a69-32a856d1b993}" ma:internalName="TaxCatchAllLabel" ma:readOnly="true" ma:showField="CatchAllDataLabel" ma:web="ca04b7ea-c80a-4fc9-903e-757235e511e7">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Important: Documents rated C-SC 3 must be encrypted client-side (e.g. 'Entrust encrypt file...' in windows explorer) before uploading." ma:format="Dropdown" ma:indexed="true"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hidden="true" ma:indexed="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hidden="true"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3" ma:description="File will be deleted from the archive after end of the archiving" ma:format="Dropdown" ma:indexed="true"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hidden="true"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MessageClass" ma:index="37" nillable="true" ma:displayName="MessageClass" ma:hidden="true" ma:internalName="MessageClass">
      <xsd:simpleType>
        <xsd:restriction base="dms:Text">
          <xsd:maxLength value="255"/>
        </xsd:restriction>
      </xsd:simpleType>
    </xsd:element>
    <xsd:element name="IlmBasedOn" ma:index="39" nillable="true" ma:displayName="Based on" ma:internalName="IlmBasedOn" ma:readOnly="true">
      <xsd:simpleType>
        <xsd:restriction base="dms:Text"/>
      </xsd:simpleType>
    </xsd:element>
    <xsd:element name="LockedStatus" ma:index="40" nillable="true" ma:displayName="Locked Status" ma:default="Unlocked" ma:internalName="LockedStatus" ma:readOnly="true">
      <xsd:simpleType>
        <xsd:restriction base="dms:Text"/>
      </xsd:simpleType>
    </xsd:element>
    <xsd:element name="LockedBy" ma:index="41"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42" nillable="true" ma:displayName="ILMItemType" ma:default="ConceptualItem" ma:indexed="true" ma:internalName="ILMItemType" ma:readOnly="true">
      <xsd:simpleType>
        <xsd:restriction base="dms:Text"/>
      </xsd:simpleType>
    </xsd:element>
    <xsd:element name="ILMCreationRevision" ma:index="43" nillable="true" ma:displayName="Creating Revision" ma:internalName="ILMCreationRevision" ma:readOnly="true">
      <xsd:simpleType>
        <xsd:restriction base="dms:Boolean"/>
      </xsd:simpleType>
    </xsd:element>
    <xsd:element name="Revisions" ma:index="44"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ca0bc44-19d1-4824-98a4-321de56310bf" elementFormDefault="qualified">
    <xsd:import namespace="http://schemas.microsoft.com/office/2006/documentManagement/types"/>
    <xsd:import namespace="http://schemas.microsoft.com/office/infopath/2007/PartnerControls"/>
    <xsd:element name="OriginalSubject" ma:index="21" nillable="true" ma:displayName="OriginalSubject" ma:internalName="OriginalSubject">
      <xsd:simpleType>
        <xsd:restriction base="dms:Text">
          <xsd:maxLength value="255"/>
        </xsd:restriction>
      </xsd:simpleType>
    </xsd:element>
    <xsd:element name="From1" ma:index="22" nillable="true" ma:displayName="From" ma:internalName="From1">
      <xsd:simpleType>
        <xsd:restriction base="dms:Text">
          <xsd:maxLength value="255"/>
        </xsd:restriction>
      </xsd:simpleType>
    </xsd:element>
    <xsd:element name="Cc" ma:index="23" nillable="true" ma:displayName="Cc" ma:internalName="Cc">
      <xsd:simpleType>
        <xsd:restriction base="dms:Note">
          <xsd:maxLength value="255"/>
        </xsd:restriction>
      </xsd:simpleType>
    </xsd:element>
    <xsd:element name="Bcc" ma:index="24" nillable="true" ma:displayName="Bcc" ma:internalName="Bcc">
      <xsd:simpleType>
        <xsd:restriction base="dms:Note">
          <xsd:maxLength value="255"/>
        </xsd:restriction>
      </xsd:simpleType>
    </xsd:element>
    <xsd:element name="Conversation-Topic" ma:index="25" nillable="true" ma:displayName="Conversation-Topic" ma:internalName="Conversation_x002d_Topic">
      <xsd:simpleType>
        <xsd:restriction base="dms:Text">
          <xsd:maxLength value="255"/>
        </xsd:restriction>
      </xsd:simpleType>
    </xsd:element>
    <xsd:element name="Date1" ma:index="26" nillable="true" ma:displayName="Date" ma:format="DateOnly" ma:internalName="Date1">
      <xsd:simpleType>
        <xsd:restriction base="dms:DateTime"/>
      </xsd:simpleType>
    </xsd:element>
    <xsd:element name="Reply-To" ma:index="27" nillable="true" ma:displayName="Reply-To" ma:internalName="Reply_x002d_To">
      <xsd:simpleType>
        <xsd:restriction base="dms:Text">
          <xsd:maxLength value="255"/>
        </xsd:restriction>
      </xsd:simpleType>
    </xsd:element>
    <xsd:element name="To" ma:index="28" nillable="true" ma:displayName="To" ma:internalName="To">
      <xsd:simpleType>
        <xsd:restriction base="dms:Note">
          <xsd:maxLength value="255"/>
        </xsd:restriction>
      </xsd:simpleType>
    </xsd:element>
    <xsd:element name="Received" ma:index="29" nillable="true" ma:displayName="Received" ma:internalName="Received">
      <xsd:simpleType>
        <xsd:restriction base="dms:Text">
          <xsd:maxLength value="255"/>
        </xsd:restriction>
      </xsd:simpleType>
    </xsd:element>
    <xsd:element name="Attachment" ma:index="30" nillable="true" ma:displayName="Attachment" ma:default="1" ma:internalName="Attachment">
      <xsd:simpleType>
        <xsd:restriction base="dms:Boolean"/>
      </xsd:simpleType>
    </xsd:element>
    <xsd:element name="Sensitivity" ma:index="31" nillable="true" ma:displayName="Sensitivity" ma:internalName="Sensitivity">
      <xsd:simpleType>
        <xsd:restriction base="dms:Text">
          <xsd:maxLength value="255"/>
        </xsd:restriction>
      </xsd:simpleType>
    </xsd:element>
    <xsd:element name="Importance" ma:index="32" nillable="true" ma:displayName="Importance" ma:internalName="Importance">
      <xsd:simpleType>
        <xsd:restriction base="dms:Text">
          <xsd:maxLength value="255"/>
        </xsd:restriction>
      </xsd:simpleType>
    </xsd:element>
    <xsd:element name="In-Reply-To" ma:index="33" nillable="true" ma:displayName="In-Reply-To" ma:internalName="In_x002d_Reply_x002d_To">
      <xsd:simpleType>
        <xsd:restriction base="dms:Text">
          <xsd:maxLength value="255"/>
        </xsd:restriction>
      </xsd:simpleType>
    </xsd:element>
    <xsd:element name="References" ma:index="34" nillable="true" ma:displayName="References" ma:internalName="References">
      <xsd:simpleType>
        <xsd:restriction base="dms:Text">
          <xsd:maxLength value="255"/>
        </xsd:restriction>
      </xsd:simpleType>
    </xsd:element>
    <xsd:element name="Conversation-Index" ma:index="35" nillable="true" ma:displayName="Conversation-Index" ma:hidden="true" ma:internalName="Conversation_x002d_Index">
      <xsd:simpleType>
        <xsd:restriction base="dms:Text">
          <xsd:maxLength value="255"/>
        </xsd:restriction>
      </xsd:simpleType>
    </xsd:element>
    <xsd:element name="MailPreviewData" ma:index="36" nillable="true" ma:displayName="MailPreviewData" ma:hidden="true" ma:internalName="MailPreviewData">
      <xsd:simpleType>
        <xsd:restriction base="dms:Note"/>
      </xsd:simpleType>
    </xsd:element>
    <xsd:element name="Message-ID" ma:index="38" nillable="true" ma:displayName="Message-ID" ma:hidden="true" ma:internalName="Message_x002d_ID">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12AF4167-5BE4-461C-AE3A-FD8520EDA2FC}">
  <ds:schemaRefs>
    <ds:schemaRef ds:uri="http://schemas.microsoft.com/sharepoint/v3/contenttype/forms"/>
  </ds:schemaRefs>
</ds:datastoreItem>
</file>

<file path=customXml/itemProps2.xml><?xml version="1.0" encoding="utf-8"?>
<ds:datastoreItem xmlns:ds="http://schemas.openxmlformats.org/officeDocument/2006/customXml" ds:itemID="{3690D43C-7526-492E-B792-403EC373156D}">
  <ds:schemaRefs>
    <ds:schemaRef ds:uri="http://schemas.microsoft.com/office/2006/metadata/properties"/>
    <ds:schemaRef ds:uri="ca04b7ea-c80a-4fc9-903e-757235e511e7"/>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bca0bc44-19d1-4824-98a4-321de56310bf"/>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03587694-7A9B-4826-A854-5F04CFFB9659}">
  <ds:schemaRefs>
    <ds:schemaRef ds:uri="http://schemas.microsoft.com/DataMashup"/>
  </ds:schemaRefs>
</ds:datastoreItem>
</file>

<file path=customXml/itemProps4.xml><?xml version="1.0" encoding="utf-8"?>
<ds:datastoreItem xmlns:ds="http://schemas.openxmlformats.org/officeDocument/2006/customXml" ds:itemID="{29F5C069-CEA5-42F0-9D36-15FA3490D7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04b7ea-c80a-4fc9-903e-757235e511e7"/>
    <ds:schemaRef ds:uri="bca0bc44-19d1-4824-98a4-321de56310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A8B7E8EB-BE45-4DF1-BA83-C3878699C622}">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vt:i4>
      </vt:variant>
    </vt:vector>
  </HeadingPairs>
  <TitlesOfParts>
    <vt:vector size="12" baseType="lpstr">
      <vt:lpstr>Scoping</vt:lpstr>
      <vt:lpstr>Checklist</vt:lpstr>
      <vt:lpstr>Checklist_For_Extended_ISPAudit</vt:lpstr>
      <vt:lpstr>Data</vt:lpstr>
      <vt:lpstr>Filter</vt:lpstr>
      <vt:lpstr>Change-Log</vt:lpstr>
      <vt:lpstr>Assets</vt:lpstr>
      <vt:lpstr>Checklist!Druckbereich</vt:lpstr>
      <vt:lpstr>Checklist_For_Extended_ISPAudit!Druckbereich</vt:lpstr>
      <vt:lpstr>Data!Druckbereich</vt:lpstr>
      <vt:lpstr>Scoping!Druckbereich</vt:lpstr>
      <vt:lpstr>Filter!Suchkriterien</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&lt;b&gt;Mitgeltendes Dokument: Betreiber Selbstcheck&lt;/b&gt; &lt;i&gt;Ausgabe 1.1&lt;/i&gt;</dc:title>
  <dc:subject>171,,2</dc:subject>
  <dc:creator>OG_C1</dc:creator>
  <cp:keywords>ISPAudit,,ISP Audit,,IDSAudit,,IDS Audit,,ExtendedISPAudit,,Extended ISP Audit,,Audit,,selfcheck,,operator,,Betreiber,,IT-System,,Server,,Applikation,,Application,,Cloud,,Netzwerk,,Network,,Webserver</cp:keywords>
  <cp:lastModifiedBy>Voelker Marvin (LoP2/TEF7)</cp:lastModifiedBy>
  <cp:lastPrinted>2019-11-29T11:08:36Z</cp:lastPrinted>
  <dcterms:created xsi:type="dcterms:W3CDTF">2019-10-21T13:20:19Z</dcterms:created>
  <dcterms:modified xsi:type="dcterms:W3CDTF">2023-01-16T10:44:28Z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0x0101001CCF753512E1AB4B95A142EFF7E9BACE01005871AEB0082AE44AADAB5C9C4FB8FCFC</vt:lpwstr>
  </property>
  <property fmtid="{D5CDD505-2E9C-101B-9397-08002B2CF9AE}" pid="3" name="ecm_ItemDeleteBlockHolders">
    <vt:lpwstr/>
  </property>
  <property fmtid="{D5CDD505-2E9C-101B-9397-08002B2CF9AE}" pid="4" name="IconOverlay">
    <vt:lpwstr/>
  </property>
  <property fmtid="{D5CDD505-2E9C-101B-9397-08002B2CF9AE}" pid="5" name="ecm_RecordRestrictions">
    <vt:lpwstr/>
  </property>
  <property fmtid="{D5CDD505-2E9C-101B-9397-08002B2CF9AE}" pid="6" name="ecm_ItemLockHolders">
    <vt:lpwstr/>
  </property>
  <property fmtid="{D5CDD505-2E9C-101B-9397-08002B2CF9AE}" pid="7" name="_vti_ItemHoldRecordStatus">
    <vt:lpwstr/>
  </property>
  <property fmtid="{D5CDD505-2E9C-101B-9397-08002B2CF9AE}" pid="8" name="_vti_ItemDeclaredRecord">
    <vt:lpwstr/>
  </property>
  <property fmtid="{D5CDD505-2E9C-101B-9397-08002B2CF9AE}" pid="9" name="_dlc_DocIdItemGuid">
    <vt:lpwstr>dece2c03-3c2b-4db5-a119-27151ca94aeb</vt:lpwstr>
  </property>
  <property fmtid="{D5CDD505-2E9C-101B-9397-08002B2CF9AE}" pid="10" name="ILMRevision">
    <vt:lpwstr/>
  </property>
  <property fmtid="{D5CDD505-2E9C-101B-9397-08002B2CF9AE}" pid="11" name="DMSKeywords">
    <vt:lpwstr/>
  </property>
  <property fmtid="{D5CDD505-2E9C-101B-9397-08002B2CF9AE}" pid="12" name="ConceptualVersion">
    <vt:lpwstr/>
  </property>
  <property fmtid="{D5CDD505-2E9C-101B-9397-08002B2CF9AE}" pid="13" name="ConceptualVersionTreeview">
    <vt:lpwstr/>
  </property>
  <property fmtid="{D5CDD505-2E9C-101B-9397-08002B2CF9AE}" pid="14" name="ILMComments">
    <vt:lpwstr/>
  </property>
  <property fmtid="{D5CDD505-2E9C-101B-9397-08002B2CF9AE}" pid="15" name="ILMExternalReference">
    <vt:lpwstr/>
  </property>
  <property fmtid="{D5CDD505-2E9C-101B-9397-08002B2CF9AE}" pid="16" name="DocIdOfLinkItem">
    <vt:lpwstr/>
  </property>
</Properties>
</file>